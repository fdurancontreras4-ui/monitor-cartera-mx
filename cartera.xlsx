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EE5869D9-C838-4BFE-8DD9-D7AE44D976AD}" xr6:coauthVersionLast="47" xr6:coauthVersionMax="47" xr10:uidLastSave="{00000000-0000-0000-0000-000000000000}"/>
  <bookViews>
    <workbookView xWindow="-118" yWindow="-118" windowWidth="25370" windowHeight="13667" tabRatio="513" firstSheet="4" xr2:uid="{00000000-000D-0000-FFFF-FFFF00000000}"/>
  </bookViews>
  <sheets>
    <sheet name="MARE MX" sheetId="3" r:id="rId1"/>
    <sheet name="Semáforo" sheetId="27" state="hidden" r:id="rId2"/>
    <sheet name="RAMs" sheetId="25" r:id="rId3"/>
    <sheet name="Resumen MARE" sheetId="8" r:id="rId4"/>
    <sheet name="Ventas 2026" sheetId="24" r:id="rId5"/>
    <sheet name="Detalle Fuga 2026" sheetId="4" r:id="rId6"/>
    <sheet name="Cuentas reasignar Sin KAM" sheetId="17" r:id="rId7"/>
    <sheet name="Cuentas para reasignar" sheetId="18" r:id="rId8"/>
    <sheet name="Semáforo KAM" sheetId="29" r:id="rId9"/>
    <sheet name="Disminuciones menor al 100" sheetId="22" r:id="rId10"/>
    <sheet name="Cuentas fugadas" sheetId="23" r:id="rId11"/>
    <sheet name="Modificaciones BI" sheetId="5" r:id="rId12"/>
    <sheet name="Etapas" sheetId="7" r:id="rId13"/>
    <sheet name="Toques" sheetId="9" state="hidden" r:id="rId14"/>
    <sheet name="Info general" sheetId="10" r:id="rId15"/>
    <sheet name="Histórico Cross" sheetId="21" r:id="rId16"/>
    <sheet name="Hoja1" sheetId="28" r:id="rId17"/>
  </sheets>
  <definedNames>
    <definedName name="_xlnm._FilterDatabase" localSheetId="5" hidden="1">'Detalle Fuga 2026'!$A$1:$O$65</definedName>
    <definedName name="_xlnm._FilterDatabase" localSheetId="0" hidden="1">'MARE MX'!$A$2:$CC$475</definedName>
    <definedName name="_xlnm._FilterDatabase" localSheetId="4" hidden="1">'Ventas 2026'!$A$1:$S$134</definedName>
    <definedName name="_xlnm._FilterDatabase" localSheetId="7" hidden="1">'Cuentas para reasignar'!$A$2:$E$65</definedName>
  </definedNames>
  <calcPr calcId="191028"/>
  <pivotCaches>
    <pivotCache cacheId="450"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C16" i="23" l="1"/>
  <c r="CA16" i="23"/>
  <c r="BA16" i="23"/>
  <c r="BB16" i="23" s="1"/>
  <c r="D16" i="23"/>
  <c r="C16" i="23"/>
  <c r="C293" i="3"/>
  <c r="C384" i="3"/>
  <c r="C265" i="3"/>
  <c r="C371" i="3"/>
  <c r="C373" i="3"/>
  <c r="C280" i="3"/>
  <c r="C313" i="3"/>
  <c r="C326" i="3"/>
  <c r="C264" i="3"/>
  <c r="C336" i="3"/>
  <c r="C303" i="3"/>
  <c r="C374" i="3"/>
  <c r="C214" i="3"/>
  <c r="C306" i="3"/>
  <c r="C372" i="3"/>
  <c r="C307" i="3"/>
  <c r="C359" i="3"/>
  <c r="C225" i="3"/>
  <c r="C444" i="3"/>
  <c r="C396" i="3"/>
  <c r="C222" i="3"/>
  <c r="C395" i="3"/>
  <c r="C284" i="3"/>
  <c r="C308" i="3"/>
  <c r="C309" i="3"/>
  <c r="C106" i="3"/>
  <c r="C399" i="3"/>
  <c r="C397" i="3"/>
  <c r="C401" i="3"/>
  <c r="C403" i="3"/>
  <c r="C406" i="3"/>
  <c r="C408" i="3"/>
  <c r="C409" i="3"/>
  <c r="C442" i="3"/>
  <c r="C475" i="3"/>
  <c r="C410" i="3"/>
  <c r="C411" i="3"/>
  <c r="C412" i="3"/>
  <c r="C414" i="3"/>
  <c r="C413" i="3"/>
  <c r="C415" i="3"/>
  <c r="C417" i="3"/>
  <c r="C416" i="3"/>
  <c r="C474" i="3"/>
  <c r="C419" i="3"/>
  <c r="C421" i="3"/>
  <c r="C420" i="3"/>
  <c r="C422" i="3"/>
  <c r="C424" i="3"/>
  <c r="C436" i="3"/>
  <c r="C423" i="3"/>
  <c r="C425" i="3"/>
  <c r="C473" i="3"/>
  <c r="C437" i="3"/>
  <c r="C426" i="3"/>
  <c r="C427" i="3"/>
  <c r="C430" i="3"/>
  <c r="C398" i="3"/>
  <c r="C429" i="3"/>
  <c r="C432" i="3"/>
  <c r="C431" i="3"/>
  <c r="C428" i="3"/>
  <c r="C433" i="3"/>
  <c r="C434" i="3"/>
  <c r="C439" i="3"/>
  <c r="C438" i="3"/>
  <c r="C472" i="3"/>
  <c r="C435" i="3"/>
  <c r="C440" i="3"/>
  <c r="C441" i="3"/>
  <c r="C446" i="3"/>
  <c r="C443" i="3"/>
  <c r="C407" i="3"/>
  <c r="C445" i="3"/>
  <c r="C453" i="3"/>
  <c r="C448" i="3"/>
  <c r="C447" i="3"/>
  <c r="C456" i="3"/>
  <c r="C450" i="3"/>
  <c r="C452" i="3"/>
  <c r="C451" i="3"/>
  <c r="C454" i="3"/>
  <c r="C455" i="3"/>
  <c r="C457" i="3"/>
  <c r="C458" i="3"/>
  <c r="C459" i="3"/>
  <c r="C460" i="3"/>
  <c r="C461" i="3"/>
  <c r="C471" i="3"/>
  <c r="C463" i="3"/>
  <c r="C462" i="3"/>
  <c r="C464" i="3"/>
  <c r="C465" i="3"/>
  <c r="C466" i="3"/>
  <c r="C468" i="3"/>
  <c r="C469" i="3"/>
  <c r="C470" i="3"/>
  <c r="C400" i="3"/>
  <c r="C404" i="3"/>
  <c r="C405" i="3"/>
  <c r="C402" i="3"/>
  <c r="C418" i="3"/>
  <c r="C467" i="3"/>
  <c r="C196" i="3"/>
  <c r="C197" i="3"/>
  <c r="C200" i="3"/>
  <c r="C199" i="3"/>
  <c r="C201" i="3"/>
  <c r="C198" i="3"/>
  <c r="C202" i="3"/>
  <c r="C203" i="3"/>
  <c r="C204" i="3"/>
  <c r="C205" i="3"/>
  <c r="C206" i="3"/>
  <c r="C207" i="3"/>
  <c r="C208" i="3"/>
  <c r="C218" i="3"/>
  <c r="C209" i="3"/>
  <c r="C394" i="3"/>
  <c r="C210" i="3"/>
  <c r="C100" i="3"/>
  <c r="C212" i="3"/>
  <c r="C213" i="3"/>
  <c r="C393" i="3"/>
  <c r="C215" i="3"/>
  <c r="C216" i="3"/>
  <c r="C392" i="3"/>
  <c r="C391" i="3"/>
  <c r="C219" i="3"/>
  <c r="C220" i="3"/>
  <c r="C217" i="3"/>
  <c r="C221" i="3"/>
  <c r="C223" i="3"/>
  <c r="C224" i="3"/>
  <c r="C390" i="3"/>
  <c r="C239" i="3"/>
  <c r="C235" i="3"/>
  <c r="C242" i="3"/>
  <c r="C234" i="3"/>
  <c r="C389" i="3"/>
  <c r="C229" i="3"/>
  <c r="C230" i="3"/>
  <c r="C241" i="3"/>
  <c r="C233" i="3"/>
  <c r="C232" i="3"/>
  <c r="C231" i="3"/>
  <c r="C250" i="3"/>
  <c r="C247" i="3"/>
  <c r="C238" i="3"/>
  <c r="C240" i="3"/>
  <c r="C388" i="3"/>
  <c r="C236" i="3"/>
  <c r="C249" i="3"/>
  <c r="C387" i="3"/>
  <c r="C228" i="3"/>
  <c r="C252" i="3"/>
  <c r="C243" i="3"/>
  <c r="C226" i="3"/>
  <c r="C246" i="3"/>
  <c r="C245" i="3"/>
  <c r="C244" i="3"/>
  <c r="C251" i="3"/>
  <c r="C253" i="3"/>
  <c r="C255" i="3"/>
  <c r="C254" i="3"/>
  <c r="C267" i="3"/>
  <c r="C386" i="3"/>
  <c r="C276" i="3"/>
  <c r="C257" i="3"/>
  <c r="C248" i="3"/>
  <c r="C258" i="3"/>
  <c r="C260" i="3"/>
  <c r="C263" i="3"/>
  <c r="C262" i="3"/>
  <c r="C256" i="3"/>
  <c r="C237" i="3"/>
  <c r="C368" i="3"/>
  <c r="C268" i="3"/>
  <c r="C270" i="3"/>
  <c r="C282" i="3"/>
  <c r="C271" i="3"/>
  <c r="C261" i="3"/>
  <c r="C272" i="3"/>
  <c r="C266" i="3"/>
  <c r="C274" i="3"/>
  <c r="C275" i="3"/>
  <c r="C269" i="3"/>
  <c r="C277" i="3"/>
  <c r="C278" i="3"/>
  <c r="C295" i="3"/>
  <c r="C385" i="3"/>
  <c r="C283" i="3"/>
  <c r="C285" i="3"/>
  <c r="C300" i="3"/>
  <c r="C296" i="3"/>
  <c r="C286" i="3"/>
  <c r="C287" i="3"/>
  <c r="C288" i="3"/>
  <c r="C289" i="3"/>
  <c r="C291" i="3"/>
  <c r="C290" i="3"/>
  <c r="C281" i="3"/>
  <c r="C294" i="3"/>
  <c r="C292" i="3"/>
  <c r="C297" i="3"/>
  <c r="C273" i="3"/>
  <c r="C298" i="3"/>
  <c r="C299" i="3"/>
  <c r="C302" i="3"/>
  <c r="C227" i="3"/>
  <c r="C305" i="3"/>
  <c r="C312" i="3"/>
  <c r="C338" i="3"/>
  <c r="C135" i="3"/>
  <c r="C310" i="3"/>
  <c r="C314" i="3"/>
  <c r="C316" i="3"/>
  <c r="C311" i="3"/>
  <c r="C301" i="3"/>
  <c r="C317" i="3"/>
  <c r="C315" i="3"/>
  <c r="C318" i="3"/>
  <c r="C321" i="3"/>
  <c r="C319" i="3"/>
  <c r="C327" i="3"/>
  <c r="C322" i="3"/>
  <c r="C325" i="3"/>
  <c r="C323" i="3"/>
  <c r="C320" i="3"/>
  <c r="C324" i="3"/>
  <c r="C331" i="3"/>
  <c r="C329" i="3"/>
  <c r="C330" i="3"/>
  <c r="C337" i="3"/>
  <c r="C332" i="3"/>
  <c r="C139" i="3"/>
  <c r="C328" i="3"/>
  <c r="C333" i="3"/>
  <c r="C343" i="3"/>
  <c r="C334" i="3"/>
  <c r="C342" i="3"/>
  <c r="C341" i="3"/>
  <c r="C335" i="3"/>
  <c r="C355" i="3"/>
  <c r="C344" i="3"/>
  <c r="C383" i="3"/>
  <c r="C340" i="3"/>
  <c r="C348" i="3"/>
  <c r="C102" i="3"/>
  <c r="C346" i="3"/>
  <c r="C353" i="3"/>
  <c r="C354" i="3"/>
  <c r="C351" i="3"/>
  <c r="C349" i="3"/>
  <c r="C347" i="3"/>
  <c r="C345" i="3"/>
  <c r="C352" i="3"/>
  <c r="C356" i="3"/>
  <c r="C350" i="3"/>
  <c r="C358" i="3"/>
  <c r="C357" i="3"/>
  <c r="C360" i="3"/>
  <c r="C361" i="3"/>
  <c r="C362" i="3"/>
  <c r="C364" i="3"/>
  <c r="C365" i="3"/>
  <c r="C366" i="3"/>
  <c r="C367" i="3"/>
  <c r="C369" i="3"/>
  <c r="C370" i="3"/>
  <c r="C99" i="3"/>
  <c r="C381" i="3"/>
  <c r="C211" i="3"/>
  <c r="C259" i="3"/>
  <c r="C380" i="3"/>
  <c r="C379" i="3"/>
  <c r="C378" i="3"/>
  <c r="C377" i="3"/>
  <c r="C279" i="3"/>
  <c r="C376" i="3"/>
  <c r="C375" i="3"/>
  <c r="C304" i="3"/>
  <c r="C101" i="3"/>
  <c r="C195" i="3"/>
  <c r="C194" i="3"/>
  <c r="C108" i="3"/>
  <c r="C109" i="3"/>
  <c r="C110" i="3"/>
  <c r="C114" i="3"/>
  <c r="C112" i="3"/>
  <c r="C111" i="3"/>
  <c r="C113" i="3"/>
  <c r="C115" i="3"/>
  <c r="C116" i="3"/>
  <c r="C117" i="3"/>
  <c r="C118" i="3"/>
  <c r="C193" i="3"/>
  <c r="C125" i="3"/>
  <c r="C121" i="3"/>
  <c r="C120" i="3"/>
  <c r="C124" i="3"/>
  <c r="C119" i="3"/>
  <c r="C122" i="3"/>
  <c r="C123" i="3"/>
  <c r="C130" i="3"/>
  <c r="C126" i="3"/>
  <c r="C127" i="3"/>
  <c r="C134" i="3"/>
  <c r="C147" i="3"/>
  <c r="C129" i="3"/>
  <c r="C132" i="3"/>
  <c r="C141" i="3"/>
  <c r="C133" i="3"/>
  <c r="C144" i="3"/>
  <c r="C140" i="3"/>
  <c r="C137" i="3"/>
  <c r="C138" i="3"/>
  <c r="C158" i="3"/>
  <c r="C179" i="3"/>
  <c r="C156" i="3"/>
  <c r="C136" i="3"/>
  <c r="C143" i="3"/>
  <c r="C145" i="3"/>
  <c r="C169" i="3"/>
  <c r="C142" i="3"/>
  <c r="C148" i="3"/>
  <c r="C146" i="3"/>
  <c r="C128" i="3"/>
  <c r="C152" i="3"/>
  <c r="C149" i="3"/>
  <c r="C150" i="3"/>
  <c r="C151" i="3"/>
  <c r="C157" i="3"/>
  <c r="C175" i="3"/>
  <c r="C155" i="3"/>
  <c r="C159" i="3"/>
  <c r="C161" i="3"/>
  <c r="C160" i="3"/>
  <c r="C164" i="3"/>
  <c r="C173" i="3"/>
  <c r="C167" i="3"/>
  <c r="C162" i="3"/>
  <c r="C131" i="3"/>
  <c r="C153" i="3"/>
  <c r="C163" i="3"/>
  <c r="C171" i="3"/>
  <c r="C165" i="3"/>
  <c r="C154" i="3"/>
  <c r="C168" i="3"/>
  <c r="C166" i="3"/>
  <c r="C170" i="3"/>
  <c r="C192" i="3"/>
  <c r="C174" i="3"/>
  <c r="C172" i="3"/>
  <c r="C181" i="3"/>
  <c r="C182" i="3"/>
  <c r="C180" i="3"/>
  <c r="C177" i="3"/>
  <c r="C176" i="3"/>
  <c r="C178" i="3"/>
  <c r="C183" i="3"/>
  <c r="C184" i="3"/>
  <c r="C185" i="3"/>
  <c r="C186" i="3"/>
  <c r="C187" i="3"/>
  <c r="C191" i="3"/>
  <c r="C190" i="3"/>
  <c r="C189" i="3"/>
  <c r="C188" i="3"/>
  <c r="C107" i="3"/>
  <c r="C105" i="3"/>
  <c r="C104" i="3"/>
  <c r="C449" i="3"/>
  <c r="C103" i="3"/>
  <c r="C78" i="3"/>
  <c r="C13" i="3"/>
  <c r="C98" i="3"/>
  <c r="C7" i="3"/>
  <c r="C97" i="3"/>
  <c r="C8" i="3"/>
  <c r="C96" i="3"/>
  <c r="C20" i="3"/>
  <c r="C19" i="3"/>
  <c r="C95" i="3"/>
  <c r="C14" i="3"/>
  <c r="C6" i="3"/>
  <c r="C9" i="3"/>
  <c r="C10" i="3"/>
  <c r="C12" i="3"/>
  <c r="C11" i="3"/>
  <c r="C15" i="3"/>
  <c r="C16" i="3"/>
  <c r="C17" i="3"/>
  <c r="C18" i="3"/>
  <c r="C21" i="3"/>
  <c r="C25" i="3"/>
  <c r="C23" i="3"/>
  <c r="C94" i="3"/>
  <c r="C22" i="3"/>
  <c r="C26" i="3"/>
  <c r="C27" i="3"/>
  <c r="C24" i="3"/>
  <c r="C28" i="3"/>
  <c r="C35" i="3"/>
  <c r="C31" i="3"/>
  <c r="C32" i="3"/>
  <c r="C34" i="3"/>
  <c r="C30" i="3"/>
  <c r="C36" i="3"/>
  <c r="C33" i="3"/>
  <c r="C29" i="3"/>
  <c r="C39" i="3"/>
  <c r="C37" i="3"/>
  <c r="C40" i="3"/>
  <c r="C42" i="3"/>
  <c r="C41" i="3"/>
  <c r="C43" i="3"/>
  <c r="C38" i="3"/>
  <c r="C93" i="3"/>
  <c r="C44" i="3"/>
  <c r="C46" i="3"/>
  <c r="C47" i="3"/>
  <c r="C45" i="3"/>
  <c r="C48" i="3"/>
  <c r="C51" i="3"/>
  <c r="C50" i="3"/>
  <c r="C49" i="3"/>
  <c r="C59" i="3"/>
  <c r="C53" i="3"/>
  <c r="C55" i="3"/>
  <c r="C56" i="3"/>
  <c r="C58" i="3"/>
  <c r="C52" i="3"/>
  <c r="C57" i="3"/>
  <c r="C60" i="3"/>
  <c r="C62" i="3"/>
  <c r="C61" i="3"/>
  <c r="C64" i="3"/>
  <c r="C92" i="3"/>
  <c r="C66" i="3"/>
  <c r="C67" i="3"/>
  <c r="C65" i="3"/>
  <c r="C71" i="3"/>
  <c r="C68" i="3"/>
  <c r="C72" i="3"/>
  <c r="C91" i="3"/>
  <c r="C63" i="3"/>
  <c r="C73" i="3"/>
  <c r="C74" i="3"/>
  <c r="C75" i="3"/>
  <c r="C70" i="3"/>
  <c r="C79" i="3"/>
  <c r="C69" i="3"/>
  <c r="C76" i="3"/>
  <c r="C80" i="3"/>
  <c r="C77" i="3"/>
  <c r="C83" i="3"/>
  <c r="C82" i="3"/>
  <c r="C81" i="3"/>
  <c r="C85" i="3"/>
  <c r="C86" i="3"/>
  <c r="C84" i="3"/>
  <c r="C87" i="3"/>
  <c r="C88" i="3"/>
  <c r="C89" i="3"/>
  <c r="C90" i="3"/>
  <c r="C4" i="3"/>
  <c r="C5" i="3"/>
  <c r="C339" i="3"/>
  <c r="C382" i="3"/>
  <c r="C363" i="3"/>
  <c r="C54" i="3"/>
  <c r="C3" i="3"/>
  <c r="M42" i="24"/>
  <c r="N42" i="24" s="1"/>
  <c r="M120" i="24"/>
  <c r="N120" i="24"/>
  <c r="M121" i="24"/>
  <c r="N121" i="24"/>
  <c r="M122" i="24"/>
  <c r="N122" i="24"/>
  <c r="M123" i="24"/>
  <c r="N123" i="24"/>
  <c r="N119" i="24"/>
  <c r="N118" i="24"/>
  <c r="D68"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N86" i="24"/>
  <c r="N85" i="24"/>
  <c r="D459" i="3"/>
  <c r="M84" i="24"/>
  <c r="N84" i="24" s="1"/>
  <c r="S1" i="22"/>
  <c r="T27" i="22"/>
  <c r="T26" i="22"/>
  <c r="T25" i="22"/>
  <c r="T24" i="22"/>
  <c r="T23" i="22"/>
  <c r="T22" i="22"/>
  <c r="T21" i="22"/>
  <c r="T20" i="22"/>
  <c r="T19" i="22"/>
  <c r="T18" i="22"/>
  <c r="T17" i="22"/>
  <c r="T16" i="22"/>
  <c r="T15" i="22"/>
  <c r="T14" i="22"/>
  <c r="T13" i="22"/>
  <c r="T12" i="22"/>
  <c r="T11" i="22"/>
  <c r="T10" i="22"/>
  <c r="T9" i="22"/>
  <c r="T8" i="22"/>
  <c r="T7" i="22"/>
  <c r="T6" i="22"/>
  <c r="T5" i="22"/>
  <c r="T4" i="22"/>
  <c r="G20" i="29"/>
  <c r="B20" i="29"/>
  <c r="C20" i="29"/>
  <c r="D20" i="29"/>
  <c r="E20" i="29"/>
  <c r="F20" i="29"/>
  <c r="B8" i="29"/>
  <c r="C8" i="29"/>
  <c r="D8" i="29"/>
  <c r="E8" i="29"/>
  <c r="F8" i="29"/>
  <c r="G8" i="29"/>
  <c r="G14" i="29"/>
  <c r="F14" i="29"/>
  <c r="E14" i="29"/>
  <c r="D14" i="29"/>
  <c r="C14" i="29"/>
  <c r="B14" i="29"/>
  <c r="F88" i="27"/>
  <c r="E18" i="29"/>
  <c r="C18" i="29"/>
  <c r="B5" i="29"/>
  <c r="F12" i="29"/>
  <c r="B4" i="29"/>
  <c r="G17" i="29"/>
  <c r="E17" i="29"/>
  <c r="C17" i="29"/>
  <c r="B17" i="29"/>
  <c r="B11" i="29"/>
  <c r="F11" i="29"/>
  <c r="E11" i="29"/>
  <c r="J92" i="27"/>
  <c r="J91" i="27"/>
  <c r="J90" i="27"/>
  <c r="J89" i="27"/>
  <c r="J88" i="27"/>
  <c r="H92" i="27"/>
  <c r="H90" i="27"/>
  <c r="H91" i="27"/>
  <c r="H89" i="27"/>
  <c r="H88" i="27"/>
  <c r="F92" i="27"/>
  <c r="F91" i="27"/>
  <c r="F90" i="27"/>
  <c r="F89" i="27"/>
  <c r="N57" i="24"/>
  <c r="M58" i="24"/>
  <c r="N58" i="24" s="1"/>
  <c r="G4" i="29" s="1"/>
  <c r="N12" i="27"/>
  <c r="K88" i="27"/>
  <c r="G88" i="27"/>
  <c r="D83" i="27"/>
  <c r="Q67" i="24"/>
  <c r="Q68" i="24"/>
  <c r="Q69" i="24"/>
  <c r="Q70" i="24"/>
  <c r="Q36" i="24"/>
  <c r="Q79" i="24"/>
  <c r="Q81" i="24"/>
  <c r="Q82" i="24"/>
  <c r="Q100" i="24"/>
  <c r="Q101" i="24"/>
  <c r="Q105" i="24"/>
  <c r="Q102" i="24"/>
  <c r="Q103" i="24"/>
  <c r="Q104" i="24"/>
  <c r="Q106" i="24"/>
  <c r="Q114" i="24"/>
  <c r="Q115" i="24"/>
  <c r="Q116" i="24"/>
  <c r="Q107" i="24"/>
  <c r="Q108" i="24"/>
  <c r="Q109" i="24"/>
  <c r="Q110" i="24"/>
  <c r="Q111" i="24"/>
  <c r="Q112" i="24"/>
  <c r="Q113" i="24"/>
  <c r="Q37" i="24"/>
  <c r="Q38" i="24"/>
  <c r="Q39" i="24"/>
  <c r="Q40" i="24"/>
  <c r="Q41" i="24"/>
  <c r="Q43" i="24"/>
  <c r="Q44" i="24"/>
  <c r="Q45" i="24"/>
  <c r="Q46" i="24"/>
  <c r="Q47" i="24"/>
  <c r="Q48" i="24"/>
  <c r="Q49" i="24"/>
  <c r="Q50" i="24"/>
  <c r="Q76" i="24"/>
  <c r="Q77" i="24"/>
  <c r="Q51" i="24"/>
  <c r="Q53" i="24"/>
  <c r="Q92" i="24"/>
  <c r="Q54" i="24"/>
  <c r="Q55" i="24"/>
  <c r="Q78" i="24"/>
  <c r="Q97" i="24"/>
  <c r="Q98" i="24"/>
  <c r="Q117" i="24"/>
  <c r="Q95" i="24"/>
  <c r="Q59" i="24"/>
  <c r="Q60" i="24"/>
  <c r="Q93" i="24"/>
  <c r="Q94" i="24"/>
  <c r="Q96" i="24"/>
  <c r="Q99" i="24"/>
  <c r="Q61" i="24"/>
  <c r="Q62" i="24"/>
  <c r="Q63" i="24"/>
  <c r="Q64" i="24"/>
  <c r="Q65"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71" i="24"/>
  <c r="Q34" i="24"/>
  <c r="Q35" i="24"/>
  <c r="Q72" i="24"/>
  <c r="Q73" i="24"/>
  <c r="Q75" i="24"/>
  <c r="Q66" i="24"/>
  <c r="M109" i="24"/>
  <c r="N109" i="24" s="1"/>
  <c r="M108" i="24"/>
  <c r="N108" i="24" s="1"/>
  <c r="I52" i="4"/>
  <c r="D165" i="3"/>
  <c r="M80" i="24"/>
  <c r="N80" i="24" s="1"/>
  <c r="M113" i="24"/>
  <c r="N113" i="24" s="1"/>
  <c r="M112" i="24"/>
  <c r="N112" i="24" s="1"/>
  <c r="M82" i="24"/>
  <c r="N82" i="24" s="1"/>
  <c r="M79" i="24"/>
  <c r="N79" i="24" s="1"/>
  <c r="M56" i="24"/>
  <c r="N56" i="24" s="1"/>
  <c r="N78" i="24"/>
  <c r="N55" i="24"/>
  <c r="M60" i="24"/>
  <c r="N60" i="24" s="1"/>
  <c r="M59" i="24"/>
  <c r="N59"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Q3" i="8"/>
  <c r="P3" i="8"/>
  <c r="O3" i="8"/>
  <c r="M3" i="8"/>
  <c r="L3" i="8"/>
  <c r="C3" i="8"/>
  <c r="M47" i="24"/>
  <c r="N47" i="24" s="1"/>
  <c r="M75" i="24"/>
  <c r="N75" i="24" s="1"/>
  <c r="M4" i="8" s="1"/>
  <c r="N70" i="24"/>
  <c r="N99" i="24"/>
  <c r="N45" i="24"/>
  <c r="N97" i="24"/>
  <c r="N41" i="24"/>
  <c r="M114" i="24"/>
  <c r="N114" i="24" s="1"/>
  <c r="M115" i="24"/>
  <c r="N115" i="24" s="1"/>
  <c r="M116" i="24"/>
  <c r="N116" i="24" s="1"/>
  <c r="M110" i="24"/>
  <c r="N110" i="24" s="1"/>
  <c r="M111" i="24"/>
  <c r="N111" i="24" s="1"/>
  <c r="M28" i="24"/>
  <c r="N28" i="24" s="1"/>
  <c r="M71" i="24"/>
  <c r="N71" i="24" s="1"/>
  <c r="M72" i="24"/>
  <c r="N72" i="24" s="1"/>
  <c r="M73" i="24"/>
  <c r="N73" i="24" s="1"/>
  <c r="M66" i="24"/>
  <c r="N66" i="24" s="1"/>
  <c r="M27" i="24"/>
  <c r="N27" i="24" s="1"/>
  <c r="E12" i="29" s="1"/>
  <c r="N64" i="24"/>
  <c r="M63" i="24"/>
  <c r="N63" i="24" s="1"/>
  <c r="M117" i="24"/>
  <c r="N117" i="24" s="1"/>
  <c r="M81" i="24"/>
  <c r="N81" i="24" s="1"/>
  <c r="M48" i="24"/>
  <c r="N48" i="24" s="1"/>
  <c r="M76" i="24"/>
  <c r="N76" i="24" s="1"/>
  <c r="M54" i="24"/>
  <c r="N54" i="24" s="1"/>
  <c r="M101" i="24"/>
  <c r="N101" i="24" s="1"/>
  <c r="M105" i="24"/>
  <c r="N105" i="24" s="1"/>
  <c r="M37" i="24"/>
  <c r="N37" i="24" s="1"/>
  <c r="M34" i="24"/>
  <c r="N34" i="24" s="1"/>
  <c r="M36" i="24"/>
  <c r="N36" i="24" s="1"/>
  <c r="M29" i="24"/>
  <c r="N29" i="24" s="1"/>
  <c r="M31" i="24"/>
  <c r="N31" i="24" s="1"/>
  <c r="M38" i="24"/>
  <c r="N38" i="24" s="1"/>
  <c r="M39" i="24"/>
  <c r="N39" i="24" s="1"/>
  <c r="M40" i="24"/>
  <c r="N40" i="24" s="1"/>
  <c r="M49" i="24"/>
  <c r="N49" i="24" s="1"/>
  <c r="M50" i="24"/>
  <c r="N50" i="24" s="1"/>
  <c r="M43" i="24"/>
  <c r="N43" i="24" s="1"/>
  <c r="F5" i="29" s="1"/>
  <c r="M30" i="24"/>
  <c r="N30" i="24" s="1"/>
  <c r="M102" i="24"/>
  <c r="M61" i="24"/>
  <c r="N61" i="24" s="1"/>
  <c r="F17" i="29" s="1"/>
  <c r="M100" i="24"/>
  <c r="M44" i="24"/>
  <c r="N44" i="24" s="1"/>
  <c r="M51" i="24"/>
  <c r="N51" i="24" s="1"/>
  <c r="M53" i="24"/>
  <c r="N53" i="24" s="1"/>
  <c r="M77" i="24"/>
  <c r="N77" i="24" s="1"/>
  <c r="M98" i="24"/>
  <c r="N98" i="24" s="1"/>
  <c r="N103" i="24"/>
  <c r="N104" i="24"/>
  <c r="M106" i="24"/>
  <c r="N106" i="24" s="1"/>
  <c r="M107" i="24"/>
  <c r="N107" i="24" s="1"/>
  <c r="M83" i="24"/>
  <c r="N83" i="24" s="1"/>
  <c r="M35" i="24"/>
  <c r="N35" i="24" s="1"/>
  <c r="M32" i="24"/>
  <c r="N32" i="24" s="1"/>
  <c r="M68" i="24"/>
  <c r="N68" i="24" s="1"/>
  <c r="M69" i="24"/>
  <c r="N69" i="24" s="1"/>
  <c r="M65" i="24"/>
  <c r="N65" i="24" s="1"/>
  <c r="M33" i="24"/>
  <c r="N33" i="24" s="1"/>
  <c r="M67" i="24"/>
  <c r="N67" i="24" s="1"/>
  <c r="M46" i="24"/>
  <c r="N46" i="24" s="1"/>
  <c r="M95" i="24"/>
  <c r="N95" i="24" s="1"/>
  <c r="M92" i="24"/>
  <c r="N92" i="24" s="1"/>
  <c r="M93" i="24"/>
  <c r="N93" i="24" s="1"/>
  <c r="M94" i="24"/>
  <c r="N94" i="24" s="1"/>
  <c r="L21" i="24"/>
  <c r="N21" i="24" s="1"/>
  <c r="B18" i="29" s="1"/>
  <c r="M2" i="24"/>
  <c r="N2" i="24" s="1"/>
  <c r="B12"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1" i="29" s="1"/>
  <c r="M7" i="24"/>
  <c r="N7" i="24" s="1"/>
  <c r="M9" i="24"/>
  <c r="N9" i="24" s="1"/>
  <c r="M10" i="24"/>
  <c r="N10" i="24" s="1"/>
  <c r="M16" i="24"/>
  <c r="N16" i="24" s="1"/>
  <c r="M17" i="24"/>
  <c r="N17" i="24" s="1"/>
  <c r="M18" i="24"/>
  <c r="N18" i="24" s="1"/>
  <c r="M15" i="24"/>
  <c r="N15" i="24" s="1"/>
  <c r="C4" i="29" s="1"/>
  <c r="M24" i="24"/>
  <c r="N24" i="24" s="1"/>
  <c r="D17" i="29" s="1"/>
  <c r="M13" i="24"/>
  <c r="N13" i="24" s="1"/>
  <c r="M14" i="24"/>
  <c r="N14" i="24" s="1"/>
  <c r="C5" i="29" s="1"/>
  <c r="C47" i="4"/>
  <c r="D47" i="4"/>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78" i="3"/>
  <c r="BA78" i="3"/>
  <c r="BB78" i="3"/>
  <c r="CA78" i="3"/>
  <c r="CC78" i="3"/>
  <c r="D103" i="3"/>
  <c r="BA103" i="3"/>
  <c r="BB103" i="3"/>
  <c r="CA103" i="3"/>
  <c r="CC103" i="3"/>
  <c r="D449" i="3"/>
  <c r="BA449" i="3"/>
  <c r="BB449" i="3"/>
  <c r="CA449" i="3"/>
  <c r="CC449" i="3"/>
  <c r="D104" i="3"/>
  <c r="BA104" i="3"/>
  <c r="BB104" i="3"/>
  <c r="CA104" i="3"/>
  <c r="CC104" i="3"/>
  <c r="D105" i="3"/>
  <c r="BA105" i="3"/>
  <c r="BB105" i="3"/>
  <c r="CA105" i="3"/>
  <c r="CC105" i="3"/>
  <c r="D107" i="3"/>
  <c r="BA107" i="3"/>
  <c r="BB107" i="3"/>
  <c r="CA107" i="3"/>
  <c r="CC107" i="3"/>
  <c r="D188" i="3"/>
  <c r="BA188" i="3"/>
  <c r="CA188" i="3"/>
  <c r="CC188" i="3"/>
  <c r="D189" i="3"/>
  <c r="BA189" i="3"/>
  <c r="BB189" i="3"/>
  <c r="CA189" i="3"/>
  <c r="CC189" i="3"/>
  <c r="D190" i="3"/>
  <c r="BA190" i="3"/>
  <c r="BB190" i="3"/>
  <c r="CA190" i="3"/>
  <c r="CC190" i="3"/>
  <c r="D191" i="3"/>
  <c r="BA191" i="3"/>
  <c r="BB191" i="3"/>
  <c r="CA191" i="3"/>
  <c r="CC191" i="3"/>
  <c r="D187" i="3"/>
  <c r="BA187" i="3"/>
  <c r="BB187" i="3"/>
  <c r="CA187" i="3"/>
  <c r="CC187" i="3"/>
  <c r="D186" i="3"/>
  <c r="BA186" i="3"/>
  <c r="BB186" i="3"/>
  <c r="CA186" i="3"/>
  <c r="CC186" i="3"/>
  <c r="D185" i="3"/>
  <c r="BA185" i="3"/>
  <c r="BB185" i="3"/>
  <c r="CA185" i="3"/>
  <c r="CC185" i="3"/>
  <c r="D184" i="3"/>
  <c r="BA184" i="3"/>
  <c r="BB184" i="3"/>
  <c r="CA184" i="3"/>
  <c r="CC184" i="3"/>
  <c r="D183" i="3"/>
  <c r="BA183" i="3"/>
  <c r="BB183" i="3"/>
  <c r="CA183" i="3"/>
  <c r="CC183" i="3"/>
  <c r="D178" i="3"/>
  <c r="BA178" i="3"/>
  <c r="BB178" i="3"/>
  <c r="CA178" i="3"/>
  <c r="CC178" i="3"/>
  <c r="D176" i="3"/>
  <c r="BA176" i="3"/>
  <c r="BB176" i="3"/>
  <c r="CA176" i="3"/>
  <c r="CC176" i="3"/>
  <c r="D177" i="3"/>
  <c r="BA177" i="3"/>
  <c r="BB177" i="3"/>
  <c r="CA177" i="3"/>
  <c r="CC177" i="3"/>
  <c r="D180" i="3"/>
  <c r="BA180" i="3"/>
  <c r="BB180" i="3"/>
  <c r="CA180" i="3"/>
  <c r="CC180" i="3"/>
  <c r="D182" i="3"/>
  <c r="BA182" i="3"/>
  <c r="BB182" i="3"/>
  <c r="CA182" i="3"/>
  <c r="CC182" i="3"/>
  <c r="D181" i="3"/>
  <c r="BA181" i="3"/>
  <c r="BB181" i="3"/>
  <c r="CA181" i="3"/>
  <c r="CC181" i="3"/>
  <c r="D172" i="3"/>
  <c r="BA172" i="3"/>
  <c r="BB172" i="3"/>
  <c r="CA172" i="3"/>
  <c r="CC172" i="3"/>
  <c r="D174" i="3"/>
  <c r="BA174" i="3"/>
  <c r="BB174" i="3"/>
  <c r="CA174" i="3"/>
  <c r="CC174" i="3"/>
  <c r="D192" i="3"/>
  <c r="BA192" i="3"/>
  <c r="BB192" i="3"/>
  <c r="CA192" i="3"/>
  <c r="CC192" i="3"/>
  <c r="D170" i="3"/>
  <c r="BA170" i="3"/>
  <c r="BB170" i="3"/>
  <c r="CA170" i="3"/>
  <c r="CC170" i="3"/>
  <c r="D166" i="3"/>
  <c r="BA166" i="3"/>
  <c r="BB166" i="3"/>
  <c r="CA166" i="3"/>
  <c r="CC166" i="3"/>
  <c r="D168" i="3"/>
  <c r="BA168" i="3"/>
  <c r="BB168" i="3"/>
  <c r="CA168" i="3"/>
  <c r="CC168" i="3"/>
  <c r="D154" i="3"/>
  <c r="BA154" i="3"/>
  <c r="BB154" i="3"/>
  <c r="CA154" i="3"/>
  <c r="CC154" i="3"/>
  <c r="BA165" i="3"/>
  <c r="BB165" i="3"/>
  <c r="CA165" i="3"/>
  <c r="CC165" i="3"/>
  <c r="D171" i="3"/>
  <c r="BA171" i="3"/>
  <c r="BB171" i="3"/>
  <c r="CA171" i="3"/>
  <c r="CC171" i="3"/>
  <c r="D163" i="3"/>
  <c r="BA163" i="3"/>
  <c r="BB163" i="3"/>
  <c r="CA163" i="3"/>
  <c r="CC163" i="3"/>
  <c r="D153" i="3"/>
  <c r="BA153" i="3"/>
  <c r="BB153" i="3"/>
  <c r="CA153" i="3"/>
  <c r="CC153" i="3"/>
  <c r="D131" i="3"/>
  <c r="BA131" i="3"/>
  <c r="BB131" i="3"/>
  <c r="CA131" i="3"/>
  <c r="CC131" i="3"/>
  <c r="D162" i="3"/>
  <c r="BA162" i="3"/>
  <c r="BB162" i="3"/>
  <c r="CA162" i="3"/>
  <c r="CC162" i="3"/>
  <c r="D167" i="3"/>
  <c r="BA167" i="3"/>
  <c r="BB167" i="3"/>
  <c r="CA167" i="3"/>
  <c r="CC167" i="3"/>
  <c r="D173" i="3"/>
  <c r="BA173" i="3"/>
  <c r="BB173" i="3"/>
  <c r="CA173" i="3"/>
  <c r="CC173" i="3"/>
  <c r="D164" i="3"/>
  <c r="BA164" i="3"/>
  <c r="BB164" i="3"/>
  <c r="CA164" i="3"/>
  <c r="CC164" i="3"/>
  <c r="D160" i="3"/>
  <c r="BA160" i="3"/>
  <c r="BB160" i="3"/>
  <c r="CA160" i="3"/>
  <c r="CC160" i="3"/>
  <c r="D161" i="3"/>
  <c r="BA161" i="3"/>
  <c r="BB161" i="3"/>
  <c r="CA161" i="3"/>
  <c r="CC161" i="3"/>
  <c r="D159" i="3"/>
  <c r="BA159" i="3"/>
  <c r="BB159" i="3"/>
  <c r="CA159" i="3"/>
  <c r="CC159" i="3"/>
  <c r="D155" i="3"/>
  <c r="BA155" i="3"/>
  <c r="BB155" i="3"/>
  <c r="CA155" i="3"/>
  <c r="CC155" i="3"/>
  <c r="D175" i="3"/>
  <c r="BA175" i="3"/>
  <c r="BB175" i="3"/>
  <c r="CA175" i="3"/>
  <c r="CC175" i="3"/>
  <c r="D157" i="3"/>
  <c r="BA157" i="3"/>
  <c r="BB157" i="3"/>
  <c r="CA157" i="3"/>
  <c r="CC157" i="3"/>
  <c r="D151" i="3"/>
  <c r="BA151" i="3"/>
  <c r="BB151" i="3"/>
  <c r="CA151" i="3"/>
  <c r="CC151" i="3"/>
  <c r="D150" i="3"/>
  <c r="BA150" i="3"/>
  <c r="BB150" i="3"/>
  <c r="CA150" i="3"/>
  <c r="CC150" i="3"/>
  <c r="D149" i="3"/>
  <c r="BA149" i="3"/>
  <c r="BB149" i="3"/>
  <c r="CA149" i="3"/>
  <c r="CC149" i="3"/>
  <c r="D152" i="3"/>
  <c r="BA152" i="3"/>
  <c r="BB152" i="3"/>
  <c r="CA152" i="3"/>
  <c r="CC152" i="3"/>
  <c r="D128" i="3"/>
  <c r="BA128" i="3"/>
  <c r="BB128" i="3"/>
  <c r="CA128" i="3"/>
  <c r="CC128" i="3"/>
  <c r="D146" i="3"/>
  <c r="BA146" i="3"/>
  <c r="BB146" i="3"/>
  <c r="CA146" i="3"/>
  <c r="CC146" i="3"/>
  <c r="D148" i="3"/>
  <c r="BA148" i="3"/>
  <c r="BB148" i="3"/>
  <c r="CA148" i="3"/>
  <c r="CC148" i="3"/>
  <c r="D142" i="3"/>
  <c r="BA142" i="3"/>
  <c r="BB142" i="3"/>
  <c r="CA142" i="3"/>
  <c r="CC142" i="3"/>
  <c r="D169" i="3"/>
  <c r="BA169" i="3"/>
  <c r="BB169" i="3"/>
  <c r="CA169" i="3"/>
  <c r="CC169" i="3"/>
  <c r="D145" i="3"/>
  <c r="BA145" i="3"/>
  <c r="BB145" i="3"/>
  <c r="CA145" i="3"/>
  <c r="CC145" i="3"/>
  <c r="D143" i="3"/>
  <c r="BA143" i="3"/>
  <c r="BB143" i="3"/>
  <c r="CA143" i="3"/>
  <c r="CC143" i="3"/>
  <c r="D136" i="3"/>
  <c r="BA136" i="3"/>
  <c r="BB136" i="3"/>
  <c r="CA136" i="3"/>
  <c r="CC136" i="3"/>
  <c r="D156" i="3"/>
  <c r="BA156" i="3"/>
  <c r="BB156" i="3"/>
  <c r="CA156" i="3"/>
  <c r="CC156" i="3"/>
  <c r="D179" i="3"/>
  <c r="BA179" i="3"/>
  <c r="BB179" i="3"/>
  <c r="CA179" i="3"/>
  <c r="CC179" i="3"/>
  <c r="D158" i="3"/>
  <c r="BA158" i="3"/>
  <c r="BB158" i="3"/>
  <c r="CA158" i="3"/>
  <c r="CC158" i="3"/>
  <c r="D138" i="3"/>
  <c r="BA138" i="3"/>
  <c r="BB138" i="3"/>
  <c r="CA138" i="3"/>
  <c r="CC138" i="3"/>
  <c r="D137" i="3"/>
  <c r="BA137" i="3"/>
  <c r="BB137" i="3"/>
  <c r="CA137" i="3"/>
  <c r="CC137" i="3"/>
  <c r="D140" i="3"/>
  <c r="BA140" i="3"/>
  <c r="BB140" i="3"/>
  <c r="CA140" i="3"/>
  <c r="CC140" i="3"/>
  <c r="D144" i="3"/>
  <c r="BA144" i="3"/>
  <c r="BB144" i="3"/>
  <c r="CA144" i="3"/>
  <c r="CC144" i="3"/>
  <c r="D133" i="3"/>
  <c r="BA133" i="3"/>
  <c r="BB133" i="3"/>
  <c r="CA133" i="3"/>
  <c r="CC133" i="3"/>
  <c r="D141" i="3"/>
  <c r="BA141" i="3"/>
  <c r="BB141" i="3"/>
  <c r="CA141" i="3"/>
  <c r="CC141" i="3"/>
  <c r="D132" i="3"/>
  <c r="BA132" i="3"/>
  <c r="BB132" i="3"/>
  <c r="CA132" i="3"/>
  <c r="CC132" i="3"/>
  <c r="D129" i="3"/>
  <c r="BA129" i="3"/>
  <c r="BB129" i="3"/>
  <c r="CA129" i="3"/>
  <c r="CC129" i="3"/>
  <c r="D147" i="3"/>
  <c r="BA147" i="3"/>
  <c r="BB147" i="3"/>
  <c r="CA147" i="3"/>
  <c r="CC147" i="3"/>
  <c r="D134" i="3"/>
  <c r="BA134" i="3"/>
  <c r="BB134" i="3"/>
  <c r="CA134" i="3"/>
  <c r="CC134" i="3"/>
  <c r="D127" i="3"/>
  <c r="BA127" i="3"/>
  <c r="BB127" i="3"/>
  <c r="CA127" i="3"/>
  <c r="CC127" i="3"/>
  <c r="D126" i="3"/>
  <c r="BA126" i="3"/>
  <c r="BB126" i="3"/>
  <c r="CA126" i="3"/>
  <c r="CC126" i="3"/>
  <c r="D130" i="3"/>
  <c r="BA130" i="3"/>
  <c r="BB130" i="3"/>
  <c r="CA130" i="3"/>
  <c r="CC130" i="3"/>
  <c r="D123" i="3"/>
  <c r="BA123" i="3"/>
  <c r="BB123" i="3"/>
  <c r="CA123" i="3"/>
  <c r="CC123" i="3"/>
  <c r="D122" i="3"/>
  <c r="BA122" i="3"/>
  <c r="BB122" i="3"/>
  <c r="CA122" i="3"/>
  <c r="CC122" i="3"/>
  <c r="D119" i="3"/>
  <c r="BA119" i="3"/>
  <c r="BB119" i="3"/>
  <c r="CA119" i="3"/>
  <c r="CC119" i="3"/>
  <c r="D124" i="3"/>
  <c r="BA124" i="3"/>
  <c r="BB124" i="3"/>
  <c r="CA124" i="3"/>
  <c r="CC124" i="3"/>
  <c r="D120" i="3"/>
  <c r="BA120" i="3"/>
  <c r="BB120" i="3"/>
  <c r="CA120" i="3"/>
  <c r="CC120" i="3"/>
  <c r="D121" i="3"/>
  <c r="BA121" i="3"/>
  <c r="BB121" i="3"/>
  <c r="CA121" i="3"/>
  <c r="CC121" i="3"/>
  <c r="D125" i="3"/>
  <c r="BA125" i="3"/>
  <c r="BB125" i="3"/>
  <c r="CA125" i="3"/>
  <c r="CC125" i="3"/>
  <c r="D193" i="3"/>
  <c r="BA193" i="3"/>
  <c r="BB193" i="3"/>
  <c r="CA193" i="3"/>
  <c r="CC193" i="3"/>
  <c r="D118" i="3"/>
  <c r="BA118" i="3"/>
  <c r="BB118" i="3"/>
  <c r="CA118" i="3"/>
  <c r="CC118" i="3"/>
  <c r="D117" i="3"/>
  <c r="BA117" i="3"/>
  <c r="BB117" i="3"/>
  <c r="CA117" i="3"/>
  <c r="CC117" i="3"/>
  <c r="D116" i="3"/>
  <c r="BA116" i="3"/>
  <c r="BB116" i="3"/>
  <c r="CA116" i="3"/>
  <c r="CC116" i="3"/>
  <c r="D115" i="3"/>
  <c r="BA115" i="3"/>
  <c r="BB115" i="3"/>
  <c r="CA115" i="3"/>
  <c r="CC115" i="3"/>
  <c r="D113" i="3"/>
  <c r="BA113" i="3"/>
  <c r="BB113" i="3"/>
  <c r="CA113" i="3"/>
  <c r="CC113" i="3"/>
  <c r="D111" i="3"/>
  <c r="BA111" i="3"/>
  <c r="BB111" i="3"/>
  <c r="CA111" i="3"/>
  <c r="CC111" i="3"/>
  <c r="D112" i="3"/>
  <c r="BA112" i="3"/>
  <c r="BB112" i="3"/>
  <c r="CA112" i="3"/>
  <c r="CC112" i="3"/>
  <c r="D114" i="3"/>
  <c r="BA114" i="3"/>
  <c r="BB114" i="3"/>
  <c r="CA114" i="3"/>
  <c r="CC114" i="3"/>
  <c r="D110" i="3"/>
  <c r="BA110" i="3"/>
  <c r="BB110" i="3"/>
  <c r="CA110" i="3"/>
  <c r="CC110" i="3"/>
  <c r="D109" i="3"/>
  <c r="BA109" i="3"/>
  <c r="BB109" i="3"/>
  <c r="CA109" i="3"/>
  <c r="CC109" i="3"/>
  <c r="D108" i="3"/>
  <c r="BA108" i="3"/>
  <c r="BB108" i="3"/>
  <c r="CA108" i="3"/>
  <c r="CC108" i="3"/>
  <c r="D194" i="3"/>
  <c r="BA194" i="3"/>
  <c r="BB194" i="3"/>
  <c r="CA194" i="3"/>
  <c r="CC194" i="3"/>
  <c r="D195" i="3"/>
  <c r="BA195" i="3"/>
  <c r="BB195" i="3"/>
  <c r="CA195" i="3"/>
  <c r="CC195" i="3"/>
  <c r="D101" i="3"/>
  <c r="BA101" i="3"/>
  <c r="BB101" i="3"/>
  <c r="CA101" i="3"/>
  <c r="CC101" i="3"/>
  <c r="D304" i="3"/>
  <c r="BA304" i="3"/>
  <c r="BB304" i="3"/>
  <c r="CA304" i="3"/>
  <c r="CC304" i="3"/>
  <c r="D375" i="3"/>
  <c r="BA375" i="3"/>
  <c r="BB375" i="3"/>
  <c r="CA375" i="3"/>
  <c r="CC375" i="3"/>
  <c r="D376" i="3"/>
  <c r="BA376" i="3"/>
  <c r="BB376" i="3"/>
  <c r="CA376" i="3"/>
  <c r="CC376" i="3"/>
  <c r="D279" i="3"/>
  <c r="BA279" i="3"/>
  <c r="BB279" i="3"/>
  <c r="CA279" i="3"/>
  <c r="CC279" i="3"/>
  <c r="D377" i="3"/>
  <c r="BA377" i="3"/>
  <c r="BB377" i="3"/>
  <c r="CA377" i="3"/>
  <c r="CC377" i="3"/>
  <c r="D378" i="3"/>
  <c r="BA378" i="3"/>
  <c r="BB378" i="3"/>
  <c r="CA378" i="3"/>
  <c r="CC378" i="3"/>
  <c r="D379" i="3"/>
  <c r="BA379" i="3"/>
  <c r="BB379" i="3"/>
  <c r="CA379" i="3"/>
  <c r="CC379" i="3"/>
  <c r="D380" i="3"/>
  <c r="BA380" i="3"/>
  <c r="BB380" i="3"/>
  <c r="CA380" i="3"/>
  <c r="CC380" i="3"/>
  <c r="D259" i="3"/>
  <c r="BA259" i="3"/>
  <c r="BB259" i="3"/>
  <c r="CA259" i="3"/>
  <c r="CC259" i="3"/>
  <c r="D211" i="3"/>
  <c r="BA211" i="3"/>
  <c r="BB211" i="3"/>
  <c r="CA211" i="3"/>
  <c r="CC211" i="3"/>
  <c r="D381" i="3"/>
  <c r="BA381" i="3"/>
  <c r="BB381" i="3"/>
  <c r="CA381" i="3"/>
  <c r="CC381" i="3"/>
  <c r="G1" i="17"/>
  <c r="AB1" i="3"/>
  <c r="Y37" i="8"/>
  <c r="C46" i="4"/>
  <c r="C42" i="4"/>
  <c r="C41" i="4"/>
  <c r="C40" i="4"/>
  <c r="C44" i="4"/>
  <c r="C39" i="4"/>
  <c r="C38" i="4"/>
  <c r="C45" i="4"/>
  <c r="D46" i="4"/>
  <c r="D42" i="4"/>
  <c r="D41" i="4"/>
  <c r="D40" i="4"/>
  <c r="D44" i="4"/>
  <c r="D39" i="4"/>
  <c r="D38" i="4"/>
  <c r="D45" i="4"/>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C369" i="3"/>
  <c r="CC339" i="3"/>
  <c r="CC325" i="3"/>
  <c r="CC214" i="3"/>
  <c r="CC358" i="3"/>
  <c r="CC372" i="3"/>
  <c r="CC345" i="3"/>
  <c r="CC359" i="3"/>
  <c r="CC225" i="3"/>
  <c r="CC444" i="3"/>
  <c r="CC396" i="3"/>
  <c r="CC222" i="3"/>
  <c r="CC395" i="3"/>
  <c r="CC284" i="3"/>
  <c r="CC306" i="3"/>
  <c r="CC360" i="3"/>
  <c r="CC106" i="3"/>
  <c r="CC399" i="3"/>
  <c r="CC397" i="3"/>
  <c r="CC401" i="3"/>
  <c r="CC403" i="3"/>
  <c r="CC406" i="3"/>
  <c r="CC408" i="3"/>
  <c r="CC409" i="3"/>
  <c r="CC442" i="3"/>
  <c r="CC475" i="3"/>
  <c r="CC474" i="3"/>
  <c r="CC410" i="3"/>
  <c r="CC411" i="3"/>
  <c r="CC412" i="3"/>
  <c r="CC414" i="3"/>
  <c r="CC413" i="3"/>
  <c r="CC415" i="3"/>
  <c r="CC417" i="3"/>
  <c r="CC416" i="3"/>
  <c r="CC419" i="3"/>
  <c r="CC421" i="3"/>
  <c r="CC420" i="3"/>
  <c r="CC422" i="3"/>
  <c r="CC424" i="3"/>
  <c r="CC436" i="3"/>
  <c r="CC423" i="3"/>
  <c r="CC425" i="3"/>
  <c r="CC473" i="3"/>
  <c r="CC437" i="3"/>
  <c r="CC426" i="3"/>
  <c r="CC427" i="3"/>
  <c r="CC430" i="3"/>
  <c r="CC398" i="3"/>
  <c r="CC429" i="3"/>
  <c r="CC432" i="3"/>
  <c r="CC431" i="3"/>
  <c r="CC428" i="3"/>
  <c r="CC433" i="3"/>
  <c r="CC434" i="3"/>
  <c r="CC439" i="3"/>
  <c r="CC438" i="3"/>
  <c r="CC472" i="3"/>
  <c r="CC435" i="3"/>
  <c r="CC440" i="3"/>
  <c r="CC441" i="3"/>
  <c r="CC446" i="3"/>
  <c r="CC443" i="3"/>
  <c r="CC407" i="3"/>
  <c r="CC445" i="3"/>
  <c r="CC453" i="3"/>
  <c r="CC448" i="3"/>
  <c r="CC447" i="3"/>
  <c r="CC456" i="3"/>
  <c r="CC450" i="3"/>
  <c r="CC452" i="3"/>
  <c r="CC451" i="3"/>
  <c r="CC454" i="3"/>
  <c r="CC455" i="3"/>
  <c r="CC457" i="3"/>
  <c r="CC458" i="3"/>
  <c r="CC459" i="3"/>
  <c r="CC460" i="3"/>
  <c r="CC461" i="3"/>
  <c r="CC471" i="3"/>
  <c r="CC463" i="3"/>
  <c r="CC462" i="3"/>
  <c r="CC464" i="3"/>
  <c r="CC465" i="3"/>
  <c r="CC466" i="3"/>
  <c r="CC468" i="3"/>
  <c r="CC469" i="3"/>
  <c r="CC470" i="3"/>
  <c r="CC400" i="3"/>
  <c r="CC404" i="3"/>
  <c r="CC405" i="3"/>
  <c r="CC402" i="3"/>
  <c r="CC418" i="3"/>
  <c r="CC467" i="3"/>
  <c r="CC196" i="3"/>
  <c r="CC197" i="3"/>
  <c r="CC200" i="3"/>
  <c r="CC199" i="3"/>
  <c r="CC201" i="3"/>
  <c r="CC198" i="3"/>
  <c r="CC202" i="3"/>
  <c r="CC203" i="3"/>
  <c r="CC204" i="3"/>
  <c r="CC205" i="3"/>
  <c r="CC206" i="3"/>
  <c r="CC207" i="3"/>
  <c r="CC208" i="3"/>
  <c r="CC218" i="3"/>
  <c r="CC209" i="3"/>
  <c r="CC394" i="3"/>
  <c r="CC210" i="3"/>
  <c r="CC100" i="3"/>
  <c r="CC212" i="3"/>
  <c r="CC213" i="3"/>
  <c r="CC393" i="3"/>
  <c r="CC215" i="3"/>
  <c r="CC216" i="3"/>
  <c r="CC392" i="3"/>
  <c r="CC391" i="3"/>
  <c r="CC219" i="3"/>
  <c r="CC220" i="3"/>
  <c r="CC217" i="3"/>
  <c r="CC221" i="3"/>
  <c r="CC223" i="3"/>
  <c r="CC224" i="3"/>
  <c r="CC390" i="3"/>
  <c r="CC239" i="3"/>
  <c r="CC235" i="3"/>
  <c r="CC242" i="3"/>
  <c r="CC234" i="3"/>
  <c r="CC389" i="3"/>
  <c r="CC229" i="3"/>
  <c r="CC230" i="3"/>
  <c r="CC241" i="3"/>
  <c r="CC233" i="3"/>
  <c r="CC232" i="3"/>
  <c r="CC231" i="3"/>
  <c r="CC250" i="3"/>
  <c r="CC247" i="3"/>
  <c r="CC238" i="3"/>
  <c r="CC240" i="3"/>
  <c r="CC388" i="3"/>
  <c r="CC236" i="3"/>
  <c r="CC249" i="3"/>
  <c r="CC387" i="3"/>
  <c r="CC228" i="3"/>
  <c r="CC252" i="3"/>
  <c r="CC243" i="3"/>
  <c r="CC226" i="3"/>
  <c r="CC246" i="3"/>
  <c r="CC245" i="3"/>
  <c r="CC244" i="3"/>
  <c r="CC251" i="3"/>
  <c r="CC253" i="3"/>
  <c r="CC255" i="3"/>
  <c r="CC254" i="3"/>
  <c r="CC267" i="3"/>
  <c r="CC386" i="3"/>
  <c r="CC276" i="3"/>
  <c r="CC257" i="3"/>
  <c r="CC248" i="3"/>
  <c r="CC258" i="3"/>
  <c r="CC260" i="3"/>
  <c r="CC263" i="3"/>
  <c r="CC262" i="3"/>
  <c r="CC256" i="3"/>
  <c r="CC237" i="3"/>
  <c r="CC368" i="3"/>
  <c r="CC268" i="3"/>
  <c r="CC270" i="3"/>
  <c r="CC282" i="3"/>
  <c r="CC271" i="3"/>
  <c r="CC261" i="3"/>
  <c r="CC272" i="3"/>
  <c r="CC266" i="3"/>
  <c r="CC274" i="3"/>
  <c r="CC275" i="3"/>
  <c r="CC269" i="3"/>
  <c r="CC277" i="3"/>
  <c r="CC278" i="3"/>
  <c r="CC295" i="3"/>
  <c r="CC385" i="3"/>
  <c r="CC283" i="3"/>
  <c r="CC285" i="3"/>
  <c r="CC338" i="3"/>
  <c r="CC296" i="3"/>
  <c r="CC286" i="3"/>
  <c r="CC287" i="3"/>
  <c r="CC288" i="3"/>
  <c r="CC289" i="3"/>
  <c r="CC291" i="3"/>
  <c r="CC290" i="3"/>
  <c r="CC281" i="3"/>
  <c r="CC294" i="3"/>
  <c r="CC292" i="3"/>
  <c r="CC297" i="3"/>
  <c r="CC273" i="3"/>
  <c r="CC298" i="3"/>
  <c r="CC299" i="3"/>
  <c r="CC302" i="3"/>
  <c r="CC227" i="3"/>
  <c r="CC305" i="3"/>
  <c r="CC300" i="3"/>
  <c r="CC303" i="3"/>
  <c r="CC135" i="3"/>
  <c r="CC308" i="3"/>
  <c r="CC309" i="3"/>
  <c r="CC301" i="3"/>
  <c r="CC307" i="3"/>
  <c r="CC312" i="3"/>
  <c r="CC310" i="3"/>
  <c r="CC314" i="3"/>
  <c r="CC316" i="3"/>
  <c r="CC315" i="3"/>
  <c r="CC317" i="3"/>
  <c r="CC334" i="3"/>
  <c r="CC311" i="3"/>
  <c r="CC319" i="3"/>
  <c r="CC323" i="3"/>
  <c r="CC354" i="3"/>
  <c r="CC384" i="3"/>
  <c r="CC327" i="3"/>
  <c r="CC321" i="3"/>
  <c r="CC322" i="3"/>
  <c r="CC318" i="3"/>
  <c r="CC324" i="3"/>
  <c r="CC139" i="3"/>
  <c r="CC333" i="3"/>
  <c r="CC328" i="3"/>
  <c r="CC329" i="3"/>
  <c r="CC337" i="3"/>
  <c r="CC320" i="3"/>
  <c r="CC330" i="3"/>
  <c r="CC331" i="3"/>
  <c r="CC326" i="3"/>
  <c r="CC343" i="3"/>
  <c r="CC383" i="3"/>
  <c r="CC332" i="3"/>
  <c r="CC355" i="3"/>
  <c r="CC336" i="3"/>
  <c r="CC341" i="3"/>
  <c r="CC342" i="3"/>
  <c r="CC351" i="3"/>
  <c r="CC363" i="3"/>
  <c r="CC348" i="3"/>
  <c r="CC346" i="3"/>
  <c r="CC340" i="3"/>
  <c r="CC347" i="3"/>
  <c r="CC353" i="3"/>
  <c r="CC356" i="3"/>
  <c r="CC350" i="3"/>
  <c r="CC352" i="3"/>
  <c r="CC361" i="3"/>
  <c r="CC362" i="3"/>
  <c r="CC335" i="3"/>
  <c r="CC364" i="3"/>
  <c r="CC365" i="3"/>
  <c r="CC366" i="3"/>
  <c r="CC367" i="3"/>
  <c r="CC382" i="3"/>
  <c r="CC370" i="3"/>
  <c r="CC99" i="3"/>
  <c r="CC13" i="3"/>
  <c r="CC98" i="3"/>
  <c r="CC7" i="3"/>
  <c r="CC97" i="3"/>
  <c r="CC8" i="3"/>
  <c r="CC96" i="3"/>
  <c r="CC20" i="3"/>
  <c r="CC19" i="3"/>
  <c r="CC95" i="3"/>
  <c r="CC14" i="3"/>
  <c r="CC6" i="3"/>
  <c r="CC9" i="3"/>
  <c r="CC10" i="3"/>
  <c r="CC12" i="3"/>
  <c r="CC11" i="3"/>
  <c r="CC15" i="3"/>
  <c r="CC16" i="3"/>
  <c r="CC17" i="3"/>
  <c r="CC18" i="3"/>
  <c r="CC21" i="3"/>
  <c r="CC25" i="3"/>
  <c r="CC23" i="3"/>
  <c r="CC94" i="3"/>
  <c r="CC22" i="3"/>
  <c r="CC26" i="3"/>
  <c r="CC27" i="3"/>
  <c r="CC24" i="3"/>
  <c r="CC28" i="3"/>
  <c r="CC35" i="3"/>
  <c r="CC31" i="3"/>
  <c r="CC32" i="3"/>
  <c r="CC34" i="3"/>
  <c r="CC30" i="3"/>
  <c r="CC36" i="3"/>
  <c r="CC33" i="3"/>
  <c r="CC29" i="3"/>
  <c r="CC39" i="3"/>
  <c r="CC37" i="3"/>
  <c r="CC40" i="3"/>
  <c r="CC42" i="3"/>
  <c r="CC41" i="3"/>
  <c r="CC43" i="3"/>
  <c r="CC38" i="3"/>
  <c r="CC93" i="3"/>
  <c r="CC44" i="3"/>
  <c r="CC46" i="3"/>
  <c r="CC47" i="3"/>
  <c r="CC45" i="3"/>
  <c r="CC48" i="3"/>
  <c r="CC51" i="3"/>
  <c r="CC50" i="3"/>
  <c r="CC49" i="3"/>
  <c r="CC59" i="3"/>
  <c r="CC53" i="3"/>
  <c r="CC55" i="3"/>
  <c r="CC56" i="3"/>
  <c r="CC58" i="3"/>
  <c r="CC52" i="3"/>
  <c r="CC57" i="3"/>
  <c r="CC60" i="3"/>
  <c r="CC62" i="3"/>
  <c r="CC61" i="3"/>
  <c r="CC64" i="3"/>
  <c r="CC92" i="3"/>
  <c r="CC66" i="3"/>
  <c r="CC67" i="3"/>
  <c r="CC65" i="3"/>
  <c r="CC71" i="3"/>
  <c r="CC68" i="3"/>
  <c r="CC72" i="3"/>
  <c r="CC91" i="3"/>
  <c r="CC63" i="3"/>
  <c r="CC73" i="3"/>
  <c r="CC74" i="3"/>
  <c r="CC75" i="3"/>
  <c r="CC70" i="3"/>
  <c r="CC79" i="3"/>
  <c r="CC69" i="3"/>
  <c r="CC76" i="3"/>
  <c r="CC80" i="3"/>
  <c r="CC77" i="3"/>
  <c r="CC83" i="3"/>
  <c r="CC82" i="3"/>
  <c r="CC81" i="3"/>
  <c r="CC85" i="3"/>
  <c r="CC86" i="3"/>
  <c r="CC84" i="3"/>
  <c r="CC87" i="3"/>
  <c r="CC88" i="3"/>
  <c r="CC89" i="3"/>
  <c r="CC90" i="3"/>
  <c r="CC4" i="3"/>
  <c r="CC5" i="3"/>
  <c r="CC374" i="3"/>
  <c r="CC344" i="3"/>
  <c r="CC102" i="3"/>
  <c r="CC54" i="3"/>
  <c r="CC3" i="3"/>
  <c r="CA70" i="3"/>
  <c r="CA75" i="3"/>
  <c r="CA74" i="3"/>
  <c r="CA73" i="3"/>
  <c r="CA57" i="3"/>
  <c r="CA72" i="3"/>
  <c r="CA91" i="3"/>
  <c r="CA66" i="3"/>
  <c r="CA68" i="3"/>
  <c r="CA71" i="3"/>
  <c r="CA65" i="3"/>
  <c r="CA63" i="3"/>
  <c r="CA67" i="3"/>
  <c r="CA92" i="3"/>
  <c r="CA61" i="3"/>
  <c r="CA58" i="3"/>
  <c r="CA64" i="3"/>
  <c r="CA62" i="3"/>
  <c r="CA89" i="3"/>
  <c r="CA52" i="3"/>
  <c r="CA56" i="3"/>
  <c r="CA55" i="3"/>
  <c r="CA49" i="3"/>
  <c r="CA93" i="3"/>
  <c r="CA53" i="3"/>
  <c r="CA50" i="3"/>
  <c r="CA51" i="3"/>
  <c r="CA48" i="3"/>
  <c r="CA44" i="3"/>
  <c r="CA45" i="3"/>
  <c r="CA47" i="3"/>
  <c r="CA46" i="3"/>
  <c r="CA88" i="3"/>
  <c r="CA38" i="3"/>
  <c r="CA37" i="3"/>
  <c r="CA42" i="3"/>
  <c r="CA43" i="3"/>
  <c r="CA39" i="3"/>
  <c r="CA40" i="3"/>
  <c r="CA33" i="3"/>
  <c r="CA29" i="3"/>
  <c r="CA87" i="3"/>
  <c r="CA31" i="3"/>
  <c r="CA30" i="3"/>
  <c r="CA36" i="3"/>
  <c r="CA27" i="3"/>
  <c r="CA32" i="3"/>
  <c r="CA28" i="3"/>
  <c r="CA35" i="3"/>
  <c r="CA24" i="3"/>
  <c r="CA26" i="3"/>
  <c r="CA34" i="3"/>
  <c r="CA84" i="3"/>
  <c r="CA22" i="3"/>
  <c r="CA41" i="3"/>
  <c r="CA86" i="3"/>
  <c r="CA23" i="3"/>
  <c r="CA94" i="3"/>
  <c r="CA21" i="3"/>
  <c r="CA18" i="3"/>
  <c r="CA16" i="3"/>
  <c r="CA17" i="3"/>
  <c r="CA10" i="3"/>
  <c r="CA11" i="3"/>
  <c r="CA15" i="3"/>
  <c r="CA6" i="3"/>
  <c r="CA12" i="3"/>
  <c r="CA19" i="3"/>
  <c r="CA14" i="3"/>
  <c r="CA20" i="3"/>
  <c r="CA8" i="3"/>
  <c r="CA96" i="3"/>
  <c r="CA60" i="3"/>
  <c r="CA7" i="3"/>
  <c r="CA97" i="3"/>
  <c r="CA9" i="3"/>
  <c r="CA85" i="3"/>
  <c r="CA98" i="3"/>
  <c r="CA81" i="3"/>
  <c r="CA13" i="3"/>
  <c r="CA82" i="3"/>
  <c r="CA83" i="3"/>
  <c r="CA77" i="3"/>
  <c r="CA80" i="3"/>
  <c r="CA76" i="3"/>
  <c r="CA69" i="3"/>
  <c r="CA59" i="3"/>
  <c r="CA99" i="3"/>
  <c r="CA370" i="3"/>
  <c r="CA366" i="3"/>
  <c r="CA365" i="3"/>
  <c r="CA100" i="3"/>
  <c r="CA361" i="3"/>
  <c r="CA367" i="3"/>
  <c r="CA335" i="3"/>
  <c r="CA25" i="3"/>
  <c r="CA364" i="3"/>
  <c r="CA362" i="3"/>
  <c r="CA356" i="3"/>
  <c r="CA382" i="3"/>
  <c r="CA350" i="3"/>
  <c r="CA352" i="3"/>
  <c r="CA353" i="3"/>
  <c r="CA334" i="3"/>
  <c r="CA347" i="3"/>
  <c r="CA348" i="3"/>
  <c r="CA332" i="3"/>
  <c r="CA340" i="3"/>
  <c r="CA346" i="3"/>
  <c r="CA342" i="3"/>
  <c r="CA351" i="3"/>
  <c r="CA355" i="3"/>
  <c r="CA341" i="3"/>
  <c r="CA343" i="3"/>
  <c r="CA336" i="3"/>
  <c r="CA333" i="3"/>
  <c r="CA331" i="3"/>
  <c r="CA330" i="3"/>
  <c r="CA326" i="3"/>
  <c r="CA329" i="3"/>
  <c r="CA337" i="3"/>
  <c r="CA328" i="3"/>
  <c r="CA327" i="3"/>
  <c r="CA320" i="3"/>
  <c r="CA324" i="3"/>
  <c r="CA139" i="3"/>
  <c r="CA322" i="3"/>
  <c r="CA383" i="3"/>
  <c r="CA384" i="3"/>
  <c r="CA321" i="3"/>
  <c r="CA311" i="3"/>
  <c r="CA318" i="3"/>
  <c r="CA319" i="3"/>
  <c r="CA317" i="3"/>
  <c r="CA314" i="3"/>
  <c r="CA315" i="3"/>
  <c r="CA95" i="3"/>
  <c r="CA316" i="3"/>
  <c r="CA310" i="3"/>
  <c r="CA312" i="3"/>
  <c r="CA309" i="3"/>
  <c r="CA308" i="3"/>
  <c r="CA307" i="3"/>
  <c r="CA301" i="3"/>
  <c r="CA303" i="3"/>
  <c r="CA300" i="3"/>
  <c r="CA135" i="3"/>
  <c r="CA305" i="3"/>
  <c r="CA227" i="3"/>
  <c r="CA302" i="3"/>
  <c r="CA299" i="3"/>
  <c r="CA298" i="3"/>
  <c r="CA273" i="3"/>
  <c r="CA297" i="3"/>
  <c r="CA391" i="3"/>
  <c r="CA294" i="3"/>
  <c r="CA292" i="3"/>
  <c r="CA290" i="3"/>
  <c r="CA289" i="3"/>
  <c r="CA288" i="3"/>
  <c r="CA291" i="3"/>
  <c r="CA272" i="3"/>
  <c r="CA286" i="3"/>
  <c r="CA295" i="3"/>
  <c r="CA296" i="3"/>
  <c r="CA385" i="3"/>
  <c r="CA285" i="3"/>
  <c r="CA287" i="3"/>
  <c r="CA283" i="3"/>
  <c r="CA338" i="3"/>
  <c r="CA323" i="3"/>
  <c r="CA281" i="3"/>
  <c r="CA278" i="3"/>
  <c r="CA277" i="3"/>
  <c r="CA354" i="3"/>
  <c r="CA275" i="3"/>
  <c r="CA266" i="3"/>
  <c r="CA269" i="3"/>
  <c r="CA271" i="3"/>
  <c r="CA270" i="3"/>
  <c r="CA274" i="3"/>
  <c r="CA268" i="3"/>
  <c r="CA368" i="3"/>
  <c r="CA276" i="3"/>
  <c r="CA237" i="3"/>
  <c r="CA262" i="3"/>
  <c r="CA261" i="3"/>
  <c r="CA263" i="3"/>
  <c r="CA260" i="3"/>
  <c r="CA258" i="3"/>
  <c r="CA282" i="3"/>
  <c r="CA386" i="3"/>
  <c r="CA267" i="3"/>
  <c r="CA254" i="3"/>
  <c r="CA255" i="3"/>
  <c r="CA253" i="3"/>
  <c r="CA251" i="3"/>
  <c r="CA240" i="3"/>
  <c r="CA248" i="3"/>
  <c r="CA244" i="3"/>
  <c r="CA245" i="3"/>
  <c r="CA246" i="3"/>
  <c r="CA226" i="3"/>
  <c r="CA243" i="3"/>
  <c r="CA387" i="3"/>
  <c r="CA256" i="3"/>
  <c r="CA241" i="3"/>
  <c r="CA388" i="3"/>
  <c r="CA238" i="3"/>
  <c r="CA236" i="3"/>
  <c r="CA250" i="3"/>
  <c r="CA231" i="3"/>
  <c r="CA232" i="3"/>
  <c r="CA233" i="3"/>
  <c r="CA230" i="3"/>
  <c r="CA224" i="3"/>
  <c r="CA229" i="3"/>
  <c r="CA389" i="3"/>
  <c r="CA249" i="3"/>
  <c r="CA242" i="3"/>
  <c r="CA228" i="3"/>
  <c r="CA257" i="3"/>
  <c r="CA79" i="3"/>
  <c r="CA235" i="3"/>
  <c r="CA234" i="3"/>
  <c r="CA252" i="3"/>
  <c r="CA239" i="3"/>
  <c r="CA390" i="3"/>
  <c r="CA247" i="3"/>
  <c r="CA221" i="3"/>
  <c r="CA217" i="3"/>
  <c r="CA220" i="3"/>
  <c r="CA219" i="3"/>
  <c r="CA223" i="3"/>
  <c r="CA392" i="3"/>
  <c r="CA216" i="3"/>
  <c r="CA393" i="3"/>
  <c r="CA215" i="3"/>
  <c r="CA213" i="3"/>
  <c r="CA363" i="3"/>
  <c r="CA212" i="3"/>
  <c r="CA210" i="3"/>
  <c r="CA394" i="3"/>
  <c r="CA209" i="3"/>
  <c r="CA218" i="3"/>
  <c r="CA208" i="3"/>
  <c r="CA205" i="3"/>
  <c r="CA207" i="3"/>
  <c r="CA206" i="3"/>
  <c r="CA204" i="3"/>
  <c r="CA203" i="3"/>
  <c r="CA202" i="3"/>
  <c r="CA198" i="3"/>
  <c r="CA201" i="3"/>
  <c r="CA199" i="3"/>
  <c r="CA200" i="3"/>
  <c r="CA197" i="3"/>
  <c r="CA196" i="3"/>
  <c r="CA470" i="3"/>
  <c r="CA469" i="3"/>
  <c r="CA468" i="3"/>
  <c r="CA466" i="3"/>
  <c r="CA467" i="3"/>
  <c r="CA465" i="3"/>
  <c r="CA464" i="3"/>
  <c r="CA462" i="3"/>
  <c r="CA463" i="3"/>
  <c r="CA461" i="3"/>
  <c r="CA460" i="3"/>
  <c r="CA458" i="3"/>
  <c r="CA459" i="3"/>
  <c r="CA457" i="3"/>
  <c r="CA455" i="3"/>
  <c r="CA454" i="3"/>
  <c r="CA456" i="3"/>
  <c r="CA451" i="3"/>
  <c r="CA452" i="3"/>
  <c r="CA450" i="3"/>
  <c r="CA447" i="3"/>
  <c r="CA445" i="3"/>
  <c r="CA448" i="3"/>
  <c r="CA453" i="3"/>
  <c r="CA446" i="3"/>
  <c r="CA440" i="3"/>
  <c r="CA441" i="3"/>
  <c r="CA443" i="3"/>
  <c r="CA438" i="3"/>
  <c r="CA435" i="3"/>
  <c r="CA439" i="3"/>
  <c r="CA472" i="3"/>
  <c r="CA434" i="3"/>
  <c r="CA436" i="3"/>
  <c r="CA433" i="3"/>
  <c r="CA428" i="3"/>
  <c r="CA430" i="3"/>
  <c r="CA431" i="3"/>
  <c r="CA429" i="3"/>
  <c r="CA398" i="3"/>
  <c r="CA432" i="3"/>
  <c r="CA427" i="3"/>
  <c r="CA426" i="3"/>
  <c r="CA425" i="3"/>
  <c r="CA473" i="3"/>
  <c r="CA437" i="3"/>
  <c r="CA423" i="3"/>
  <c r="CA422" i="3"/>
  <c r="CA420" i="3"/>
  <c r="CA424" i="3"/>
  <c r="CA421" i="3"/>
  <c r="CA418" i="3"/>
  <c r="CA419" i="3"/>
  <c r="CA474" i="3"/>
  <c r="CA416" i="3"/>
  <c r="CA407" i="3"/>
  <c r="CA417" i="3"/>
  <c r="CA415" i="3"/>
  <c r="CA413" i="3"/>
  <c r="CA401" i="3"/>
  <c r="CA412" i="3"/>
  <c r="CA414" i="3"/>
  <c r="CA411" i="3"/>
  <c r="CA410" i="3"/>
  <c r="CA475" i="3"/>
  <c r="CA409" i="3"/>
  <c r="CA442" i="3"/>
  <c r="CA402" i="3"/>
  <c r="CA405" i="3"/>
  <c r="CA404" i="3"/>
  <c r="CA408" i="3"/>
  <c r="CA406" i="3"/>
  <c r="CA403" i="3"/>
  <c r="CA397" i="3"/>
  <c r="CA400" i="3"/>
  <c r="CA471" i="3"/>
  <c r="CA399" i="3"/>
  <c r="CA3" i="3"/>
  <c r="CA54" i="3"/>
  <c r="CA102" i="3"/>
  <c r="CA344" i="3"/>
  <c r="CA374" i="3"/>
  <c r="CA5" i="3"/>
  <c r="CA4" i="3"/>
  <c r="CA90" i="3"/>
  <c r="CA106" i="3"/>
  <c r="CA360" i="3"/>
  <c r="CA306" i="3"/>
  <c r="CA284" i="3"/>
  <c r="CA395" i="3"/>
  <c r="CA222" i="3"/>
  <c r="CA396" i="3"/>
  <c r="CA444" i="3"/>
  <c r="CA225" i="3"/>
  <c r="CA359" i="3"/>
  <c r="CA345" i="3"/>
  <c r="CA372" i="3"/>
  <c r="CA358" i="3"/>
  <c r="CA214" i="3"/>
  <c r="CA325" i="3"/>
  <c r="CA339" i="3"/>
  <c r="CA369" i="3"/>
  <c r="CA264" i="3"/>
  <c r="CA349" i="3"/>
  <c r="CA313" i="3"/>
  <c r="CA280" i="3"/>
  <c r="CA373" i="3"/>
  <c r="CA371" i="3"/>
  <c r="CA265" i="3"/>
  <c r="CA357" i="3"/>
  <c r="CA293" i="3"/>
  <c r="CA476" i="3"/>
  <c r="CA477" i="3"/>
  <c r="CA478" i="3"/>
  <c r="CA479" i="3"/>
  <c r="CA480" i="3"/>
  <c r="CA481" i="3"/>
  <c r="CA482" i="3"/>
  <c r="CA483" i="3"/>
  <c r="CA484" i="3"/>
  <c r="CA485" i="3"/>
  <c r="CA486" i="3"/>
  <c r="CA487" i="3"/>
  <c r="CA488" i="3"/>
  <c r="CA489" i="3"/>
  <c r="CA490" i="3"/>
  <c r="CA491" i="3"/>
  <c r="CA492" i="3"/>
  <c r="CA493" i="3"/>
  <c r="CA494" i="3"/>
  <c r="CA495" i="3"/>
  <c r="CA496" i="3"/>
  <c r="CA497" i="3"/>
  <c r="CA498" i="3"/>
  <c r="CA499" i="3"/>
  <c r="CA500" i="3"/>
  <c r="CA501" i="3"/>
  <c r="CA502" i="3"/>
  <c r="CA503" i="3"/>
  <c r="CA504" i="3"/>
  <c r="CA505" i="3"/>
  <c r="CA506" i="3"/>
  <c r="CA507" i="3"/>
  <c r="CA508" i="3"/>
  <c r="CA509" i="3"/>
  <c r="CA510" i="3"/>
  <c r="CA511" i="3"/>
  <c r="CA512" i="3"/>
  <c r="CA513" i="3"/>
  <c r="CA514" i="3"/>
  <c r="CA515" i="3"/>
  <c r="CA516" i="3"/>
  <c r="CA517" i="3"/>
  <c r="CA518" i="3"/>
  <c r="CA519" i="3"/>
  <c r="CA520" i="3"/>
  <c r="CA521" i="3"/>
  <c r="CA522" i="3"/>
  <c r="CA523" i="3"/>
  <c r="CA524" i="3"/>
  <c r="CA525" i="3"/>
  <c r="CA526" i="3"/>
  <c r="CA527" i="3"/>
  <c r="CA528" i="3"/>
  <c r="CA529" i="3"/>
  <c r="CA530" i="3"/>
  <c r="CA531" i="3"/>
  <c r="CA532" i="3"/>
  <c r="CA533" i="3"/>
  <c r="CA534" i="3"/>
  <c r="CA535" i="3"/>
  <c r="CA536" i="3"/>
  <c r="CA537" i="3"/>
  <c r="CA538" i="3"/>
  <c r="CA539" i="3"/>
  <c r="CA540" i="3"/>
  <c r="CA541" i="3"/>
  <c r="CA542" i="3"/>
  <c r="CA543" i="3"/>
  <c r="CA544" i="3"/>
  <c r="CA545" i="3"/>
  <c r="CA546" i="3"/>
  <c r="CA547" i="3"/>
  <c r="CA548" i="3"/>
  <c r="CA549" i="3"/>
  <c r="CA550" i="3"/>
  <c r="CA551" i="3"/>
  <c r="CA552" i="3"/>
  <c r="CA553" i="3"/>
  <c r="CA554" i="3"/>
  <c r="CA555" i="3"/>
  <c r="CA556" i="3"/>
  <c r="CA557" i="3"/>
  <c r="CA558" i="3"/>
  <c r="CA559" i="3"/>
  <c r="CA560" i="3"/>
  <c r="CA561" i="3"/>
  <c r="CA562" i="3"/>
  <c r="CA563" i="3"/>
  <c r="CA564" i="3"/>
  <c r="CA565" i="3"/>
  <c r="CA566" i="3"/>
  <c r="CA567" i="3"/>
  <c r="CA568" i="3"/>
  <c r="CA569" i="3"/>
  <c r="CA570" i="3"/>
  <c r="CA571" i="3"/>
  <c r="CA572" i="3"/>
  <c r="CA573" i="3"/>
  <c r="CA574" i="3"/>
  <c r="CA575" i="3"/>
  <c r="CA576" i="3"/>
  <c r="CA577" i="3"/>
  <c r="CA578" i="3"/>
  <c r="CA579" i="3"/>
  <c r="CA580" i="3"/>
  <c r="CA581" i="3"/>
  <c r="CA582" i="3"/>
  <c r="CA583" i="3"/>
  <c r="CA584" i="3"/>
  <c r="CA585" i="3"/>
  <c r="CA586" i="3"/>
  <c r="CA587" i="3"/>
  <c r="CA588" i="3"/>
  <c r="CA589" i="3"/>
  <c r="CA590" i="3"/>
  <c r="CA591" i="3"/>
  <c r="CA592" i="3"/>
  <c r="CA593" i="3"/>
  <c r="CA594" i="3"/>
  <c r="CA595" i="3"/>
  <c r="CA596" i="3"/>
  <c r="CA597" i="3"/>
  <c r="CA598" i="3"/>
  <c r="CA599" i="3"/>
  <c r="CA600" i="3"/>
  <c r="CA601" i="3"/>
  <c r="CA602" i="3"/>
  <c r="CA603" i="3"/>
  <c r="CA604" i="3"/>
  <c r="CA605" i="3"/>
  <c r="CA606" i="3"/>
  <c r="CA607" i="3"/>
  <c r="CA608" i="3"/>
  <c r="CA609" i="3"/>
  <c r="CA610" i="3"/>
  <c r="CA611" i="3"/>
  <c r="CA612" i="3"/>
  <c r="CA613" i="3"/>
  <c r="CA614" i="3"/>
  <c r="CA615" i="3"/>
  <c r="CA616" i="3"/>
  <c r="CA617" i="3"/>
  <c r="CA618" i="3"/>
  <c r="CA619" i="3"/>
  <c r="CA620" i="3"/>
  <c r="CA621" i="3"/>
  <c r="CA622" i="3"/>
  <c r="CA623" i="3"/>
  <c r="CA624" i="3"/>
  <c r="CA625" i="3"/>
  <c r="CA626" i="3"/>
  <c r="CA627" i="3"/>
  <c r="CA628" i="3"/>
  <c r="CA629" i="3"/>
  <c r="CA630" i="3"/>
  <c r="CA631" i="3"/>
  <c r="CA632"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BA578" i="3"/>
  <c r="BA577" i="3"/>
  <c r="BA576" i="3"/>
  <c r="BA575" i="3"/>
  <c r="BA574" i="3"/>
  <c r="BA573" i="3"/>
  <c r="BA572" i="3"/>
  <c r="BA571" i="3"/>
  <c r="BA570" i="3"/>
  <c r="BA569" i="3"/>
  <c r="BA568" i="3"/>
  <c r="BA567" i="3"/>
  <c r="BA566" i="3"/>
  <c r="BA565" i="3"/>
  <c r="BA564" i="3"/>
  <c r="BA563" i="3"/>
  <c r="BA562" i="3"/>
  <c r="BA561" i="3"/>
  <c r="BA560" i="3"/>
  <c r="BA559" i="3"/>
  <c r="BA558" i="3"/>
  <c r="BA557" i="3"/>
  <c r="BA556" i="3"/>
  <c r="BA555" i="3"/>
  <c r="BA554" i="3"/>
  <c r="BA553" i="3"/>
  <c r="BA552" i="3"/>
  <c r="BA551" i="3"/>
  <c r="BA550" i="3"/>
  <c r="BA549" i="3"/>
  <c r="BA548" i="3"/>
  <c r="BA547" i="3"/>
  <c r="BA546" i="3"/>
  <c r="BA545" i="3"/>
  <c r="BA544" i="3"/>
  <c r="BA543" i="3"/>
  <c r="BA542" i="3"/>
  <c r="BA541" i="3"/>
  <c r="BA540" i="3"/>
  <c r="BA539" i="3"/>
  <c r="BA538" i="3"/>
  <c r="BA537" i="3"/>
  <c r="BA536" i="3"/>
  <c r="BA535" i="3"/>
  <c r="BA534" i="3"/>
  <c r="BA533" i="3"/>
  <c r="BA532" i="3"/>
  <c r="BA531" i="3"/>
  <c r="BA530" i="3"/>
  <c r="BA529" i="3"/>
  <c r="BA528" i="3"/>
  <c r="BA527" i="3"/>
  <c r="BA526" i="3"/>
  <c r="BA525" i="3"/>
  <c r="BA524" i="3"/>
  <c r="BA523" i="3"/>
  <c r="BA522" i="3"/>
  <c r="BA521" i="3"/>
  <c r="BA520" i="3"/>
  <c r="BA519" i="3"/>
  <c r="BA518" i="3"/>
  <c r="BA517" i="3"/>
  <c r="BA516" i="3"/>
  <c r="BA515" i="3"/>
  <c r="BA514" i="3"/>
  <c r="BA513" i="3"/>
  <c r="BA512" i="3"/>
  <c r="BA511" i="3"/>
  <c r="BA510" i="3"/>
  <c r="BA509" i="3"/>
  <c r="BA508" i="3"/>
  <c r="BA507" i="3"/>
  <c r="BA506" i="3"/>
  <c r="BA505" i="3"/>
  <c r="BA504" i="3"/>
  <c r="BA503" i="3"/>
  <c r="BA502" i="3"/>
  <c r="BA501" i="3"/>
  <c r="BA500" i="3"/>
  <c r="BA499" i="3"/>
  <c r="BA498" i="3"/>
  <c r="BA497" i="3"/>
  <c r="BA496" i="3"/>
  <c r="BA495" i="3"/>
  <c r="BA494" i="3"/>
  <c r="BA493" i="3"/>
  <c r="BA492" i="3"/>
  <c r="BA491" i="3"/>
  <c r="BA490" i="3"/>
  <c r="BA489" i="3"/>
  <c r="BA488" i="3"/>
  <c r="BA487" i="3"/>
  <c r="BA486" i="3"/>
  <c r="BA485" i="3"/>
  <c r="BA484" i="3"/>
  <c r="BA483" i="3"/>
  <c r="BA482" i="3"/>
  <c r="BA481" i="3"/>
  <c r="BA480" i="3"/>
  <c r="BA479" i="3"/>
  <c r="BA478" i="3"/>
  <c r="BA477" i="3"/>
  <c r="BA476" i="3"/>
  <c r="BA293" i="3"/>
  <c r="BA357" i="3"/>
  <c r="BA265" i="3"/>
  <c r="BA371" i="3"/>
  <c r="BA373" i="3"/>
  <c r="BA280" i="3"/>
  <c r="BA313" i="3"/>
  <c r="BA349" i="3"/>
  <c r="BA264" i="3"/>
  <c r="BA369" i="3"/>
  <c r="BA339" i="3"/>
  <c r="BA325" i="3"/>
  <c r="BA214" i="3"/>
  <c r="BA358" i="3"/>
  <c r="BA372" i="3"/>
  <c r="BA345" i="3"/>
  <c r="BA359" i="3"/>
  <c r="BA225" i="3"/>
  <c r="BA444" i="3"/>
  <c r="BA396" i="3"/>
  <c r="BA222" i="3"/>
  <c r="BA395" i="3"/>
  <c r="BA284" i="3"/>
  <c r="BA306" i="3"/>
  <c r="BA360" i="3"/>
  <c r="BA106" i="3"/>
  <c r="BA374" i="3"/>
  <c r="BA5" i="3"/>
  <c r="BA344" i="3"/>
  <c r="BA54" i="3"/>
  <c r="BA4" i="3"/>
  <c r="BA102" i="3"/>
  <c r="BA3" i="3"/>
  <c r="BA474" i="3"/>
  <c r="BA471" i="3"/>
  <c r="BA400" i="3"/>
  <c r="BA399" i="3"/>
  <c r="BA401" i="3"/>
  <c r="BA403" i="3"/>
  <c r="BA406" i="3"/>
  <c r="BA404" i="3"/>
  <c r="BA405" i="3"/>
  <c r="BA402" i="3"/>
  <c r="BA409" i="3"/>
  <c r="BA408" i="3"/>
  <c r="BA442" i="3"/>
  <c r="BA475" i="3"/>
  <c r="BA410" i="3"/>
  <c r="BA412" i="3"/>
  <c r="BA411" i="3"/>
  <c r="BA397" i="3"/>
  <c r="BA414" i="3"/>
  <c r="BA413" i="3"/>
  <c r="BA415" i="3"/>
  <c r="BA407" i="3"/>
  <c r="BA417" i="3"/>
  <c r="BA416" i="3"/>
  <c r="BA419" i="3"/>
  <c r="BA418" i="3"/>
  <c r="BA421" i="3"/>
  <c r="BA424" i="3"/>
  <c r="BA420" i="3"/>
  <c r="BA422" i="3"/>
  <c r="BA423" i="3"/>
  <c r="BA437" i="3"/>
  <c r="BA473" i="3"/>
  <c r="BA425" i="3"/>
  <c r="BA426" i="3"/>
  <c r="BA427" i="3"/>
  <c r="BA432" i="3"/>
  <c r="BA398" i="3"/>
  <c r="BA429" i="3"/>
  <c r="BA431" i="3"/>
  <c r="BA430" i="3"/>
  <c r="BA428" i="3"/>
  <c r="BA433" i="3"/>
  <c r="BA436" i="3"/>
  <c r="BA434" i="3"/>
  <c r="BA472" i="3"/>
  <c r="BA439" i="3"/>
  <c r="BA435" i="3"/>
  <c r="BA438" i="3"/>
  <c r="BA443" i="3"/>
  <c r="BA441" i="3"/>
  <c r="BA440" i="3"/>
  <c r="BA446" i="3"/>
  <c r="BA453" i="3"/>
  <c r="BA448" i="3"/>
  <c r="BA445" i="3"/>
  <c r="BA447" i="3"/>
  <c r="BA450" i="3"/>
  <c r="BA452" i="3"/>
  <c r="BA451" i="3"/>
  <c r="BA456" i="3"/>
  <c r="BA454" i="3"/>
  <c r="BA455" i="3"/>
  <c r="BA457" i="3"/>
  <c r="BA459" i="3"/>
  <c r="BA458" i="3"/>
  <c r="BA460" i="3"/>
  <c r="BA461" i="3"/>
  <c r="BA463" i="3"/>
  <c r="BA462" i="3"/>
  <c r="BA464" i="3"/>
  <c r="BA465" i="3"/>
  <c r="BA467" i="3"/>
  <c r="BA466" i="3"/>
  <c r="BA468" i="3"/>
  <c r="BA469" i="3"/>
  <c r="BA470" i="3"/>
  <c r="BA196" i="3"/>
  <c r="BA197" i="3"/>
  <c r="BA200" i="3"/>
  <c r="BA199" i="3"/>
  <c r="BA201" i="3"/>
  <c r="BA198" i="3"/>
  <c r="BA202" i="3"/>
  <c r="BA203" i="3"/>
  <c r="BA204" i="3"/>
  <c r="BA206" i="3"/>
  <c r="BA207" i="3"/>
  <c r="BA205" i="3"/>
  <c r="BA208" i="3"/>
  <c r="BA218" i="3"/>
  <c r="BA209" i="3"/>
  <c r="BA394" i="3"/>
  <c r="BA210" i="3"/>
  <c r="BA212" i="3"/>
  <c r="BA363" i="3"/>
  <c r="BA213" i="3"/>
  <c r="BA215" i="3"/>
  <c r="BA393" i="3"/>
  <c r="BA216" i="3"/>
  <c r="BA392" i="3"/>
  <c r="BA223" i="3"/>
  <c r="BA219" i="3"/>
  <c r="BA220" i="3"/>
  <c r="BA217" i="3"/>
  <c r="BA221" i="3"/>
  <c r="BA247" i="3"/>
  <c r="BA390" i="3"/>
  <c r="BA239" i="3"/>
  <c r="BA252" i="3"/>
  <c r="BA234" i="3"/>
  <c r="BA235" i="3"/>
  <c r="BA13" i="3"/>
  <c r="BA257" i="3"/>
  <c r="BA228" i="3"/>
  <c r="BA242" i="3"/>
  <c r="BA249" i="3"/>
  <c r="BA389" i="3"/>
  <c r="BA229" i="3"/>
  <c r="BA224" i="3"/>
  <c r="BA230" i="3"/>
  <c r="BA233" i="3"/>
  <c r="BA232" i="3"/>
  <c r="BA231" i="3"/>
  <c r="BA250" i="3"/>
  <c r="BA236" i="3"/>
  <c r="BA238" i="3"/>
  <c r="BA388" i="3"/>
  <c r="BA241" i="3"/>
  <c r="BA256" i="3"/>
  <c r="BA387" i="3"/>
  <c r="BA243" i="3"/>
  <c r="BA226" i="3"/>
  <c r="BA246" i="3"/>
  <c r="BA245" i="3"/>
  <c r="BA244" i="3"/>
  <c r="BA248" i="3"/>
  <c r="BA240" i="3"/>
  <c r="BA251" i="3"/>
  <c r="BA253" i="3"/>
  <c r="BA255" i="3"/>
  <c r="BA254" i="3"/>
  <c r="BA267" i="3"/>
  <c r="BA386" i="3"/>
  <c r="BA282" i="3"/>
  <c r="BA258" i="3"/>
  <c r="BA260" i="3"/>
  <c r="BA263" i="3"/>
  <c r="BA261" i="3"/>
  <c r="BA262" i="3"/>
  <c r="BA237" i="3"/>
  <c r="BA276" i="3"/>
  <c r="BA368" i="3"/>
  <c r="BA268" i="3"/>
  <c r="BA274" i="3"/>
  <c r="BA270" i="3"/>
  <c r="BA271" i="3"/>
  <c r="BA269" i="3"/>
  <c r="BA266" i="3"/>
  <c r="BA275" i="3"/>
  <c r="BA354" i="3"/>
  <c r="BA277" i="3"/>
  <c r="BA278" i="3"/>
  <c r="BA281" i="3"/>
  <c r="BA323" i="3"/>
  <c r="BA338" i="3"/>
  <c r="BA283" i="3"/>
  <c r="BA287" i="3"/>
  <c r="BA285" i="3"/>
  <c r="BA385" i="3"/>
  <c r="BA296" i="3"/>
  <c r="BA295" i="3"/>
  <c r="BA286" i="3"/>
  <c r="BA272" i="3"/>
  <c r="BA291" i="3"/>
  <c r="BA288" i="3"/>
  <c r="BA289" i="3"/>
  <c r="BA290" i="3"/>
  <c r="BA292" i="3"/>
  <c r="BA294" i="3"/>
  <c r="BA391" i="3"/>
  <c r="BA297" i="3"/>
  <c r="BA273" i="3"/>
  <c r="BA298" i="3"/>
  <c r="BA299" i="3"/>
  <c r="BA302" i="3"/>
  <c r="BA227" i="3"/>
  <c r="BA305" i="3"/>
  <c r="BA135" i="3"/>
  <c r="BA300" i="3"/>
  <c r="BA303" i="3"/>
  <c r="BA301" i="3"/>
  <c r="BA307" i="3"/>
  <c r="BA308" i="3"/>
  <c r="BA309" i="3"/>
  <c r="BA312" i="3"/>
  <c r="BA310" i="3"/>
  <c r="BA316" i="3"/>
  <c r="BA94" i="3"/>
  <c r="BA315" i="3"/>
  <c r="BA314" i="3"/>
  <c r="BA317" i="3"/>
  <c r="BA319" i="3"/>
  <c r="BA318" i="3"/>
  <c r="BA311" i="3"/>
  <c r="BA321" i="3"/>
  <c r="BA384" i="3"/>
  <c r="BA383" i="3"/>
  <c r="BA322" i="3"/>
  <c r="BA139" i="3"/>
  <c r="BA324" i="3"/>
  <c r="BA320" i="3"/>
  <c r="BA327" i="3"/>
  <c r="BA328" i="3"/>
  <c r="BA337" i="3"/>
  <c r="BA329" i="3"/>
  <c r="BA326" i="3"/>
  <c r="BA330" i="3"/>
  <c r="BA331" i="3"/>
  <c r="BA333" i="3"/>
  <c r="BA336" i="3"/>
  <c r="BA343" i="3"/>
  <c r="BA341" i="3"/>
  <c r="BA355" i="3"/>
  <c r="BA351" i="3"/>
  <c r="BA342" i="3"/>
  <c r="BA346" i="3"/>
  <c r="BA340" i="3"/>
  <c r="BA332" i="3"/>
  <c r="BA348" i="3"/>
  <c r="BA347" i="3"/>
  <c r="BA334" i="3"/>
  <c r="BA353" i="3"/>
  <c r="BA352" i="3"/>
  <c r="BA350" i="3"/>
  <c r="BA382" i="3"/>
  <c r="BA356" i="3"/>
  <c r="BA362" i="3"/>
  <c r="BA364" i="3"/>
  <c r="BA37" i="3"/>
  <c r="BA335" i="3"/>
  <c r="BA367" i="3"/>
  <c r="BA361" i="3"/>
  <c r="BA100" i="3"/>
  <c r="BA365" i="3"/>
  <c r="BA366" i="3"/>
  <c r="BA370" i="3"/>
  <c r="BA99" i="3"/>
  <c r="BA71" i="3"/>
  <c r="BA98" i="3"/>
  <c r="BA7" i="3"/>
  <c r="BA14" i="3"/>
  <c r="BA97" i="3"/>
  <c r="BA8" i="3"/>
  <c r="BA6" i="3"/>
  <c r="BA96" i="3"/>
  <c r="BA9" i="3"/>
  <c r="BA10" i="3"/>
  <c r="BA12" i="3"/>
  <c r="BA15" i="3"/>
  <c r="BA16" i="3"/>
  <c r="BA24" i="3"/>
  <c r="BA18" i="3"/>
  <c r="BA17" i="3"/>
  <c r="BA11" i="3"/>
  <c r="BA19" i="3"/>
  <c r="BA20" i="3"/>
  <c r="BA22" i="3"/>
  <c r="BA23" i="3"/>
  <c r="BA25" i="3"/>
  <c r="BA21" i="3"/>
  <c r="BA26" i="3"/>
  <c r="BA35" i="3"/>
  <c r="BA28" i="3"/>
  <c r="BA27" i="3"/>
  <c r="BA30" i="3"/>
  <c r="BA32" i="3"/>
  <c r="BA34" i="3"/>
  <c r="BA36" i="3"/>
  <c r="BA33" i="3"/>
  <c r="BA40" i="3"/>
  <c r="BA38" i="3"/>
  <c r="BA57" i="3"/>
  <c r="BA39" i="3"/>
  <c r="BA29" i="3"/>
  <c r="BA47" i="3"/>
  <c r="BA42" i="3"/>
  <c r="BA43" i="3"/>
  <c r="BA41" i="3"/>
  <c r="BA44" i="3"/>
  <c r="BA46" i="3"/>
  <c r="BA31" i="3"/>
  <c r="BA93" i="3"/>
  <c r="BA48" i="3"/>
  <c r="BA51" i="3"/>
  <c r="BA55" i="3"/>
  <c r="BA50" i="3"/>
  <c r="BA45" i="3"/>
  <c r="BA59" i="3"/>
  <c r="BA49" i="3"/>
  <c r="BA58" i="3"/>
  <c r="BA56" i="3"/>
  <c r="BA52" i="3"/>
  <c r="BA53" i="3"/>
  <c r="BA95" i="3"/>
  <c r="BA62" i="3"/>
  <c r="BA61" i="3"/>
  <c r="BA64" i="3"/>
  <c r="BA92" i="3"/>
  <c r="BA66" i="3"/>
  <c r="BA67" i="3"/>
  <c r="BA68" i="3"/>
  <c r="BA60" i="3"/>
  <c r="BA65" i="3"/>
  <c r="BA72" i="3"/>
  <c r="BA91" i="3"/>
  <c r="BA73" i="3"/>
  <c r="BA70" i="3"/>
  <c r="BA75" i="3"/>
  <c r="BA69" i="3"/>
  <c r="BA63" i="3"/>
  <c r="BA79" i="3"/>
  <c r="BA76" i="3"/>
  <c r="BA77" i="3"/>
  <c r="BA84" i="3"/>
  <c r="BA83" i="3"/>
  <c r="BA82" i="3"/>
  <c r="BA81" i="3"/>
  <c r="BA80" i="3"/>
  <c r="BA86" i="3"/>
  <c r="BA85" i="3"/>
  <c r="BA74" i="3"/>
  <c r="BA87" i="3"/>
  <c r="BA88" i="3"/>
  <c r="BA89" i="3"/>
  <c r="BA90" i="3"/>
  <c r="D474" i="3"/>
  <c r="D471" i="3"/>
  <c r="D400" i="3"/>
  <c r="D399" i="3"/>
  <c r="D401" i="3"/>
  <c r="D403" i="3"/>
  <c r="D406" i="3"/>
  <c r="D404" i="3"/>
  <c r="D405" i="3"/>
  <c r="D402" i="3"/>
  <c r="D409" i="3"/>
  <c r="D408" i="3"/>
  <c r="D442" i="3"/>
  <c r="D475" i="3"/>
  <c r="D410" i="3"/>
  <c r="D412" i="3"/>
  <c r="D411" i="3"/>
  <c r="D397" i="3"/>
  <c r="D414" i="3"/>
  <c r="D413" i="3"/>
  <c r="D415" i="3"/>
  <c r="D407" i="3"/>
  <c r="D417" i="3"/>
  <c r="D416" i="3"/>
  <c r="D419" i="3"/>
  <c r="D418" i="3"/>
  <c r="D421" i="3"/>
  <c r="D424" i="3"/>
  <c r="D420" i="3"/>
  <c r="D422" i="3"/>
  <c r="D423" i="3"/>
  <c r="D437" i="3"/>
  <c r="D473" i="3"/>
  <c r="D425" i="3"/>
  <c r="D426" i="3"/>
  <c r="D427" i="3"/>
  <c r="D432" i="3"/>
  <c r="D398" i="3"/>
  <c r="D429" i="3"/>
  <c r="D431" i="3"/>
  <c r="D430" i="3"/>
  <c r="D428" i="3"/>
  <c r="D433" i="3"/>
  <c r="D436" i="3"/>
  <c r="D434" i="3"/>
  <c r="D472" i="3"/>
  <c r="D439" i="3"/>
  <c r="D435" i="3"/>
  <c r="D438" i="3"/>
  <c r="D443" i="3"/>
  <c r="D441" i="3"/>
  <c r="D440" i="3"/>
  <c r="D446" i="3"/>
  <c r="D453" i="3"/>
  <c r="D448" i="3"/>
  <c r="D445" i="3"/>
  <c r="D447" i="3"/>
  <c r="D450" i="3"/>
  <c r="D452" i="3"/>
  <c r="D451" i="3"/>
  <c r="D456" i="3"/>
  <c r="D454" i="3"/>
  <c r="D455" i="3"/>
  <c r="D457" i="3"/>
  <c r="D458" i="3"/>
  <c r="D460" i="3"/>
  <c r="D461" i="3"/>
  <c r="D463" i="3"/>
  <c r="D462" i="3"/>
  <c r="D464" i="3"/>
  <c r="D465" i="3"/>
  <c r="D467" i="3"/>
  <c r="D466" i="3"/>
  <c r="D468" i="3"/>
  <c r="D469" i="3"/>
  <c r="D470" i="3"/>
  <c r="D196" i="3"/>
  <c r="D197" i="3"/>
  <c r="D200" i="3"/>
  <c r="D199" i="3"/>
  <c r="D201" i="3"/>
  <c r="D198" i="3"/>
  <c r="D202" i="3"/>
  <c r="D203" i="3"/>
  <c r="D204" i="3"/>
  <c r="D206" i="3"/>
  <c r="D207" i="3"/>
  <c r="D205" i="3"/>
  <c r="D208" i="3"/>
  <c r="D218" i="3"/>
  <c r="D209" i="3"/>
  <c r="D394" i="3"/>
  <c r="D210" i="3"/>
  <c r="D212" i="3"/>
  <c r="D363" i="3"/>
  <c r="D213" i="3"/>
  <c r="D215" i="3"/>
  <c r="D393" i="3"/>
  <c r="D216" i="3"/>
  <c r="D392" i="3"/>
  <c r="D223" i="3"/>
  <c r="D219" i="3"/>
  <c r="D220" i="3"/>
  <c r="D217" i="3"/>
  <c r="D221" i="3"/>
  <c r="D247" i="3"/>
  <c r="D390" i="3"/>
  <c r="D239" i="3"/>
  <c r="D252" i="3"/>
  <c r="D234" i="3"/>
  <c r="D235" i="3"/>
  <c r="D13" i="3"/>
  <c r="D257" i="3"/>
  <c r="D228" i="3"/>
  <c r="D242" i="3"/>
  <c r="D249" i="3"/>
  <c r="D389" i="3"/>
  <c r="D229" i="3"/>
  <c r="D224" i="3"/>
  <c r="D230" i="3"/>
  <c r="D233" i="3"/>
  <c r="D232" i="3"/>
  <c r="D231" i="3"/>
  <c r="D250" i="3"/>
  <c r="D236" i="3"/>
  <c r="D238" i="3"/>
  <c r="D388" i="3"/>
  <c r="D241" i="3"/>
  <c r="D256" i="3"/>
  <c r="D387" i="3"/>
  <c r="D243" i="3"/>
  <c r="D226" i="3"/>
  <c r="D246" i="3"/>
  <c r="D245" i="3"/>
  <c r="D244" i="3"/>
  <c r="D248" i="3"/>
  <c r="D240" i="3"/>
  <c r="D251" i="3"/>
  <c r="D253" i="3"/>
  <c r="D255" i="3"/>
  <c r="D254" i="3"/>
  <c r="D267" i="3"/>
  <c r="D386" i="3"/>
  <c r="D282" i="3"/>
  <c r="D258" i="3"/>
  <c r="D260" i="3"/>
  <c r="D263" i="3"/>
  <c r="D261" i="3"/>
  <c r="D262" i="3"/>
  <c r="D237" i="3"/>
  <c r="D276" i="3"/>
  <c r="D368" i="3"/>
  <c r="D268" i="3"/>
  <c r="D274" i="3"/>
  <c r="D270" i="3"/>
  <c r="D271" i="3"/>
  <c r="D269" i="3"/>
  <c r="D266" i="3"/>
  <c r="D275" i="3"/>
  <c r="D354" i="3"/>
  <c r="D277" i="3"/>
  <c r="D278" i="3"/>
  <c r="D281" i="3"/>
  <c r="D323" i="3"/>
  <c r="D338" i="3"/>
  <c r="D283" i="3"/>
  <c r="D287" i="3"/>
  <c r="D285" i="3"/>
  <c r="D385" i="3"/>
  <c r="D296" i="3"/>
  <c r="D295" i="3"/>
  <c r="D286" i="3"/>
  <c r="D272" i="3"/>
  <c r="D291" i="3"/>
  <c r="D288" i="3"/>
  <c r="D289" i="3"/>
  <c r="D290" i="3"/>
  <c r="D292" i="3"/>
  <c r="D294" i="3"/>
  <c r="D391" i="3"/>
  <c r="D297" i="3"/>
  <c r="D273" i="3"/>
  <c r="D298" i="3"/>
  <c r="D299" i="3"/>
  <c r="D302" i="3"/>
  <c r="D227" i="3"/>
  <c r="D305" i="3"/>
  <c r="D135" i="3"/>
  <c r="D300" i="3"/>
  <c r="D303" i="3"/>
  <c r="D301" i="3"/>
  <c r="D307" i="3"/>
  <c r="D308" i="3"/>
  <c r="D309" i="3"/>
  <c r="D312" i="3"/>
  <c r="D310" i="3"/>
  <c r="D316" i="3"/>
  <c r="D94" i="3"/>
  <c r="D315" i="3"/>
  <c r="D314" i="3"/>
  <c r="D317" i="3"/>
  <c r="D319" i="3"/>
  <c r="D318" i="3"/>
  <c r="D311" i="3"/>
  <c r="D321" i="3"/>
  <c r="D384" i="3"/>
  <c r="D383" i="3"/>
  <c r="D322" i="3"/>
  <c r="D139" i="3"/>
  <c r="D324" i="3"/>
  <c r="D320" i="3"/>
  <c r="D327" i="3"/>
  <c r="D328" i="3"/>
  <c r="D337" i="3"/>
  <c r="D329" i="3"/>
  <c r="D326" i="3"/>
  <c r="D330" i="3"/>
  <c r="D331" i="3"/>
  <c r="D333" i="3"/>
  <c r="D336" i="3"/>
  <c r="D343" i="3"/>
  <c r="D341" i="3"/>
  <c r="D355" i="3"/>
  <c r="D351" i="3"/>
  <c r="D342" i="3"/>
  <c r="D346" i="3"/>
  <c r="D340" i="3"/>
  <c r="D332" i="3"/>
  <c r="D348" i="3"/>
  <c r="D347" i="3"/>
  <c r="D334" i="3"/>
  <c r="D353" i="3"/>
  <c r="D352" i="3"/>
  <c r="D350" i="3"/>
  <c r="D382" i="3"/>
  <c r="D356" i="3"/>
  <c r="D362" i="3"/>
  <c r="D364" i="3"/>
  <c r="D37" i="3"/>
  <c r="D335" i="3"/>
  <c r="D367" i="3"/>
  <c r="D361" i="3"/>
  <c r="D100" i="3"/>
  <c r="D365" i="3"/>
  <c r="D366" i="3"/>
  <c r="D370" i="3"/>
  <c r="D99" i="3"/>
  <c r="D71" i="3"/>
  <c r="AR19" i="8"/>
  <c r="D98" i="3"/>
  <c r="D7" i="3"/>
  <c r="D14" i="3"/>
  <c r="D97" i="3"/>
  <c r="D8" i="3"/>
  <c r="D6" i="3"/>
  <c r="D96" i="3"/>
  <c r="D9" i="3"/>
  <c r="D10" i="3"/>
  <c r="D12" i="3"/>
  <c r="D15" i="3"/>
  <c r="D16" i="3"/>
  <c r="D24" i="3"/>
  <c r="D18" i="3"/>
  <c r="D17" i="3"/>
  <c r="D11" i="3"/>
  <c r="D19" i="3"/>
  <c r="D20" i="3"/>
  <c r="D22" i="3"/>
  <c r="D23" i="3"/>
  <c r="D25" i="3"/>
  <c r="D21" i="3"/>
  <c r="D26" i="3"/>
  <c r="D35" i="3"/>
  <c r="D28" i="3"/>
  <c r="D27" i="3"/>
  <c r="D32" i="3"/>
  <c r="D34" i="3"/>
  <c r="D36" i="3"/>
  <c r="D33" i="3"/>
  <c r="D40" i="3"/>
  <c r="D38" i="3"/>
  <c r="D57" i="3"/>
  <c r="D39" i="3"/>
  <c r="D29" i="3"/>
  <c r="D47" i="3"/>
  <c r="D42" i="3"/>
  <c r="D43" i="3"/>
  <c r="D41" i="3"/>
  <c r="D44" i="3"/>
  <c r="D46" i="3"/>
  <c r="D31" i="3"/>
  <c r="D93" i="3"/>
  <c r="D48" i="3"/>
  <c r="D51" i="3"/>
  <c r="D55" i="3"/>
  <c r="D50" i="3"/>
  <c r="D45" i="3"/>
  <c r="D59" i="3"/>
  <c r="D49" i="3"/>
  <c r="D58" i="3"/>
  <c r="D56" i="3"/>
  <c r="D52" i="3"/>
  <c r="D53" i="3"/>
  <c r="D95" i="3"/>
  <c r="D62" i="3"/>
  <c r="D61" i="3"/>
  <c r="D64" i="3"/>
  <c r="D92" i="3"/>
  <c r="D66" i="3"/>
  <c r="D67" i="3"/>
  <c r="D60" i="3"/>
  <c r="D65" i="3"/>
  <c r="D72" i="3"/>
  <c r="D91" i="3"/>
  <c r="D73" i="3"/>
  <c r="D70" i="3"/>
  <c r="D75" i="3"/>
  <c r="D63" i="3"/>
  <c r="D79" i="3"/>
  <c r="D76" i="3"/>
  <c r="D77" i="3"/>
  <c r="D84" i="3"/>
  <c r="D83" i="3"/>
  <c r="D82" i="3"/>
  <c r="D81" i="3"/>
  <c r="D80" i="3"/>
  <c r="D86" i="3"/>
  <c r="D85" i="3"/>
  <c r="D74" i="3"/>
  <c r="D87" i="3"/>
  <c r="D88" i="3"/>
  <c r="D89" i="3"/>
  <c r="BB578" i="3"/>
  <c r="BB577" i="3"/>
  <c r="BB576" i="3"/>
  <c r="BB575" i="3"/>
  <c r="BB574" i="3"/>
  <c r="BB573" i="3"/>
  <c r="BB572" i="3"/>
  <c r="BB571" i="3"/>
  <c r="BB570" i="3"/>
  <c r="BB569" i="3"/>
  <c r="BB568" i="3"/>
  <c r="BB567" i="3"/>
  <c r="BB566" i="3"/>
  <c r="BB565" i="3"/>
  <c r="BB564" i="3"/>
  <c r="BB563" i="3"/>
  <c r="BB562" i="3"/>
  <c r="BB561" i="3"/>
  <c r="BB560" i="3"/>
  <c r="BB559" i="3"/>
  <c r="BB558" i="3"/>
  <c r="BB557" i="3"/>
  <c r="BB556" i="3"/>
  <c r="BB555" i="3"/>
  <c r="BB554" i="3"/>
  <c r="BB553" i="3"/>
  <c r="BB552" i="3"/>
  <c r="BB551" i="3"/>
  <c r="BB550" i="3"/>
  <c r="BB549" i="3"/>
  <c r="BB548" i="3"/>
  <c r="BB547" i="3"/>
  <c r="BB546" i="3"/>
  <c r="BB545" i="3"/>
  <c r="BB544" i="3"/>
  <c r="BB543" i="3"/>
  <c r="BB542" i="3"/>
  <c r="BB541" i="3"/>
  <c r="BB540" i="3"/>
  <c r="BB539" i="3"/>
  <c r="BB538" i="3"/>
  <c r="BB537" i="3"/>
  <c r="BB536" i="3"/>
  <c r="BB535" i="3"/>
  <c r="BB534" i="3"/>
  <c r="BB533" i="3"/>
  <c r="BB532" i="3"/>
  <c r="BB531" i="3"/>
  <c r="BB530" i="3"/>
  <c r="BB529" i="3"/>
  <c r="BB528" i="3"/>
  <c r="BB527" i="3"/>
  <c r="BB526" i="3"/>
  <c r="BB525" i="3"/>
  <c r="BB524" i="3"/>
  <c r="BB523" i="3"/>
  <c r="BB522" i="3"/>
  <c r="BB521" i="3"/>
  <c r="BB520" i="3"/>
  <c r="BB519" i="3"/>
  <c r="BB518" i="3"/>
  <c r="BB517" i="3"/>
  <c r="BB516" i="3"/>
  <c r="BB515" i="3"/>
  <c r="BB514" i="3"/>
  <c r="BB513" i="3"/>
  <c r="BB512" i="3"/>
  <c r="BB511" i="3"/>
  <c r="BB510" i="3"/>
  <c r="BB509" i="3"/>
  <c r="BB508" i="3"/>
  <c r="BB507" i="3"/>
  <c r="BB506" i="3"/>
  <c r="BB505" i="3"/>
  <c r="BB504" i="3"/>
  <c r="BB503" i="3"/>
  <c r="BB502" i="3"/>
  <c r="BB501" i="3"/>
  <c r="BB500" i="3"/>
  <c r="BB499" i="3"/>
  <c r="BB498" i="3"/>
  <c r="BB497" i="3"/>
  <c r="BB496" i="3"/>
  <c r="BB495" i="3"/>
  <c r="BB494" i="3"/>
  <c r="BB493" i="3"/>
  <c r="BB492" i="3"/>
  <c r="BB491" i="3"/>
  <c r="BB490" i="3"/>
  <c r="BB489" i="3"/>
  <c r="BB488" i="3"/>
  <c r="BB487" i="3"/>
  <c r="BB486" i="3"/>
  <c r="BB485" i="3"/>
  <c r="BB484" i="3"/>
  <c r="BB483" i="3"/>
  <c r="BB482" i="3"/>
  <c r="BB481" i="3"/>
  <c r="BB480" i="3"/>
  <c r="BB479" i="3"/>
  <c r="BB478" i="3"/>
  <c r="BB477" i="3"/>
  <c r="BB476" i="3"/>
  <c r="BB293" i="3"/>
  <c r="BB357" i="3"/>
  <c r="BB265" i="3"/>
  <c r="BB371" i="3"/>
  <c r="BB373" i="3"/>
  <c r="BB280" i="3"/>
  <c r="BB313" i="3"/>
  <c r="BB349" i="3"/>
  <c r="BB264" i="3"/>
  <c r="BB369" i="3"/>
  <c r="BB339" i="3"/>
  <c r="BB325" i="3"/>
  <c r="BB214" i="3"/>
  <c r="BB358" i="3"/>
  <c r="BB372" i="3"/>
  <c r="BB345" i="3"/>
  <c r="BB359" i="3"/>
  <c r="BB225" i="3"/>
  <c r="BB444" i="3"/>
  <c r="BB396" i="3"/>
  <c r="BB222" i="3"/>
  <c r="BB395" i="3"/>
  <c r="BB284" i="3"/>
  <c r="BB306" i="3"/>
  <c r="BB360" i="3"/>
  <c r="BB106" i="3"/>
  <c r="BB374" i="3"/>
  <c r="BB5" i="3"/>
  <c r="BB344" i="3"/>
  <c r="BB54" i="3"/>
  <c r="BB4" i="3"/>
  <c r="BB102" i="3"/>
  <c r="BB3" i="3"/>
  <c r="BB474" i="3"/>
  <c r="BB471" i="3"/>
  <c r="BB400" i="3"/>
  <c r="BB399" i="3"/>
  <c r="BB401" i="3"/>
  <c r="BB403" i="3"/>
  <c r="BB406" i="3"/>
  <c r="BB404" i="3"/>
  <c r="BB405" i="3"/>
  <c r="BB402" i="3"/>
  <c r="BB409" i="3"/>
  <c r="BB408" i="3"/>
  <c r="BB442" i="3"/>
  <c r="BB475" i="3"/>
  <c r="BB410" i="3"/>
  <c r="BB412" i="3"/>
  <c r="BB411" i="3"/>
  <c r="BB397" i="3"/>
  <c r="BB414" i="3"/>
  <c r="BB413" i="3"/>
  <c r="BB415" i="3"/>
  <c r="BB407" i="3"/>
  <c r="BB417" i="3"/>
  <c r="BB416" i="3"/>
  <c r="BB419" i="3"/>
  <c r="BB418" i="3"/>
  <c r="BB421" i="3"/>
  <c r="BB424" i="3"/>
  <c r="BB420" i="3"/>
  <c r="BB422" i="3"/>
  <c r="BB423" i="3"/>
  <c r="BB437" i="3"/>
  <c r="BB473" i="3"/>
  <c r="BB425" i="3"/>
  <c r="BB426" i="3"/>
  <c r="BB427" i="3"/>
  <c r="BB432" i="3"/>
  <c r="BB398" i="3"/>
  <c r="BB429" i="3"/>
  <c r="BB431" i="3"/>
  <c r="BB430" i="3"/>
  <c r="BB433" i="3"/>
  <c r="BB436" i="3"/>
  <c r="BB434" i="3"/>
  <c r="BB472" i="3"/>
  <c r="BB439" i="3"/>
  <c r="BB435" i="3"/>
  <c r="BB438" i="3"/>
  <c r="BB441" i="3"/>
  <c r="BB440" i="3"/>
  <c r="BB446" i="3"/>
  <c r="BB453" i="3"/>
  <c r="BB448" i="3"/>
  <c r="BB445" i="3"/>
  <c r="BB447" i="3"/>
  <c r="BB450" i="3"/>
  <c r="BB451" i="3"/>
  <c r="BB456" i="3"/>
  <c r="BB454" i="3"/>
  <c r="BB455" i="3"/>
  <c r="BB457" i="3"/>
  <c r="BB459" i="3"/>
  <c r="BB458" i="3"/>
  <c r="BB460" i="3"/>
  <c r="BB461" i="3"/>
  <c r="BB463" i="3"/>
  <c r="BB462" i="3"/>
  <c r="BB465" i="3"/>
  <c r="BB466" i="3"/>
  <c r="BB468" i="3"/>
  <c r="BB469" i="3"/>
  <c r="BB470" i="3"/>
  <c r="BB196" i="3"/>
  <c r="BB197" i="3"/>
  <c r="BB200" i="3"/>
  <c r="BB199" i="3"/>
  <c r="BB201" i="3"/>
  <c r="BB198" i="3"/>
  <c r="BB202" i="3"/>
  <c r="BB203" i="3"/>
  <c r="BB204" i="3"/>
  <c r="BB206" i="3"/>
  <c r="BB207" i="3"/>
  <c r="BB205" i="3"/>
  <c r="BB208" i="3"/>
  <c r="BB218" i="3"/>
  <c r="BB209" i="3"/>
  <c r="BB394" i="3"/>
  <c r="BB210" i="3"/>
  <c r="BB212" i="3"/>
  <c r="BB363" i="3"/>
  <c r="BB213" i="3"/>
  <c r="BB215" i="3"/>
  <c r="BB393" i="3"/>
  <c r="BB216" i="3"/>
  <c r="BB392" i="3"/>
  <c r="BB223" i="3"/>
  <c r="BB219" i="3"/>
  <c r="BB220" i="3"/>
  <c r="BB217" i="3"/>
  <c r="BB221" i="3"/>
  <c r="BB247" i="3"/>
  <c r="BB390" i="3"/>
  <c r="BB239" i="3"/>
  <c r="BB252" i="3"/>
  <c r="BB234" i="3"/>
  <c r="BB235" i="3"/>
  <c r="BB13" i="3"/>
  <c r="BB257" i="3"/>
  <c r="BB228" i="3"/>
  <c r="BB242" i="3"/>
  <c r="BB249" i="3"/>
  <c r="BB389" i="3"/>
  <c r="BB229" i="3"/>
  <c r="BB224" i="3"/>
  <c r="BB230" i="3"/>
  <c r="BB233" i="3"/>
  <c r="BB232" i="3"/>
  <c r="BB231" i="3"/>
  <c r="BB250" i="3"/>
  <c r="BB236" i="3"/>
  <c r="BB238" i="3"/>
  <c r="BB388" i="3"/>
  <c r="BB241" i="3"/>
  <c r="BB256" i="3"/>
  <c r="BB387" i="3"/>
  <c r="BB243" i="3"/>
  <c r="BB226" i="3"/>
  <c r="BB246" i="3"/>
  <c r="BB245" i="3"/>
  <c r="BB244" i="3"/>
  <c r="BB248" i="3"/>
  <c r="BB240" i="3"/>
  <c r="BB251" i="3"/>
  <c r="BB253" i="3"/>
  <c r="BB255" i="3"/>
  <c r="BB254" i="3"/>
  <c r="BB267" i="3"/>
  <c r="BB386" i="3"/>
  <c r="BB282" i="3"/>
  <c r="BB258" i="3"/>
  <c r="BB260" i="3"/>
  <c r="BB263" i="3"/>
  <c r="BB261" i="3"/>
  <c r="BB262" i="3"/>
  <c r="BB237" i="3"/>
  <c r="BB276" i="3"/>
  <c r="BB368" i="3"/>
  <c r="BB268" i="3"/>
  <c r="BB274" i="3"/>
  <c r="BB270" i="3"/>
  <c r="BB271" i="3"/>
  <c r="BB269" i="3"/>
  <c r="BB266" i="3"/>
  <c r="BB275" i="3"/>
  <c r="BB354" i="3"/>
  <c r="BB277" i="3"/>
  <c r="BB278" i="3"/>
  <c r="BB281" i="3"/>
  <c r="BB323" i="3"/>
  <c r="BB338" i="3"/>
  <c r="BB283" i="3"/>
  <c r="BB287" i="3"/>
  <c r="BB285" i="3"/>
  <c r="BB385" i="3"/>
  <c r="BB296" i="3"/>
  <c r="BB295" i="3"/>
  <c r="BB286" i="3"/>
  <c r="BB272" i="3"/>
  <c r="BB291" i="3"/>
  <c r="BB288" i="3"/>
  <c r="BB289" i="3"/>
  <c r="BB290" i="3"/>
  <c r="BB292" i="3"/>
  <c r="BB294" i="3"/>
  <c r="BB391" i="3"/>
  <c r="BB297" i="3"/>
  <c r="BB273" i="3"/>
  <c r="BB298" i="3"/>
  <c r="BB299" i="3"/>
  <c r="BB302" i="3"/>
  <c r="BB227" i="3"/>
  <c r="BB305" i="3"/>
  <c r="BB135" i="3"/>
  <c r="BB300" i="3"/>
  <c r="BB303" i="3"/>
  <c r="BB301" i="3"/>
  <c r="BB307" i="3"/>
  <c r="BB308" i="3"/>
  <c r="BB309" i="3"/>
  <c r="BB312" i="3"/>
  <c r="BB310" i="3"/>
  <c r="BB316" i="3"/>
  <c r="BB94" i="3"/>
  <c r="BB315" i="3"/>
  <c r="BB314" i="3"/>
  <c r="BB317" i="3"/>
  <c r="BB319" i="3"/>
  <c r="BB318" i="3"/>
  <c r="BB311" i="3"/>
  <c r="BB321" i="3"/>
  <c r="BB384" i="3"/>
  <c r="BB383" i="3"/>
  <c r="BB322" i="3"/>
  <c r="BB139" i="3"/>
  <c r="BB324" i="3"/>
  <c r="BB320" i="3"/>
  <c r="BB327" i="3"/>
  <c r="BB328" i="3"/>
  <c r="BB337" i="3"/>
  <c r="BB329" i="3"/>
  <c r="BB326" i="3"/>
  <c r="BB330" i="3"/>
  <c r="BB331" i="3"/>
  <c r="BB333" i="3"/>
  <c r="BB336" i="3"/>
  <c r="BB343" i="3"/>
  <c r="BB341" i="3"/>
  <c r="BB355" i="3"/>
  <c r="BB351" i="3"/>
  <c r="BB346" i="3"/>
  <c r="BB340" i="3"/>
  <c r="BB332" i="3"/>
  <c r="BB348" i="3"/>
  <c r="BB347" i="3"/>
  <c r="BB334" i="3"/>
  <c r="BB353" i="3"/>
  <c r="BB352" i="3"/>
  <c r="BB350" i="3"/>
  <c r="BB382" i="3"/>
  <c r="BB356" i="3"/>
  <c r="BB362" i="3"/>
  <c r="BB364" i="3"/>
  <c r="BB37" i="3"/>
  <c r="BB29" i="3"/>
  <c r="BB335" i="3"/>
  <c r="BB367" i="3"/>
  <c r="BB361" i="3"/>
  <c r="BB100" i="3"/>
  <c r="BB365" i="3"/>
  <c r="BB366" i="3"/>
  <c r="BB370" i="3"/>
  <c r="BB71" i="3"/>
  <c r="BB428" i="3"/>
  <c r="BB99" i="3"/>
  <c r="BB443" i="3"/>
  <c r="BB452" i="3"/>
  <c r="BB74" i="3"/>
  <c r="BB464" i="3"/>
  <c r="BB467" i="3"/>
  <c r="BB342" i="3"/>
  <c r="BB98" i="3"/>
  <c r="BB7" i="3"/>
  <c r="BB14" i="3"/>
  <c r="BB97" i="3"/>
  <c r="BB8" i="3"/>
  <c r="BB6" i="3"/>
  <c r="BB96" i="3"/>
  <c r="BB9" i="3"/>
  <c r="BB10" i="3"/>
  <c r="BB12" i="3"/>
  <c r="BB15" i="3"/>
  <c r="BB16" i="3"/>
  <c r="BB24" i="3"/>
  <c r="BB18" i="3"/>
  <c r="BB17" i="3"/>
  <c r="BB11" i="3"/>
  <c r="BB19" i="3"/>
  <c r="BB20" i="3"/>
  <c r="BB22" i="3"/>
  <c r="BB23" i="3"/>
  <c r="BB25" i="3"/>
  <c r="BB21" i="3"/>
  <c r="BB26" i="3"/>
  <c r="BB35" i="3"/>
  <c r="BB28" i="3"/>
  <c r="BB27" i="3"/>
  <c r="BB30" i="3"/>
  <c r="BB32" i="3"/>
  <c r="BB34" i="3"/>
  <c r="BB36" i="3"/>
  <c r="BB33" i="3"/>
  <c r="BB40" i="3"/>
  <c r="BB38" i="3"/>
  <c r="BB57" i="3"/>
  <c r="BB39" i="3"/>
  <c r="BB47" i="3"/>
  <c r="BB42" i="3"/>
  <c r="BB43" i="3"/>
  <c r="BB41" i="3"/>
  <c r="BB44" i="3"/>
  <c r="BB46" i="3"/>
  <c r="BB31" i="3"/>
  <c r="BB93" i="3"/>
  <c r="BB48" i="3"/>
  <c r="BB51" i="3"/>
  <c r="BB55" i="3"/>
  <c r="BB50" i="3"/>
  <c r="BB45" i="3"/>
  <c r="BB59" i="3"/>
  <c r="BB49" i="3"/>
  <c r="BB58" i="3"/>
  <c r="BB56" i="3"/>
  <c r="BB52" i="3"/>
  <c r="BB53" i="3"/>
  <c r="BB95" i="3"/>
  <c r="BB62" i="3"/>
  <c r="BB61" i="3"/>
  <c r="BB64" i="3"/>
  <c r="BB92" i="3"/>
  <c r="BB66" i="3"/>
  <c r="BB67" i="3"/>
  <c r="BB68" i="3"/>
  <c r="BB60" i="3"/>
  <c r="BB65" i="3"/>
  <c r="BB72" i="3"/>
  <c r="BB91" i="3"/>
  <c r="BB73" i="3"/>
  <c r="BB70" i="3"/>
  <c r="BB75" i="3"/>
  <c r="BB69" i="3"/>
  <c r="BB63" i="3"/>
  <c r="BB79" i="3"/>
  <c r="BB76" i="3"/>
  <c r="BB77" i="3"/>
  <c r="BB84" i="3"/>
  <c r="BB83" i="3"/>
  <c r="BB82" i="3"/>
  <c r="BB81" i="3"/>
  <c r="BB80" i="3"/>
  <c r="BB86" i="3"/>
  <c r="BB85" i="3"/>
  <c r="BB87" i="3"/>
  <c r="BB88" i="3"/>
  <c r="BB89" i="3"/>
  <c r="BB90" i="3"/>
  <c r="E1" i="18"/>
  <c r="A1" i="18"/>
  <c r="A1" i="17"/>
  <c r="W5" i="4"/>
  <c r="W6" i="4"/>
  <c r="W7" i="4"/>
  <c r="W8" i="4"/>
  <c r="W9" i="4"/>
  <c r="W10" i="4"/>
  <c r="W11" i="4"/>
  <c r="W12" i="4"/>
  <c r="W13" i="4"/>
  <c r="W14" i="4"/>
  <c r="W15" i="4"/>
  <c r="W4" i="4"/>
  <c r="D578" i="3"/>
  <c r="D577" i="3"/>
  <c r="D576" i="3"/>
  <c r="D575" i="3"/>
  <c r="D574" i="3"/>
  <c r="D573" i="3"/>
  <c r="D572" i="3"/>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503" i="3"/>
  <c r="D502" i="3"/>
  <c r="D501" i="3"/>
  <c r="D500" i="3"/>
  <c r="D499" i="3"/>
  <c r="D498" i="3"/>
  <c r="D497" i="3"/>
  <c r="D496" i="3"/>
  <c r="D495" i="3"/>
  <c r="D494" i="3"/>
  <c r="D493" i="3"/>
  <c r="D492" i="3"/>
  <c r="D491" i="3"/>
  <c r="D490" i="3"/>
  <c r="D489" i="3"/>
  <c r="D488" i="3"/>
  <c r="D487" i="3"/>
  <c r="D486" i="3"/>
  <c r="D485" i="3"/>
  <c r="D484" i="3"/>
  <c r="D483" i="3"/>
  <c r="D482" i="3"/>
  <c r="D481" i="3"/>
  <c r="D480" i="3"/>
  <c r="D479" i="3"/>
  <c r="D478" i="3"/>
  <c r="D477" i="3"/>
  <c r="D476" i="3"/>
  <c r="D293" i="3"/>
  <c r="D357" i="3"/>
  <c r="D265" i="3"/>
  <c r="D371" i="3"/>
  <c r="D373" i="3"/>
  <c r="D280" i="3"/>
  <c r="D313" i="3"/>
  <c r="D349" i="3"/>
  <c r="D264" i="3"/>
  <c r="D369" i="3"/>
  <c r="D339" i="3"/>
  <c r="D325" i="3"/>
  <c r="D214" i="3"/>
  <c r="D358" i="3"/>
  <c r="D372" i="3"/>
  <c r="D345" i="3"/>
  <c r="D359" i="3"/>
  <c r="D225" i="3"/>
  <c r="D444" i="3"/>
  <c r="D396" i="3"/>
  <c r="D222" i="3"/>
  <c r="D395" i="3"/>
  <c r="D284" i="3"/>
  <c r="D306" i="3"/>
  <c r="D360" i="3"/>
  <c r="D106" i="3"/>
  <c r="D374" i="3"/>
  <c r="D5" i="3"/>
  <c r="D344" i="3"/>
  <c r="D54" i="3"/>
  <c r="D4" i="3"/>
  <c r="D102" i="3"/>
  <c r="D3" i="3"/>
  <c r="L4" i="8" l="1"/>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18" i="29"/>
  <c r="D4" i="29"/>
  <c r="D11" i="29"/>
  <c r="D18" i="29"/>
  <c r="D12" i="29"/>
  <c r="C12" i="29"/>
  <c r="L4" i="29"/>
  <c r="F4" i="29"/>
  <c r="E5" i="29"/>
  <c r="G11" i="29"/>
  <c r="E4" i="29"/>
  <c r="G12" i="29"/>
  <c r="L13" i="29" s="1"/>
  <c r="G18" i="29"/>
  <c r="L14" i="29" s="1"/>
  <c r="G5" i="29"/>
  <c r="C19" i="29"/>
  <c r="C21" i="29" s="1"/>
  <c r="D19" i="29"/>
  <c r="D21" i="29" s="1"/>
  <c r="E19" i="29"/>
  <c r="E21" i="29" s="1"/>
  <c r="F19" i="29"/>
  <c r="F21" i="29" s="1"/>
  <c r="G19" i="29"/>
  <c r="G21" i="29" s="1"/>
  <c r="B19" i="29"/>
  <c r="B21" i="29" s="1"/>
  <c r="N4" i="29" s="1"/>
  <c r="C7" i="29"/>
  <c r="C9" i="29" s="1"/>
  <c r="D7" i="29"/>
  <c r="D9" i="29" s="1"/>
  <c r="E7" i="29"/>
  <c r="E9" i="29" s="1"/>
  <c r="F7" i="29"/>
  <c r="F9" i="29" s="1"/>
  <c r="G7" i="29"/>
  <c r="G9" i="29" s="1"/>
  <c r="B7" i="29"/>
  <c r="B9" i="29" s="1"/>
  <c r="G13" i="29"/>
  <c r="G15" i="29" s="1"/>
  <c r="F13" i="29"/>
  <c r="F15" i="29" s="1"/>
  <c r="E13" i="29"/>
  <c r="E15" i="29" s="1"/>
  <c r="N13" i="29" s="1"/>
  <c r="D13" i="29"/>
  <c r="D15" i="29" s="1"/>
  <c r="C13" i="29"/>
  <c r="C15" i="29" s="1"/>
  <c r="B13" i="29"/>
  <c r="B15" i="29" s="1"/>
  <c r="N3" i="29" s="1"/>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V70"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69"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V33" i="8"/>
  <c r="AY38" i="8"/>
  <c r="BC33" i="8"/>
  <c r="AQ40" i="8"/>
  <c r="AV34" i="8"/>
  <c r="AR40" i="8"/>
  <c r="AS40" i="8"/>
  <c r="AT40" i="8"/>
  <c r="AU40" i="8"/>
  <c r="AY40" i="8"/>
  <c r="BC34" i="8"/>
  <c r="AZ40" i="8"/>
  <c r="BA40" i="8"/>
  <c r="BB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BC21" i="8" l="1"/>
  <c r="BC22" i="8"/>
  <c r="BC23" i="8"/>
  <c r="L3" i="29"/>
  <c r="H5" i="8"/>
  <c r="V30" i="24"/>
  <c r="E13" i="27"/>
  <c r="E14" i="27"/>
  <c r="D15" i="27"/>
  <c r="E3" i="27"/>
  <c r="E12" i="27"/>
  <c r="V79" i="24"/>
  <c r="E11" i="27"/>
  <c r="E10" i="27"/>
  <c r="N14" i="29"/>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AV35" i="8"/>
  <c r="AV36" i="8"/>
  <c r="AV37" i="8"/>
  <c r="AL34" i="8"/>
  <c r="AL35" i="8"/>
  <c r="AL36" i="8"/>
  <c r="AL37" i="8"/>
  <c r="AL33" i="8"/>
  <c r="AN34" i="8"/>
  <c r="AN35" i="8"/>
  <c r="AN36" i="8"/>
  <c r="AN37" i="8"/>
  <c r="AN33" i="8"/>
  <c r="BC38" i="8"/>
  <c r="BC40" i="8" s="1"/>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 r="AJ1" i="3"/>
  <c r="AK1" i="3"/>
  <c r="AL1" i="3"/>
  <c r="AM1" i="3"/>
  <c r="AN1" i="3"/>
  <c r="AO1" i="3"/>
  <c r="AP1" i="3"/>
  <c r="AQ1" i="3"/>
  <c r="AR1" i="3"/>
  <c r="AS1" i="3"/>
  <c r="AT1" i="3"/>
  <c r="AU1" i="3"/>
  <c r="AV1" i="3"/>
  <c r="AW1" i="3"/>
  <c r="AX1" i="3"/>
  <c r="AY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Fernanda Duran</author>
    <author>tc={D3FD0C23-551D-407A-9F90-3FB4CEE8F29D}</author>
    <author>tc={2AFA0A08-2E35-4EFE-8D7D-1C6E85F4B948}</author>
    <author>tc={6095F2E9-0F4E-4894-AB0F-078B850BD970}</author>
    <author>tc={506938D7-E0BF-40EF-9D90-1FB75D6933F3}</author>
    <author>tc={426257ED-E381-4574-9C06-5F31CE59E1E5}</author>
    <author>tc={7BA266E1-B912-41C3-88D8-26DAD6480172}</author>
  </authors>
  <commentList>
    <comment ref="AA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M30" authorId="1" shapeId="0" xr:uid="{9C9BCBD8-5309-403A-A6B8-698CA73043FF}">
      <text>
        <r>
          <rPr>
            <sz val="11"/>
            <color theme="1"/>
            <rFont val="Aptos Narrow"/>
            <family val="2"/>
            <scheme val="minor"/>
          </rPr>
          <t xml:space="preserve">Fernanda Duran:
Capacitación respecto a módulo Permisos y Vacaciones
</t>
        </r>
      </text>
    </comment>
    <comment ref="F42" authorId="1" shapeId="0" xr:uid="{937270A1-6571-4731-9794-78B54D7B5884}">
      <text>
        <r>
          <rPr>
            <sz val="11"/>
            <color theme="1"/>
            <rFont val="Aptos Narrow"/>
            <family val="2"/>
            <scheme val="minor"/>
          </rPr>
          <t xml:space="preserve">Fernanda Duran:
Revisar esta cuenta porque puede tener mucho potencial
</t>
        </r>
      </text>
    </comment>
    <comment ref="AL90" authorId="2"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M90" authorId="3"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P189"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191"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F192"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P380"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R436" authorId="1"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 ref="AO463" authorId="1" shapeId="0" xr:uid="{6CAEE0AE-9FF8-48D3-AF81-37A2CCE128F0}">
      <text>
        <r>
          <rPr>
            <sz val="11"/>
            <color theme="1"/>
            <rFont val="Aptos Narrow"/>
            <family val="2"/>
            <scheme val="minor"/>
          </rPr>
          <t>Fernanda Duran:
Ver si upsell justifica habilitarles el reporte por ahora y se cobre a futuro</t>
        </r>
      </text>
    </comment>
    <comment ref="AK465" authorId="1" shapeId="0" xr:uid="{04AEDBD4-D414-4F84-A740-C22126401BAE}">
      <text>
        <r>
          <rPr>
            <sz val="11"/>
            <color theme="1"/>
            <rFont val="Aptos Narrow"/>
            <family val="2"/>
            <scheme val="minor"/>
          </rPr>
          <t xml:space="preserve">Fernanda Duran:
Integración con Compaq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<sst xmlns="http://schemas.openxmlformats.org/spreadsheetml/2006/main" count="9650" uniqueCount="2080">
  <si>
    <t>ID Geo</t>
  </si>
  <si>
    <t>RFC</t>
  </si>
  <si>
    <t>Facturación actual USD</t>
  </si>
  <si>
    <t>Productos Cross</t>
  </si>
  <si>
    <t>Enganche otro</t>
  </si>
  <si>
    <t>CLIENTE</t>
  </si>
  <si>
    <t>Grupo</t>
  </si>
  <si>
    <t>Comentario</t>
  </si>
  <si>
    <t>Tag</t>
  </si>
  <si>
    <t>Facturado por partner</t>
  </si>
  <si>
    <t>Cartera</t>
  </si>
  <si>
    <t>KAM</t>
  </si>
  <si>
    <t>CSS</t>
  </si>
  <si>
    <t>Estado salud</t>
  </si>
  <si>
    <t>Enero</t>
  </si>
  <si>
    <t>Febrero</t>
  </si>
  <si>
    <t>Marzo</t>
  </si>
  <si>
    <t>Abril</t>
  </si>
  <si>
    <t>Mayo</t>
  </si>
  <si>
    <t>Junio</t>
  </si>
  <si>
    <t>Usuarios activos</t>
  </si>
  <si>
    <t>Usuarios potenciales (Claude)</t>
  </si>
  <si>
    <t>Estado</t>
  </si>
  <si>
    <t>Estado Claude</t>
  </si>
  <si>
    <t>Rubro Claude</t>
  </si>
  <si>
    <t>Descripción breve de la empresa y a que se dedica</t>
  </si>
  <si>
    <t>Rubro</t>
  </si>
  <si>
    <t>Rubro zoho</t>
  </si>
  <si>
    <t>Cuadrante (MARE + Retener)</t>
  </si>
  <si>
    <t>Primera factura</t>
  </si>
  <si>
    <t>Escala comunicación</t>
  </si>
  <si>
    <t>Periodicidad</t>
  </si>
  <si>
    <t>Operación actual cliente con GV</t>
  </si>
  <si>
    <t>Acción especifica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</si>
  <si>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</si>
  <si>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</si>
  <si>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</si>
  <si>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</si>
  <si>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</si>
  <si>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</si>
  <si>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</si>
  <si>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</si>
  <si>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</si>
  <si>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</si>
  <si>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</si>
  <si>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</si>
  <si>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</si>
  <si>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</si>
  <si>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</si>
  <si>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</si>
  <si>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</si>
  <si>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Arrienda equipos?</t>
  </si>
  <si>
    <t>Puntaje Cross</t>
  </si>
  <si>
    <t>Riesgo</t>
  </si>
  <si>
    <t>Referido/Referencia</t>
  </si>
  <si>
    <t>Orden</t>
  </si>
  <si>
    <t># Productos OK</t>
  </si>
  <si>
    <t># Productos OP</t>
  </si>
  <si>
    <t>Cooking Solutions SA de CV (La Nacional)</t>
  </si>
  <si>
    <t> </t>
  </si>
  <si>
    <t>Doble click</t>
  </si>
  <si>
    <t>22. Turismo, Hotelería y Gastronomía</t>
  </si>
  <si>
    <t>LAURA GABRIELA BARRETO MONTAÑO</t>
  </si>
  <si>
    <t>BENEDETTI'S</t>
  </si>
  <si>
    <t>Confirmar si es benedettis</t>
  </si>
  <si>
    <t>-</t>
  </si>
  <si>
    <t>ROSEMBER TIRADO DAMIAN</t>
  </si>
  <si>
    <t>GIORDANO AYALA ARIAS</t>
  </si>
  <si>
    <t>SMB</t>
  </si>
  <si>
    <t>Dafne de la Rosa</t>
  </si>
  <si>
    <t>CDMX</t>
  </si>
  <si>
    <t>Servicios</t>
  </si>
  <si>
    <t>Persona física con actividad empresarial en México, posiblemente en el área de servicios o consultoría.</t>
  </si>
  <si>
    <t>ESTEFANIA RETANA ROJO</t>
  </si>
  <si>
    <t>Persona física con actividad empresarial en México, posiblemente en el área de servicios o comercialización.</t>
  </si>
  <si>
    <t>ERICK EDUARDO EVANGELISTA VELASCO</t>
  </si>
  <si>
    <t>Persona física con actividad empresarial en México, posiblemente en servicios o comercialización.</t>
  </si>
  <si>
    <t>GRUPO EPOL</t>
  </si>
  <si>
    <t xml:space="preserve">Mia hoteles </t>
  </si>
  <si>
    <t>ENTERPRISE</t>
  </si>
  <si>
    <t>Manufactura</t>
  </si>
  <si>
    <t>Empresa industrial con sede en CDMX, dedicada a la producción y distribución de productos plásticos, empaques o materiales industriales para el sector manufacturero.</t>
  </si>
  <si>
    <t>GRUPO MAJOSA</t>
  </si>
  <si>
    <t>Grupo empresarial mexicano con actividades en servicios comerciales y operativos, con sede en CDMX orientado a clientes del sector privado.</t>
  </si>
  <si>
    <t>Alcanzar</t>
  </si>
  <si>
    <t>GCO920608K58</t>
  </si>
  <si>
    <t>BENEDETTI'S PIZZA</t>
  </si>
  <si>
    <t>1000-5000</t>
  </si>
  <si>
    <t xml:space="preserve">Nuevo Leon </t>
  </si>
  <si>
    <t>Turismo y Gastronomía</t>
  </si>
  <si>
    <t>Cadena de pizzerías mexicana con múltiples sucursales en la Ciudad de México, especializada en pizza artesanal, pasta y cocina italiana para el mercado masivo.</t>
  </si>
  <si>
    <t>Turismo, Hotelería y Gastronomía</t>
  </si>
  <si>
    <t>Mantener</t>
  </si>
  <si>
    <t>COMPAÑIA PRACTISEGURA</t>
  </si>
  <si>
    <t>GRUPO REM</t>
  </si>
  <si>
    <t>Seguridad Privada</t>
  </si>
  <si>
    <t>Empresa de seguridad privada con sede en CDMX, que ofrece servicios de vigilancia, protección de instalaciones y gestión de riesgos para clientes corporativos y comerciales.</t>
  </si>
  <si>
    <t>Expandir</t>
  </si>
  <si>
    <t>RANCHO LLANO COLORADO</t>
  </si>
  <si>
    <t>PLASTMEX</t>
  </si>
  <si>
    <t>Chihuahua</t>
  </si>
  <si>
    <t>Empresa agropecuaria con rancho en Chihuahua, dedicada a la ganadería, producción de carne o cultivos agrícolas en el norte de México.</t>
  </si>
  <si>
    <t>COMISARIATO BENEDETTI' S</t>
  </si>
  <si>
    <t>División de comisariato del grupo Benedetti's, empresa gastronómica con sede en CDMX que provee servicios de alimentación para empresas, comedores industriales y colectividades.</t>
  </si>
  <si>
    <t>15. Planta Productiva</t>
  </si>
  <si>
    <t>VIN160504DL8</t>
  </si>
  <si>
    <t>VOLTRUCK INTERNATIONAL</t>
  </si>
  <si>
    <t>Dejar sin kam</t>
  </si>
  <si>
    <t>Transporte</t>
  </si>
  <si>
    <t>Empresa del sector de vehículos eléctricos de carga con sede en CDMX, dedicada a la importación, distribución y servicios de camiones y vehículos eléctricos para transporte de mercancías.</t>
  </si>
  <si>
    <t>Energia</t>
  </si>
  <si>
    <t>OK</t>
  </si>
  <si>
    <t>HOTELERIA SUSTENTABLE BACALAR</t>
  </si>
  <si>
    <t>Quintana Roo</t>
  </si>
  <si>
    <t>Empresa de hospedaje sustentable ubicada en Bacalar, Quintana Roo, que opera hoteles boutique y ecolodges con enfoque en la preservación del entorno natural de la Laguna de Bacalar.</t>
  </si>
  <si>
    <t>HORIZON PORTS INTERNATIONAL</t>
  </si>
  <si>
    <t>HORIZON (Implementando)</t>
  </si>
  <si>
    <t>Empresa de logística y servicios portuarios con sede en CDMX, especializada en operaciones de importación, exportación y gestión de carga en puertos y terminales de México.</t>
  </si>
  <si>
    <t>Logistica</t>
  </si>
  <si>
    <t>16. Logistica</t>
  </si>
  <si>
    <t>JLM SERVICIOS PROFESIONALES INTEGRALES</t>
  </si>
  <si>
    <t>Empresa de servicios profesionales integrales con sede en CDMX, que provee soluciones de consultoría, outsourcing y gestión para clientes del sector empresarial en México.</t>
  </si>
  <si>
    <t>AUTOS GALIA QUERETARO</t>
  </si>
  <si>
    <t>GEISHA</t>
  </si>
  <si>
    <t>Querétaro</t>
  </si>
  <si>
    <t>Automotriz</t>
  </si>
  <si>
    <t>Agencia automotriz perteneciente al Grupo Geisha Querétaro, dedicada a la venta de vehículos y servicios de posventa en el estado de Querétaro.</t>
  </si>
  <si>
    <t>SI</t>
  </si>
  <si>
    <t>PMR140116AA0</t>
  </si>
  <si>
    <t>PROVEEDOR MAYORISTA AL REFACCIONARIO DE MEXICO</t>
  </si>
  <si>
    <t xml:space="preserve">Jalisco </t>
  </si>
  <si>
    <t>Empresa mayorista distribuidora de refacciones automotrices y autopartes para talleres mecánicos, distribuidores y refaccionarias a nivel nacional.</t>
  </si>
  <si>
    <t>Retail SMB</t>
  </si>
  <si>
    <t>STR190923PR8</t>
  </si>
  <si>
    <t>STED TRASLADOS</t>
  </si>
  <si>
    <t>Tony</t>
  </si>
  <si>
    <t>Crítico-marcaje</t>
  </si>
  <si>
    <t>Empresa de traslados y transporte especial con sede en CDMX, dedicada al traslado de pacientes, personal o carga especializada con unidades adecuadas para cada servicio.</t>
  </si>
  <si>
    <t>21. Transporte</t>
  </si>
  <si>
    <t>Retener</t>
  </si>
  <si>
    <t>HORIZON MOBILITY SOLUTIONS</t>
  </si>
  <si>
    <t>Tecnología</t>
  </si>
  <si>
    <t>Empresa de soluciones tecnológicas de movilidad con sede en CDMX, especializada en plataformas digitales, aplicaciones y sistemas para gestión de flotas, transporte y logística.</t>
  </si>
  <si>
    <t>CAF880309V9A</t>
  </si>
  <si>
    <t>CENTRO AUTOMOTRIZ FUTURAMA</t>
  </si>
  <si>
    <t xml:space="preserve">Morelos </t>
  </si>
  <si>
    <t>Centro de servicios automotrices con sede en CDMX, especializado en mantenimiento, reparación y venta de refacciones para vehículos de pasajeros y comerciales.</t>
  </si>
  <si>
    <t>Retail Enterprise</t>
  </si>
  <si>
    <t>GIOVANNI'S COLIMA</t>
  </si>
  <si>
    <t>Colima</t>
  </si>
  <si>
    <t>Restaurante o cadena de restaurantes con sede en Colima, dedicado a la gastronomía italiana o internacional, con servicio de comedor y atención al sector local y turístico.</t>
  </si>
  <si>
    <t>PROVEEDORA REM</t>
  </si>
  <si>
    <t>Retail</t>
  </si>
  <si>
    <t>Empresa proveedora de insumos y materiales con sede en CDMX, dedicada a la distribución y comercialización de productos para el sector industrial, comercial o institucional.</t>
  </si>
  <si>
    <t>GEISHA LA VILLA</t>
  </si>
  <si>
    <t>Agencia automotriz del Grupo Geisha Querétaro, dedicada a la venta de vehículos nuevos y usados, servicio mecánico y comercialización de refacciones en el estado de Querétaro.</t>
  </si>
  <si>
    <t>PIM180629TE1</t>
  </si>
  <si>
    <t>PIN IT MEDIA</t>
  </si>
  <si>
    <t>Empresa de marketing digital y publicidad con sede en CDMX, especializada en estrategias de medios digitales, redes sociales y contenido para marcas y empresas en México.</t>
  </si>
  <si>
    <t>20. Servicios</t>
  </si>
  <si>
    <t>ESA9402086U4</t>
  </si>
  <si>
    <t>ESTEBAN SANCHEZ Y ASOCIADOS</t>
  </si>
  <si>
    <t>Construcción</t>
  </si>
  <si>
    <t>Despacho de ingeniería y construcción con sede en CDMX, especializado en proyectos arquitectónicos, estructurales y de obra civil para el sector inmobiliario y empresarial.</t>
  </si>
  <si>
    <t>6. Banca y Finanzas</t>
  </si>
  <si>
    <t>Empresa mexicana especializada en la fabricación y comercialización de productos plásticos y empaques para uso industrial y de consumo.</t>
  </si>
  <si>
    <t>CEN180307897</t>
  </si>
  <si>
    <t>LOGICAMEX</t>
  </si>
  <si>
    <t>Empresa mexicana de tecnología y servicios de TI especializada en soluciones de software, integración de sistemas y consultoría para empresas del sector privado y público.</t>
  </si>
  <si>
    <t>TECNOLOGIA SINTEL (FORBO)</t>
  </si>
  <si>
    <t>Tecnología Sintel</t>
  </si>
  <si>
    <t>Empresa del grupo suizo Forbo, dedicada a la distribución y comercialización de pisos vinílicos, textiles técnicos y sistemas de transportación de materiales en México.</t>
  </si>
  <si>
    <t>5. Consultoria</t>
  </si>
  <si>
    <t>OP</t>
  </si>
  <si>
    <t>CDI1305022N7</t>
  </si>
  <si>
    <t>COMPUMEX DIGITAL</t>
  </si>
  <si>
    <t>Empresa comercializadora de equipos de cómputo, tecnología y consumibles con sede en la Ciudad de México, orientada a ventas empresariales y público general.</t>
  </si>
  <si>
    <t>17. Retail Enterprise</t>
  </si>
  <si>
    <t>NO</t>
  </si>
  <si>
    <t>GRUPO HOTELERO SAMAR</t>
  </si>
  <si>
    <t>Grupo hotelero mexicano dedicado a la operación de hoteles y hospedaje, con enfoque en servicio de calidad para viajeros de negocios y turismo nacional.</t>
  </si>
  <si>
    <t>OMC201030L83</t>
  </si>
  <si>
    <t>OPERADORA METRIA DEL CENTRO</t>
  </si>
  <si>
    <t>Guanajuato</t>
  </si>
  <si>
    <t>Operadora de servicios de hospitalidad y gastronomía con presencia en Guanajuato, dedicada a la administración de hoteles, restaurantes o espacios de eventos en el Bajío.</t>
  </si>
  <si>
    <t>ZGP9903155IA</t>
  </si>
  <si>
    <t>ZAPATERIA LA GRAN PLAZA</t>
  </si>
  <si>
    <t>Queretaro</t>
  </si>
  <si>
    <t>Cadena de tiendas de calzado con presencia en Querétaro y estados del centro del país, dedicada a la comercialización de zapatos, accesorios y artículos de moda a precio competitivo.</t>
  </si>
  <si>
    <t>MIN060613NY6</t>
  </si>
  <si>
    <t>MINERALIA INTERNACIONAL</t>
  </si>
  <si>
    <t>Empresa comercializadora de minerales, cristales y productos relacionados con el bienestar y la mineralogía, con distribución a nivel nacional e internacional desde CDMX.</t>
  </si>
  <si>
    <t>QUESERIA AMERICA</t>
  </si>
  <si>
    <t>Empresa mexicana dedicada a la producción y comercialización de quesos y productos lácteos artesanales e industriales para el mercado nacional.</t>
  </si>
  <si>
    <t>18. Retail SMB</t>
  </si>
  <si>
    <t>ACTIC</t>
  </si>
  <si>
    <t>GAYA</t>
  </si>
  <si>
    <t>Empresa mexicana de servicios con presencia en la Ciudad de México, especializada en consultoría, capacitación o servicios técnicos para el sector empresarial.</t>
  </si>
  <si>
    <t>PRM151028TH8</t>
  </si>
  <si>
    <t>PINTURAS REM DE MEXICALI</t>
  </si>
  <si>
    <t>Baja California</t>
  </si>
  <si>
    <t>Empresa distribuidora y comercializadora de pinturas, recubrimientos y materiales de construcción en Mexicali y zona norte de Baja California.</t>
  </si>
  <si>
    <t xml:space="preserve">Retail </t>
  </si>
  <si>
    <t>AUTOMOTRIZ GEISHA</t>
  </si>
  <si>
    <t>Concesionaria automotriz perteneciente a Grupo Geisha, enfocada en venta de vehículos, servicio mecánico y comercialización de refacciones en Querétaro.</t>
  </si>
  <si>
    <t>PRB150319NA0</t>
  </si>
  <si>
    <t>PORCO ROSSO BBQ</t>
  </si>
  <si>
    <t>Restaurante de cocina BBQ americano-mexicana con presencia en la Ciudad de México, especializado en carnes asadas, costillas y cocina de ahumado.</t>
  </si>
  <si>
    <t>ACTIVIDADES EMPRESARIALES IRNA (GRUPO PROM)</t>
  </si>
  <si>
    <t>GRUPO PROM</t>
  </si>
  <si>
    <t>Empresa de servicios empresariales perteneciente a Grupo Prom, dedicada a la gestión de actividades comerciales, administrativas y operativas para empresas en México.</t>
  </si>
  <si>
    <t>PER171116IL0</t>
  </si>
  <si>
    <t>PERCHAGAR</t>
  </si>
  <si>
    <t>Empresa comercializadora con sede en CDMX dedicada a la distribución de productos de consumo en canales de venta tradicionales y modernos.</t>
  </si>
  <si>
    <t>GEISHA K</t>
  </si>
  <si>
    <t>Empresa automotriz del Grupo Geisha Querétaro, dedicada a la venta de vehículos nuevos y usados, así como servicios de mantenimiento y posventa en el estado de Querétaro.</t>
  </si>
  <si>
    <t>TZM1211063S9</t>
  </si>
  <si>
    <t>TRANSPORTES ZAPATA MEJIA</t>
  </si>
  <si>
    <t>Empresa de transporte de carga con sede en CDMX, especializada en distribución y logística de mercancías a nivel nacional.</t>
  </si>
  <si>
    <t>TFM070312IC6</t>
  </si>
  <si>
    <t>TEAM FOODS MEXICO</t>
  </si>
  <si>
    <t>Empresa del grupo colombiano Team Foods, dedicada a la producción y distribución de aceites vegetales, grasas y margarinas para el mercado de alimentos en México.</t>
  </si>
  <si>
    <t>Planta Productiva</t>
  </si>
  <si>
    <t>SDA840612295</t>
  </si>
  <si>
    <t>SERVICIO Y DISTRIBUIDORES DE AUTOPARTES</t>
  </si>
  <si>
    <t>Empresa distribuidora de refacciones y autopartes para vehículos, con servicio a talleres mecánicos y clientes finales en la Ciudad de México.</t>
  </si>
  <si>
    <t>GEISHA QUERETARO</t>
  </si>
  <si>
    <t>Grupo automotriz con concesionarias de marcas como Toyota, Kia y Renault en Querétaro y zonas aledañas. Venta de vehículos nuevos y seminuevos, refacciones y servicio mecánico.</t>
  </si>
  <si>
    <t>CMC130520F30</t>
  </si>
  <si>
    <t>COMERCIALIZADORA DE MARCAS CASMA</t>
  </si>
  <si>
    <t xml:space="preserve">Sinaloa </t>
  </si>
  <si>
    <t>Sinaloa</t>
  </si>
  <si>
    <t>Empresa comercializadora y distribuidora de marcas de consumo en Sinaloa. Dedicada a la importación y comercialización de productos de consumo masivo en el noroeste del país.</t>
  </si>
  <si>
    <t>ACB950109JZ9</t>
  </si>
  <si>
    <t>ADMINISTRADORA DE CAJA BIENESTAR</t>
  </si>
  <si>
    <t>Banca y Finanzas</t>
  </si>
  <si>
    <t>Empresa de servicios financieros especializada en administración de cajas de ahorro y crédito para empleados, con sede en Querétaro.</t>
  </si>
  <si>
    <t>PRO090819GQ3</t>
  </si>
  <si>
    <t>PROTECTOGARD (LA MARE)</t>
  </si>
  <si>
    <t>Empresa de seguridad privada y vigilancia corporativa que presta servicios de protección a instalaciones, empresas y eventos en la Ciudad de México y área metropolitana.</t>
  </si>
  <si>
    <t>3. Construcción</t>
  </si>
  <si>
    <t>VOT030512SA3</t>
  </si>
  <si>
    <t>V O TECNOLOGIA LASER APLICADA A LA VISION</t>
  </si>
  <si>
    <t>Salud</t>
  </si>
  <si>
    <t>Empresa de tecnología médica especializada en cirugía y tratamientos con láser oftalmológico, con clínicas en Guanajuato.</t>
  </si>
  <si>
    <t>AAR160311AL8</t>
  </si>
  <si>
    <t>ALIMENTOS AREM</t>
  </si>
  <si>
    <t>Nuevo León</t>
  </si>
  <si>
    <t>Empresa productora de alimentos procesados y snacks con sede en Nuevo León, distribuidora de productos alimenticios para el mercado nacional.</t>
  </si>
  <si>
    <t>OVERHAUL RISK MANAGEMENT</t>
  </si>
  <si>
    <t>QBL620411JP5</t>
  </si>
  <si>
    <t>QUIMICA BLANTEX</t>
  </si>
  <si>
    <t>EDOMEX</t>
  </si>
  <si>
    <t>Estado de México</t>
  </si>
  <si>
    <t>Empresa química fabricante y distribuidora de productos para limpieza industrial, tratamiento de aguas y procesos químicos especializados.</t>
  </si>
  <si>
    <t>NO - se abandonó en implementación</t>
  </si>
  <si>
    <t>AIN8002073EA</t>
  </si>
  <si>
    <t>ALIMENTOS INTEGRONATURALES</t>
  </si>
  <si>
    <t>Empresa productora de alimentos naturales e integrales con sede en Nuevo León, especializada en productos saludables para consumo masivo.</t>
  </si>
  <si>
    <t xml:space="preserve">Produccion </t>
  </si>
  <si>
    <t>WSG940622JM4</t>
  </si>
  <si>
    <t>WILSON SPORTING GOODS CO DE MEXICO (Amer Sports)</t>
  </si>
  <si>
    <t>Subsidiaria mexicana de Wilson, marca global de artículos deportivos. Comercializa equipos y accesorios para tenis, fútbol, béisbol, baloncesto y otros deportes en México.</t>
  </si>
  <si>
    <t>GRUPO MODS</t>
  </si>
  <si>
    <t>Empresa mexicana de servicios con operaciones en Ciudad de México, orientada a soluciones comerciales y de gestión para clientes del sector empresarial.</t>
  </si>
  <si>
    <t>ISEG MEXICO SEGURIDAD PRIVADA</t>
  </si>
  <si>
    <t>Empresa peruana con operaciones en México dedicada a la seguridad privada, prevención de pérdidas y protección de instalaciones para el sector retail y corporativo.</t>
  </si>
  <si>
    <t>12. Outsourcing Seguridad</t>
  </si>
  <si>
    <t>TLM1402276K0</t>
  </si>
  <si>
    <t>TRANSPORTACION Y LOGISTICA MALDONADO</t>
  </si>
  <si>
    <t>Logística</t>
  </si>
  <si>
    <t>Empresa de transporte y logística con flota propia para distribución de carga en la zona metropolitana del Valle de México y nacional.</t>
  </si>
  <si>
    <t>FSN9905126S3</t>
  </si>
  <si>
    <t>FARMACIAS SIMI DEL NORTE</t>
  </si>
  <si>
    <t>Tamaulipas</t>
  </si>
  <si>
    <t>Franquicia regional de Farmacias Similares (Dr. Simi) con operaciones en el norte del país, distribuidora de medicamentos genéricos a bajo costo.</t>
  </si>
  <si>
    <t>CEC081223FJ2</t>
  </si>
  <si>
    <t>CAFES DE ESPECIALIDAD DE CHIAPAS S.A.P.I. DE C.V. (CAFESCA)*</t>
  </si>
  <si>
    <t>Chiapas</t>
  </si>
  <si>
    <t>Empresa productora y exportadora de café de especialidad en Chiapas, dedicada al cultivo, procesamiento y comercialización de café premium.</t>
  </si>
  <si>
    <t>HME170801CS9</t>
  </si>
  <si>
    <t>H52 MEXICO</t>
  </si>
  <si>
    <t>Tiene integración con Buk incompleta y tienen tema con heurística</t>
  </si>
  <si>
    <t>Mapeada en junio, julio</t>
  </si>
  <si>
    <t xml:space="preserve">Antonio </t>
  </si>
  <si>
    <t>Jalisco</t>
  </si>
  <si>
    <t>Agrícola</t>
  </si>
  <si>
    <t>Empresa especializada en agricultura de alta tecnología e hidroponía en Jalisco, producción de hortalizas y frutas bajo invernadero.</t>
  </si>
  <si>
    <t>1. Agrícola</t>
  </si>
  <si>
    <t>ULA751222J13</t>
  </si>
  <si>
    <t>UNIVERSIDAD LATINOAMERICANA</t>
  </si>
  <si>
    <t>Educación</t>
  </si>
  <si>
    <t>Universidad privada mexicana con campus en CDMX, Nuevo León y otras ciudades, con oferta educativa de licenciaturas, posgrados y educación continua.</t>
  </si>
  <si>
    <t>7. Educación</t>
  </si>
  <si>
    <t>HAL161209L83</t>
  </si>
  <si>
    <t>HORIZON AUTO LOGISTICS</t>
  </si>
  <si>
    <t>Empresa del grupo Horizon especializada en logística automotriz y transporte de vehículos para distribuidores y armadoras en México.</t>
  </si>
  <si>
    <t>KLA140509S32</t>
  </si>
  <si>
    <t>KLIP LAB</t>
  </si>
  <si>
    <t>Empresa de tecnología y servicios digitales con sede en CDMX, especializada en soluciones de software y plataformas para empresas.</t>
  </si>
  <si>
    <t>TME930119HR3</t>
  </si>
  <si>
    <t>TOTALENERGIES MARKETING MEXICO</t>
  </si>
  <si>
    <t>Energía</t>
  </si>
  <si>
    <t>Filial de TotalEnergies en México dedicada a la comercialización y distribución de combustibles, lubricantes y energía para el sector industrial y automotriz.</t>
  </si>
  <si>
    <t>SME900524FC2</t>
  </si>
  <si>
    <t>SGS DE MEXICO</t>
  </si>
  <si>
    <t>Apoyo cobranza</t>
  </si>
  <si>
    <t>Filial mexicana de SGS, líder mundial en inspección, verificación, análisis y certificación de productos, procesos y sistemas para múltiples industrias.</t>
  </si>
  <si>
    <t>NO - tuvo y canceló</t>
  </si>
  <si>
    <t>TJA170719450</t>
  </si>
  <si>
    <t>TRIBUNAL DE JUSTICIA ADMINISTRATIVA DEL ESTADO DE MEXICO (Gobierno del estado de mexico)</t>
  </si>
  <si>
    <t>Presupuesto anual, salir a buscarlos a inicio del Q4</t>
  </si>
  <si>
    <t xml:space="preserve">Toluca </t>
  </si>
  <si>
    <t>Gobierno</t>
  </si>
  <si>
    <t>Órgano jurisdiccional autónomo del Estado de México encargado de resolver conflictos entre ciudadanos y la administración pública estatal y municipal.</t>
  </si>
  <si>
    <t>SCA210528AWA</t>
  </si>
  <si>
    <t>SINFOROSA CAFE</t>
  </si>
  <si>
    <t xml:space="preserve">Se brinda seguimiento a la nueva admisnistradora. Apertura de 3 cafeterias. </t>
  </si>
  <si>
    <t>Cadena de cafeterías y restaurantes con sede en Querétaro, especializada en café de especialidad y gastronomía artesanal mexicana.</t>
  </si>
  <si>
    <t>NO - lo tienen interno</t>
  </si>
  <si>
    <t>IPS130906GZ3</t>
  </si>
  <si>
    <t>DESARROLLO INTEGRAL ADMINISTRATIVO LUAN (Grupo IPS)</t>
  </si>
  <si>
    <t>Empresa del Grupo IPS dedicada a outsourcing administrativo y gestión integral de recursos humanos para clientes corporativos.</t>
  </si>
  <si>
    <t>CIN930226HQ0</t>
  </si>
  <si>
    <t>CINMSA</t>
  </si>
  <si>
    <t>Empresa constructora con sede en Estado de México especializada en obras civiles, infraestructura y proyectos de edificación industrial.</t>
  </si>
  <si>
    <t>REM8810176J7</t>
  </si>
  <si>
    <t>RADIOLOGIA Y ELECTRONICA DE MEXICO (REMSA)</t>
  </si>
  <si>
    <t>Seguimiento, ver disposición a pago para ofrecer módulo muy barato o dar algo gratis. Sacar reu</t>
  </si>
  <si>
    <t>Mapeada en junio</t>
  </si>
  <si>
    <t>Empresa distribuidora de equipos de electrónica, cómputo y tecnología para el mercado empresarial y al detalle en la Ciudad de México.</t>
  </si>
  <si>
    <t>GRUPO AVICOLA QUIÑONES</t>
  </si>
  <si>
    <t>Solicitud JPTI? Tiene diseño de reporte, ver con Gio. Ver si se va a cobrar</t>
  </si>
  <si>
    <t>Empresa avícola dedicada a la producción, procesamiento y distribución de pollo y productos derivados en el noroeste de México.</t>
  </si>
  <si>
    <t>GKA081001HL5</t>
  </si>
  <si>
    <t>GRUPO KARUNA</t>
  </si>
  <si>
    <t>Llamada 23 de junio</t>
  </si>
  <si>
    <t>Grupo empresarial con laboratorios farmacéuticos y clínicos, especializado en producción y comercialización de medicamentos y servicios de salud.</t>
  </si>
  <si>
    <t xml:space="preserve">Laboratorios </t>
  </si>
  <si>
    <t>Otros</t>
  </si>
  <si>
    <t>COMETA ENERGIA (SAAVI)</t>
  </si>
  <si>
    <t xml:space="preserve">Solicitar baja de BI EN FACTURACION DE JULIO </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</si>
  <si>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</si>
  <si>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</si>
  <si>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</si>
  <si>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</si>
  <si>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</si>
  <si>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GSO060706CM5</t>
  </si>
  <si>
    <t>GLORY GLOBAL SOLUTIONS MEXICO</t>
  </si>
  <si>
    <t xml:space="preserve">Se tiene reunion con la TI aignada el 23 de junio para validar reunion con cliente. </t>
  </si>
  <si>
    <t>Filial mexicana de Glory Global Solutions, empresa japonesa especializada en soluciones de automatización para manejo de efectivo, cajas registradoras y equipos bancarios.</t>
  </si>
  <si>
    <t>OP (ERP)</t>
  </si>
  <si>
    <t>ALMACENADORA SUR SA DE CV ORGANIZACION AUXILIAR DEL CREDITO</t>
  </si>
  <si>
    <t>Organización auxiliar del crédito dedicada a servicios de almacenamiento, certificación de inventarios y financiamiento sobre mercancías en depósito.</t>
  </si>
  <si>
    <t>FPF170810F72</t>
  </si>
  <si>
    <t>FLORES Y PLANTAS LA FINCA (BODEGA DE FLORES)</t>
  </si>
  <si>
    <t xml:space="preserve">UP 2 Tiendas y Vacaciones </t>
  </si>
  <si>
    <t>Empresa productora y comercializadora de flores, plantas ornamentales y productos agrícolas, con producción en Nuevo León y distribución nacional.</t>
  </si>
  <si>
    <t>Agrícola / Retail</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</si>
  <si>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</si>
  <si>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</si>
  <si>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</si>
  <si>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</si>
  <si>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Outsourcing</t>
  </si>
  <si>
    <t>Empresa de outsourcing de recursos humanos y nómina (LUMO Financiera), especializada en administración de personal y servicios de RRHH para empresas.</t>
  </si>
  <si>
    <t>Outsourcing General</t>
  </si>
  <si>
    <t>OP (Personalizada con Buk, permisos parciales y RAM)</t>
  </si>
  <si>
    <t>NO - buk</t>
  </si>
  <si>
    <t>NO - interno</t>
  </si>
  <si>
    <t>OP (Costo $0)</t>
  </si>
  <si>
    <t>Y5459737101</t>
  </si>
  <si>
    <t>LATAM LOGISTICS (TOUS)</t>
  </si>
  <si>
    <t>TOUS</t>
  </si>
  <si>
    <t xml:space="preserve">Se tiene reunion el 23 de junion para poder validar un caso de reporteria. </t>
  </si>
  <si>
    <t>Empresa de logística y distribución que opera la cadena de suministro para marcas como TOUS en México, con servicios de almacenaje y última milla.</t>
  </si>
  <si>
    <t>PLQ9002286Q6</t>
  </si>
  <si>
    <t>PRODUCTOS LACTEOS LA QUINTA</t>
  </si>
  <si>
    <t xml:space="preserve">Solicito un equipo mas. </t>
  </si>
  <si>
    <t>Empresa productora de lácteos como leche, quesos y derivados en Querétaro, con distribución regional en el Bajío y zona centro de México.</t>
  </si>
  <si>
    <t>RCO130524TLA</t>
  </si>
  <si>
    <t>RENA COMERCIALIZADORA (Farmacias Simi)</t>
  </si>
  <si>
    <t>Buscar reu</t>
  </si>
  <si>
    <t>Yucatan</t>
  </si>
  <si>
    <t>Yucatán</t>
  </si>
  <si>
    <t>Empresa comercializadora y distribuidora con sede en Yucatán, dedicada a la venta y distribución de productos al consumidor en la región sureste.</t>
  </si>
  <si>
    <t>NO - tienen intranet</t>
  </si>
  <si>
    <t>FRU1410043E6</t>
  </si>
  <si>
    <t>FRUNATURAL</t>
  </si>
  <si>
    <t>No tienen autorizado presupuesto.</t>
  </si>
  <si>
    <t>Empresa productora y comercializadora de frutas y verduras procesadas, jugos y productos naturales con operaciones en Jalisco.</t>
  </si>
  <si>
    <t>NO - turnos fijos</t>
  </si>
  <si>
    <t>TFV220408B62</t>
  </si>
  <si>
    <t>TAKE FLIGHT VENTURES</t>
  </si>
  <si>
    <t>BIRDMAN</t>
  </si>
  <si>
    <t xml:space="preserve">Brinda seguimiento. </t>
  </si>
  <si>
    <t>Empresa de agricultura tecnificada e innovación agropecuaria con operaciones en Jalisco, enfocada en sistemas de cultivo y producción de alimentos.</t>
  </si>
  <si>
    <t>GTC1701097U7</t>
  </si>
  <si>
    <t>GTC TERMO CONTROL</t>
  </si>
  <si>
    <t xml:space="preserve">Se busca el horario disponible para la demos con SICOSS.*
</t>
  </si>
  <si>
    <t>Empresa especializada en sistemas de impermeabilización, aislamiento térmico y control de temperatura para proyectos de construcción industrial y comercial.</t>
  </si>
  <si>
    <t>OP (Op con Tada o Sicoss, eligiendo ERP)</t>
  </si>
  <si>
    <t>NO - turnos sin mucha rotación</t>
  </si>
  <si>
    <t>GFS230216MD6</t>
  </si>
  <si>
    <t>GRUPO FERROCARRILERO DEL SURESTE</t>
  </si>
  <si>
    <t>Dejó plantada a Dafne. 
Fer: contactar</t>
  </si>
  <si>
    <t>Empresa constructora regional enfocada en obras de infraestructura y proyectos de ingeniería civil en el sureste de México.</t>
  </si>
  <si>
    <t>OP (550, puede ser perdido)</t>
  </si>
  <si>
    <t>VAL110809NA0</t>
  </si>
  <si>
    <t>VALKIPRO (Coperva)</t>
  </si>
  <si>
    <t xml:space="preserve">COPERVA </t>
  </si>
  <si>
    <t xml:space="preserve">Seguimiento a requerimiento solicitado de SI. Fecha de entrega 07 de julio. </t>
  </si>
  <si>
    <t>Empresa de outsourcing especializada en servicios de call center y cobranza, opera bajo la marca Coperva atendiendo a instituciones financieras.</t>
  </si>
  <si>
    <t xml:space="preserve">Call Center Cobranza </t>
  </si>
  <si>
    <t>IDI910119FX2</t>
  </si>
  <si>
    <t>IMPULSORA DE DESARROLLO INTEGRAL (Idinsa)</t>
  </si>
  <si>
    <t xml:space="preserve">IDINSA </t>
  </si>
  <si>
    <t xml:space="preserve">Seguimiento a  proyecto terminado Tlalpan </t>
  </si>
  <si>
    <t>Empresa constructora e inmobiliaria (IDINSA) con operaciones en CDMX, especializada en desarrollo de proyectos de infraestructura y edificación.</t>
  </si>
  <si>
    <t>OK (Q2)</t>
  </si>
  <si>
    <t>CCO210827216</t>
  </si>
  <si>
    <t>J&amp;T EXPRESS CONEJO CORRIENDO</t>
  </si>
  <si>
    <t xml:space="preserve">CONEJO CORRIENDO </t>
  </si>
  <si>
    <t>Saludable</t>
  </si>
  <si>
    <t>Empresa de mensajería y logística de última milla, parte del grupo internacional J&amp;T Express, con operaciones en toda la República Mexicana.</t>
  </si>
  <si>
    <t>OP (Q2-Q3, Regiones,)</t>
  </si>
  <si>
    <t>OK (Q1, 550 Monterrey+470 Jalisco) -OP (360 yucatan+X tlane 700 usuarios+Chihuahua Y usuarios)</t>
  </si>
  <si>
    <t>ARH071204CK8</t>
  </si>
  <si>
    <t>COMERCIALIZADORA IMU</t>
  </si>
  <si>
    <t>Empresa manufacturera y comercializadora de productos industriales con sede en CDMX, orientada al abastecimiento de insumos para planta productiva.</t>
  </si>
  <si>
    <t>PIM880419171</t>
  </si>
  <si>
    <t>PLASTICOS INDUSTRIALES DE MONTERREY</t>
  </si>
  <si>
    <t>Empresa manufacturera de productos plásticos industriales con sede en Monterrey, proveedora de empaques y componentes para industria y consumo.</t>
  </si>
  <si>
    <t>OIN200408RC6</t>
  </si>
  <si>
    <t>OPERADORA INTERNACIONAL DE NEGOCIOS HUZKY</t>
  </si>
  <si>
    <t>Empresa operadora dedicada a la comercialización y distribución de productos de consumo en México, con enfoque en canales modernos y tradicionales.</t>
  </si>
  <si>
    <t>GRUPO POLYMAT</t>
  </si>
  <si>
    <t>Empresa distribuidora de polímeros, resinas y materias primas plásticas para la industria manufacturera, con importación y comercialización de insumos para empresas de transformación.</t>
  </si>
  <si>
    <t>FWI LOGISTICS PRIVATE SECURITY</t>
  </si>
  <si>
    <t>Empresa de seguridad privada y logística que ofrece servicios de vigilancia, protección de instalaciones y transporte seguro de valores y mercancías en México.</t>
  </si>
  <si>
    <t>DIEGO ADALBERTO MUNGUIA RODRIGUEZ</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</si>
  <si>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</si>
  <si>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</si>
  <si>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</si>
  <si>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FRANCISCO MARTIN SANTILLAN JIMENEZ</t>
  </si>
  <si>
    <t>COMBUSTIBLES ECOLOGICOS MEXICANOS (VI Group, implementando)</t>
  </si>
  <si>
    <t>Asignar a Dafne</t>
  </si>
  <si>
    <t>Dafne de la Rosa (Implementando)</t>
  </si>
  <si>
    <t>Empresa del VI Group comercializadora de combustibles ecológicos y alternativos, con soluciones de abastecimiento de energía limpia para flotas vehiculares.</t>
  </si>
  <si>
    <t>MOGAR SEGURIDAD PRIVADA</t>
  </si>
  <si>
    <t>Implementando</t>
  </si>
  <si>
    <t>Empresa de seguridad privada y vigilancia con sede en CDMX, proveedora de servicios de protección para corporativos e industria.</t>
  </si>
  <si>
    <t>Outsourcing Seguridad</t>
  </si>
  <si>
    <t>JOSE LEONARDO MIJARES MENESES (Alliance Rentals / Alliance Solutions)</t>
  </si>
  <si>
    <t>Persona física o empresa de consultoría y asesoría empresarial bajo la marca Alliance, con operaciones en México enfocada en soluciones comerciales y de negocios.</t>
  </si>
  <si>
    <t>CRYSTAL GREEN DE MEXICO</t>
  </si>
  <si>
    <t>Asignar a Karla</t>
  </si>
  <si>
    <t>Karla Patiño</t>
  </si>
  <si>
    <t>SERVICIOS LESETAV (Cuchara y tenedor)</t>
  </si>
  <si>
    <t>Empresa operadora de los restaurantes Cuchara y Tenedor, cadena de comedores industriales y restaurantes de comida casera en CDMX.</t>
  </si>
  <si>
    <t>TIENDAS TROPICALES (Cinco Soles)</t>
  </si>
  <si>
    <t>Guerrero</t>
  </si>
  <si>
    <t>Cadena de supermercados regionales Cinco Soles con operaciones en el estado de Guerrero y zona del Pacífico sur de México.</t>
  </si>
  <si>
    <t>OPERADORA URIMAR</t>
  </si>
  <si>
    <t>Empresa de servicios especializados con operaciones principalmente en CDMX, orientada a la administración y operación de negocios.</t>
  </si>
  <si>
    <t>TRANSPORTES ESPECIALIZADOS RUGA</t>
  </si>
  <si>
    <t>TUSSAN</t>
  </si>
  <si>
    <t>JOSE EMILIO ESPINOSA CABRERA</t>
  </si>
  <si>
    <t>LOS TARASCOS PUEBLA</t>
  </si>
  <si>
    <t>CENTROS URBANOS GOVA</t>
  </si>
  <si>
    <t>GOVA</t>
  </si>
  <si>
    <t>Empresa inmobiliaria del grupo GOVA con sede en CDMX, dedicada al desarrollo de centros urbanos, complejos habitacionales y proyectos de vivienda en zonas metropolitanas.</t>
  </si>
  <si>
    <t>GUADALUPE GONZALEZ ZAMARRIPA</t>
  </si>
  <si>
    <t>CCI PLANIGRUPO II</t>
  </si>
  <si>
    <t>INMOBICO</t>
  </si>
  <si>
    <t>Empresa del grupo inmobiliario y comercial CCI Planigrupo, dedicada al desarrollo de centros comerciales y proyectos inmobiliarios en México.</t>
  </si>
  <si>
    <t>CCI PLANIGRUPO III</t>
  </si>
  <si>
    <t>JOSE JUAN ESPINOSA SANCHEZ</t>
  </si>
  <si>
    <t>IMPULSORA DE COMERCIO BUGAMBILIAS</t>
  </si>
  <si>
    <t>Empresa comercializadora con sede en CDMX, dedicada a la distribución y venta de productos de consumo masivo para canales de comercio al por menor.</t>
  </si>
  <si>
    <t>MONICA ESPINOSA CABRERA</t>
  </si>
  <si>
    <t>Persona física con actividad empresarial en México, posiblemente en el área de servicios profesionales o consultoría.</t>
  </si>
  <si>
    <t>GLIDER RIO BRAVO</t>
  </si>
  <si>
    <t>Empresa de servicios con sede en la zona fronteriza del Río Bravo en Tamaulipas, posiblemente orientada a actividades turísticas, logísticas o de comercio exterior en la región.</t>
  </si>
  <si>
    <t>VAL140908J22</t>
  </si>
  <si>
    <t>VALLELOZA</t>
  </si>
  <si>
    <t>Empresa del sector turístico o gastronómico con sede en México, dedicada a la operación de restaurantes, cafeterías o espacios de entretenimiento para clientes locales y turistas.</t>
  </si>
  <si>
    <t>GFE940613MZ5</t>
  </si>
  <si>
    <t>GRUPO FERTINAL</t>
  </si>
  <si>
    <t>Sonora</t>
  </si>
  <si>
    <t>Empresa agroindustrial con operaciones en Sonora, dedicada a la producción y distribución de fertilizantes y agroquímicos para el sector agrícola en México.</t>
  </si>
  <si>
    <t>CCS1407042B3</t>
  </si>
  <si>
    <t>PEOPLE 2 MEXICO</t>
  </si>
  <si>
    <t>Subsidiaria de People 2, empresa global de servicios de outsourcing de recursos humanos. Provee soluciones de empleador de registro (EOR), nómina y gestión de personal en México.</t>
  </si>
  <si>
    <t>13. Outsourcing General</t>
  </si>
  <si>
    <t>GOVA CH</t>
  </si>
  <si>
    <t>Empresa constructora con sede en Chihuahua, dedicada a proyectos de edificación residencial, comercial e industrial en el norte de México.</t>
  </si>
  <si>
    <t>FSC230418V26</t>
  </si>
  <si>
    <t>FEMPA SERVICIOS DE COMIDA</t>
  </si>
  <si>
    <t>Empresa de servicios de alimentación con sede en CDMX, especializada en comedor industrial, catering o food service para empresas e instituciones.</t>
  </si>
  <si>
    <t>EDIFICACIONES GOVA</t>
  </si>
  <si>
    <t>Empresa constructora con sede en CDMX, especializada en proyectos de edificación residencial, comercial e industrial con enfoque en la calidad y cumplimiento de plazos.</t>
  </si>
  <si>
    <t>CAG161004AR6</t>
  </si>
  <si>
    <t>CENTROS AUDITIVOS GAES MEXICO</t>
  </si>
  <si>
    <t>Cuenta con negociación regional</t>
  </si>
  <si>
    <t>Red de centros auditivos del grupo español GAES con presencia en México, especializada en diagnóstico, adaptación de audífonos y rehabilitación auditiva para personas con pérdida auditiva.</t>
  </si>
  <si>
    <t>19. Salud</t>
  </si>
  <si>
    <t>LOMAS VERDES 21 Y ASOCIADOS</t>
  </si>
  <si>
    <t>Empresa o despacho de servicios profesionales con sede en Lomas Verdes, Estado de México, posiblemente en el área de consultoría, asesoría jurídica o servicios empresariales.</t>
  </si>
  <si>
    <t>DUGPA</t>
  </si>
  <si>
    <t>Ellos van a ser baja, estamos monitoreando cobranza.</t>
  </si>
  <si>
    <t>Empresa mexicana de servicios con operaciones en CDMX, dedicada a la prestación de soluciones comerciales, operativas o de consultoría para clientes corporativos.</t>
  </si>
  <si>
    <t>PAC070427BJ9</t>
  </si>
  <si>
    <t>PLASCENCIA ACUMULADORES</t>
  </si>
  <si>
    <t>Empresa distribuidora y comercializadora de baterías y acumuladores para vehículos, maquinaria y equipos industriales, con sede en Jalisco y presencia en el occidente del país.</t>
  </si>
  <si>
    <t>ACO2007247V1</t>
  </si>
  <si>
    <t>ARMAZON CONSTRUCTORA</t>
  </si>
  <si>
    <t>Empresa constructora con sede en CDMX, especializada en proyectos residenciales, comerciales e industriales, incluyendo estructuras metálicas, obra civil y edificación en general.</t>
  </si>
  <si>
    <t>CMI130821M53</t>
  </si>
  <si>
    <t>COMERCIALIZADORA MIKONOS</t>
  </si>
  <si>
    <t>Incidencia con usuarios, llamada con mesa 9-junio 11am</t>
  </si>
  <si>
    <t>Empresa comercializadora y distribuidora de productos de consumo con sede en Ciudad de México, orientada a la venta y distribución en canales mayoristas y minoristas.</t>
  </si>
  <si>
    <t xml:space="preserve">Mantener </t>
  </si>
  <si>
    <t>AAG160805FE9</t>
  </si>
  <si>
    <t>ABASTECEDORA AGRICENTER</t>
  </si>
  <si>
    <t>Empresa distribuidora de insumos agrícolas, semillas, fertilizantes y agroquímicos para el sector agropecuario en México, con cobertura en diversas regiones del país.</t>
  </si>
  <si>
    <t xml:space="preserve">Alcanzar </t>
  </si>
  <si>
    <t>ECOPLATING MONTERREY</t>
  </si>
  <si>
    <t>ECOPLATING</t>
  </si>
  <si>
    <t>Empresa de Monterrey especializada en servicios de galvanoplastia y recubrimientos metálicos ecológicos para la industria manufacturera y automotriz del norte de México.</t>
  </si>
  <si>
    <t>OP (SIGUIENTE Q)</t>
  </si>
  <si>
    <t>CME220205UD7</t>
  </si>
  <si>
    <t>CARCAMOVIL MEXICO</t>
  </si>
  <si>
    <t>Empresa mexicana del sector automotriz dedicada a la distribución y comercialización de vehículos, accesorios o refacciones para el mercado nacional.</t>
  </si>
  <si>
    <t>WME800410SW5</t>
  </si>
  <si>
    <t>INMOBILIARIA INMOBICO</t>
  </si>
  <si>
    <t>Empresa inmobiliaria con sede en CDMX, dedicada al desarrollo, comercialización y gestión de propiedades residenciales y comerciales en el mercado mexicano.</t>
  </si>
  <si>
    <t>4. Inmobilaria</t>
  </si>
  <si>
    <t>CBS151221DQA</t>
  </si>
  <si>
    <t>CLEAVER BROOKS DE MEXICO</t>
  </si>
  <si>
    <t>Subsidiaria de Cleaver-Brooks, empresa estadounidense fabricante de calderas y sistemas de generación de vapor y calor para procesos industriales con presencia en México.</t>
  </si>
  <si>
    <t>JORGE LEAL SEGOVIA</t>
  </si>
  <si>
    <t>Persona física con actividad empresarial o profesional en México, posiblemente en el área de consultoría, servicios especializados o gestión comercial.</t>
  </si>
  <si>
    <t>FEHR BROS. INDUSTRIES (Apex Trailers)</t>
  </si>
  <si>
    <t>Subsidiaria de Fehr Bros. Industries, empresa distribuidora de herrajes, ganchos, accesorios industriales y hardware especializado para empresas manufactureras y de construcción en México.</t>
  </si>
  <si>
    <t>GAR060425710</t>
  </si>
  <si>
    <t>GRUPO ANDAMIOS REGIOMONTANOS</t>
  </si>
  <si>
    <t>Empresa regiomontana dedicada al alquiler y venta de andamios, cimbras y equipos de acceso temporal para la industria de la construcción en el norte de México.</t>
  </si>
  <si>
    <t>UBS100422SZ0</t>
  </si>
  <si>
    <t>UNITED BARCODE SYSTEMS DE MEXICO (UBS)</t>
  </si>
  <si>
    <t>Empresa distribuidora de sistemas de identificación automática, lectores de código de barras, etiquetas y soluciones RFID para la gestión de inventarios en empresas del sector comercial e industrial.</t>
  </si>
  <si>
    <t>EOLIS AMERICA LATINA</t>
  </si>
  <si>
    <t>Empresa de energías renovables con presencia en América Latina, especializada en el desarrollo, instalación y operación de proyectos de energía eólica para clientes corporativos e industriales.</t>
  </si>
  <si>
    <t>EXPORTACIONES DIEZ</t>
  </si>
  <si>
    <t>Empresa exportadora y comercializadora con sede en CDMX, dedicada a la distribución y exportación de productos mexicanos en el mercado internacional.</t>
  </si>
  <si>
    <t>MOC120702M65</t>
  </si>
  <si>
    <t>MAXILED DE OCCIDENTE</t>
  </si>
  <si>
    <t>Empresa de iluminación LED con presencia en la región occidente de México, dedicada a la venta y distribución de luminarias, soluciones de alumbrado y equipo eléctrico para empresas y hogares.</t>
  </si>
  <si>
    <t>DLM140311EH0</t>
  </si>
  <si>
    <t>DISTRIBUIDORA LED DE MEXICO</t>
  </si>
  <si>
    <t>Empresa distribuidora de tecnología de iluminación LED y soluciones eléctricas para proyectos residenciales, comerciales e industriales con sede en la Ciudad de México.</t>
  </si>
  <si>
    <t>SCO160411539</t>
  </si>
  <si>
    <t>SCR COMMUNICATIONS</t>
  </si>
  <si>
    <t>Empresa de comunicaciones y relaciones públicas con sede en CDMX, especializada en estrategias de comunicación corporativa, relaciones con medios y manejo de imagen para marcas y organizaciones.</t>
  </si>
  <si>
    <t>KWM961218CI1</t>
  </si>
  <si>
    <t>KYSOR/WARREN DE MEXICO</t>
  </si>
  <si>
    <t>Subsidiaria de la empresa estadounidense Kysor/Warren (grupo Welbilt), fabricante de sistemas de refrigeración y exhibidores frigoríficos para supermercados y tiendas de conveniencia en México.</t>
  </si>
  <si>
    <t>Empleados se rehusan a marcar, no usan mucho la plataforma</t>
  </si>
  <si>
    <t>HOTELES GRAN CLASE</t>
  </si>
  <si>
    <t>Cadena hotelera mexicana que opera hoteles de categoría media-alta en diversas ciudades del país, orientada a viajeros de negocios y turismo nacional con servicios de hospedaje y eventos.</t>
  </si>
  <si>
    <t>AFA0610128Q0</t>
  </si>
  <si>
    <t>ACCORD FARMA</t>
  </si>
  <si>
    <t>Empresa farmacéutica dedicada a la distribución y comercialización de medicamentos genéricos y de marca para el sector salud en México, con cobertura a farmacias, hospitales y clínicas.</t>
  </si>
  <si>
    <t xml:space="preserve">Expandir </t>
  </si>
  <si>
    <t>APROTEA</t>
  </si>
  <si>
    <t>Tada</t>
  </si>
  <si>
    <t>Empresa tecnológica con operaciones en México, posiblemente relacionada con soluciones de movilidad, transporte o plataformas digitales. Partner comercial de la marca TADA en el mercado mexicano.</t>
  </si>
  <si>
    <t>SER920327C94</t>
  </si>
  <si>
    <t>SERINTRA</t>
  </si>
  <si>
    <t>Op mapeada</t>
  </si>
  <si>
    <t>Empresa de servicios de ingeniería y construcción con sede en CDMX, especializada en proyectos de infraestructura, instalaciones especiales y obra civil para clientes del sector privado y público.</t>
  </si>
  <si>
    <t>AVN030811P6A</t>
  </si>
  <si>
    <t>AGROFORESTAL DEL VALLE DE NEJAPA</t>
  </si>
  <si>
    <t>Empresa agroindustrial con operaciones en el Valle de Nejapa, Sinaloa, dedicada a la producción, transformación y comercialización de productos agrícolas y forestales de la región.</t>
  </si>
  <si>
    <t>TED011106K29</t>
  </si>
  <si>
    <t>TITAN EDIFICACIONES</t>
  </si>
  <si>
    <t>Empresa constructora con sede en CDMX, especializada en edificación de obra civil, naves industriales, residencias y proyectos comerciales para el sector privado.</t>
  </si>
  <si>
    <t>ASOCIACION MEXICANA DE INSTITUCIONES BURSATILES</t>
  </si>
  <si>
    <t>Organismo gremial que agrupa a las principales casas de bolsa y operadoras del mercado bursátil mexicano, dedicado a la representación y regulación del sector financiero-bursátil.</t>
  </si>
  <si>
    <t>OPL170802H70</t>
  </si>
  <si>
    <t>OFERLLANTAS PROVEEDOR LLANTERO</t>
  </si>
  <si>
    <t>Empresa distribuidora y comercializadora de llantas y neumáticos para vehículos de pasajeros, camiones y maquinaria, con cobertura a nivel nacional desde la Ciudad de México.</t>
  </si>
  <si>
    <t>SMU1412158G7</t>
  </si>
  <si>
    <t>SOMOS DEL MUNDO</t>
  </si>
  <si>
    <t>Empresa mexicana de servicios con sede en CDMX, posiblemente orientada a soluciones de comunicación, integración cultural o consultoría para organizaciones con enfoque global.</t>
  </si>
  <si>
    <t>NAM020918KZ5</t>
  </si>
  <si>
    <t>INDUSTRIAS DE ENVASES TYPACK MEXICO</t>
  </si>
  <si>
    <t>Empresa fabricante de envases y empaques industriales con sede en el Estado de México, especializada en soluciones de packaging para alimentos, bebidas y productos de consumo.</t>
  </si>
  <si>
    <t>DUE9506226QA</t>
  </si>
  <si>
    <t>DOMUS URBANIZADORA Y EDIFICADORA</t>
  </si>
  <si>
    <t>DOMUS</t>
  </si>
  <si>
    <t>Empresa de desarrollo inmobiliario y edificación con sede en CDMX, especializada en proyectos residenciales, urbanizaciones y construcción de vivienda para el mercado local.</t>
  </si>
  <si>
    <t>BIC881017U42</t>
  </si>
  <si>
    <t>BICIMEX, S.A. DE C.V.</t>
  </si>
  <si>
    <t>Empresa mexicana distribuidora e importadora de bicicletas, accesorios y equipo deportivo, con presencia en el mercado nacional a través de tiendas propias y distribuidores.</t>
  </si>
  <si>
    <t>NO (Q1)</t>
  </si>
  <si>
    <t>CALKINS BURKE AND ZANNIE DE MEXICO</t>
  </si>
  <si>
    <t>Empresa de servicios profesionales o consultoría con sede en CDMX, posiblemente en áreas de ingeniería, asesoría técnica o servicios especializados para la industria.</t>
  </si>
  <si>
    <t>IDAPODRQT3</t>
  </si>
  <si>
    <t>INSTITUTO PARA EL DESARROLLO Y ACTUALIZACION DE PROFESIONALES (IDAP)</t>
  </si>
  <si>
    <t>Instituto de educación continua y capacitación profesional que ofrece cursos, diplomados y certificaciones para profesionistas en México en diversas áreas de gestión y negocios.</t>
  </si>
  <si>
    <t>OP (Q2,Q3)</t>
  </si>
  <si>
    <t>ARAN CONSTRUCCIÓN E INGENIERIA S.A DE C.V (Alves Ribeiro)</t>
  </si>
  <si>
    <t>Empresa de construcción e ingeniería, posiblemente vinculada al grupo portugués Alves Ribeiro, dedicada a proyectos de infraestructura, obra civil y construcción en México.</t>
  </si>
  <si>
    <t>OP (Q2)</t>
  </si>
  <si>
    <t>PCA0301167A8</t>
  </si>
  <si>
    <t>PERI CIMBRAS Y ANDAMIOS</t>
  </si>
  <si>
    <t>Subsidiaria de PERI GmbH, empresa alemana líder mundial en sistemas de cimbras y andamios. En México ofrece renta, venta y asesoría de encofrados metálicos para proyectos de construcción.</t>
  </si>
  <si>
    <t>OK (Q1)</t>
  </si>
  <si>
    <t>ARM201029DR3</t>
  </si>
  <si>
    <t>ACCESORIOS Y REFACCIONES PARA MOVILIDAD (Mundimotos)</t>
  </si>
  <si>
    <t>Empresa distribuidora de refacciones, accesorios y equipamiento para motocicletas y movilidad, con presencia en México bajo la marca Mundimotos.</t>
  </si>
  <si>
    <t>OP (NO PARA ESTE Q)</t>
  </si>
  <si>
    <t>SI (7 relojes)</t>
  </si>
  <si>
    <t>DOMUS URBANIZACIONES</t>
  </si>
  <si>
    <t>Empresa desarrolladora inmobiliaria y de urbanización dedicada a proyectos residenciales y de vivienda, con operaciones en la Ciudad de México y zonas metropolitanas.</t>
  </si>
  <si>
    <t>RBE190715235</t>
  </si>
  <si>
    <t>RICARNES BEEF</t>
  </si>
  <si>
    <t>Empresa del sector cárnico dedicada a la producción, procesamiento y distribución de carnes de res y cortes premium para restaurantes, hoteles y el mercado de consumo final en México.</t>
  </si>
  <si>
    <t>MADAME DUBARRY (Medical Center)</t>
  </si>
  <si>
    <t>Empresa dedicada a la comercialización de cosméticos, perfumería y productos de belleza, con distribución en México bajo la marca Madame Dubarry.</t>
  </si>
  <si>
    <t>GEM070226K52</t>
  </si>
  <si>
    <t>SIEMENS GESA RENEWABLE ENERGY</t>
  </si>
  <si>
    <t>Empresa especializada en energías renovables, resultado de la alianza entre Siemens Gamesa Renewable Energy y GESA, dedicada al diseño, instalación y operación de parques eólicos y solares en México.</t>
  </si>
  <si>
    <t>OP (Q2, 40)</t>
  </si>
  <si>
    <t>GPM050509983</t>
  </si>
  <si>
    <t>GW PLASTICS MEXICANA</t>
  </si>
  <si>
    <t>Subsidiaria de la empresa estadounidense GW Plastics (ahora Nolato GW), especializada en moldeo por inyección de precisión y fabricación de autopartes de plástico para la industria automotriz y médica en Querétaro.</t>
  </si>
  <si>
    <t>GRUPO NACIONAL COLCHONERO</t>
  </si>
  <si>
    <t>Preguntar si volvió de vacaciones Greta</t>
  </si>
  <si>
    <t>Empresa manufacturera dedicada a la producción y comercialización de colchones, bases y productos para el descanso a nivel nacional.</t>
  </si>
  <si>
    <t>RAU1807259J5</t>
  </si>
  <si>
    <t>RACKSA AUTOMOTRIZ</t>
  </si>
  <si>
    <t>Empresa automotriz con sede en CDMX dedicada a la distribución, almacenamiento y logística de autopartes y componentes para el mercado automotriz en México.</t>
  </si>
  <si>
    <t>MELONN SUBSIDIARIA MEXICO</t>
  </si>
  <si>
    <t>Subsidiaria mexicana de empresa tecnológica dedicada a soluciones digitales y servicios en línea, con enfoque en comercio electrónico y plataformas B2B/B2C.</t>
  </si>
  <si>
    <t>*No utilizan ni responden mucho</t>
  </si>
  <si>
    <t>PRO800417TDA</t>
  </si>
  <si>
    <t>PROQUIPA</t>
  </si>
  <si>
    <t>Empresa mexicana proveedora de productos químicos e insumos para la industria, con distribución de materias primas y especialidades químicas para manufactura y procesos industriales.</t>
  </si>
  <si>
    <t>MPR1707281W0</t>
  </si>
  <si>
    <t>MADERKIT DE MEXICO</t>
  </si>
  <si>
    <t>Empresa dedicada a la fabricación y comercialización de muebles en kit y productos de madera para el hogar y la oficina en el mercado mexicano.</t>
  </si>
  <si>
    <t>IBAHUS MUNDO (Corazón de Alcachofa)</t>
  </si>
  <si>
    <t>Empresa mexicana distribuidora de suplementos nutricionales y productos naturales bajo la marca Corazón de Alcachofa, orientada al bienestar y salud natural del consumidor.</t>
  </si>
  <si>
    <t>OP (Q3)</t>
  </si>
  <si>
    <t>AME200109CP2</t>
  </si>
  <si>
    <t>ASCENTY MEXICO</t>
  </si>
  <si>
    <t>Proveedor líder de centros de datos (data centers) en Latinoamérica con sede operativa en EDOMEX, ofrece servicios de colocation, cloud y conectividad.</t>
  </si>
  <si>
    <t>CMA070307RU6</t>
  </si>
  <si>
    <t>METRO ASFALTOS</t>
  </si>
  <si>
    <t>Empresa constructora especializada en la producción y aplicación de mezclas asfálticas para pavimentación de carreteras, calles y estacionamientos en México.</t>
  </si>
  <si>
    <t>INDUSTRIA ECOLOGICA TA</t>
  </si>
  <si>
    <t>Empresa mexicana enfocada en la fabricación y comercialización de productos con enfoque ecológico y sustentable, orientada a soluciones industriales y de consumo responsable.</t>
  </si>
  <si>
    <t>ECO030618BR4</t>
  </si>
  <si>
    <t>Empresa mexicana especializada en servicios de galvanoplastia y recubrimientos metálicos ecológicos para la industria manufacturera, electrónica y automotriz.</t>
  </si>
  <si>
    <t>COSMIC PRODUCT COMPANY</t>
  </si>
  <si>
    <t>Buscar admin en Geo y llamar/enviar correo</t>
  </si>
  <si>
    <t>Empresa fabricante y distribuidora de productos de consumo, con operaciones en México enfocada en el desarrollo y comercialización de artículos para el mercado masivo.</t>
  </si>
  <si>
    <t>WIN PRO CAR (Refaccionaria Mendoza)</t>
  </si>
  <si>
    <t>Conseguir reu, no hay mucha op de venta pero ver módulos que fidelicen</t>
  </si>
  <si>
    <t>Refaccionaria especializada en la venta y distribución de autopartes y refacciones para vehículos, con atención a talleres mecánicos y público en general.</t>
  </si>
  <si>
    <t>CJA940502D68</t>
  </si>
  <si>
    <t>CONSTRUCTORA JAN</t>
  </si>
  <si>
    <t>Enviar correo con copia Fer</t>
  </si>
  <si>
    <t>Empresa constructora regional especializada en obra civil, edificación residencial y comercial, con operaciones en el área metropolitana de Monterrey.</t>
  </si>
  <si>
    <t>IES020111TDA</t>
  </si>
  <si>
    <t>SOCIEDAD INDUSTRIAL EQUIPOS Y SERVICIOS (SIES)</t>
  </si>
  <si>
    <t>Empresa industrial dedicada al suministro de equipos y servicios especializados para el sector manufacturero, con soluciones de mantenimiento, instalación y operación de maquinaria industrial.</t>
  </si>
  <si>
    <t>OK (Q2 - $0)</t>
  </si>
  <si>
    <t>OP (Q2-302)</t>
  </si>
  <si>
    <t>NO (compró)</t>
  </si>
  <si>
    <t>SRE0602021Q6</t>
  </si>
  <si>
    <t>SIERRA NORTE TRUCK CENTER</t>
  </si>
  <si>
    <t>Reu semana 5 de julio</t>
  </si>
  <si>
    <t>Centro de servicio y distribución de camiones y vehículos de carga pesada en el norte de México, con especialización en mantenimiento, refacciones y ventas de unidades.</t>
  </si>
  <si>
    <t>PDA0610137A6</t>
  </si>
  <si>
    <t>PALLET DESING &amp; SUPORT DE MEXICO</t>
  </si>
  <si>
    <t>Empresa especializada en diseño, fabricación y distribución de tarimas de madera (pallets) y soluciones de embalaje para la cadena de suministro en México.</t>
  </si>
  <si>
    <t>TWT000511KF6</t>
  </si>
  <si>
    <t>TRANSPORTES WONG DE LA TORRE</t>
  </si>
  <si>
    <t>Ops mapeadas</t>
  </si>
  <si>
    <t>Empresa de transporte de carga terrestre con operaciones en México, especializada en logística y distribución de mercancías para el sector comercial e industrial.</t>
  </si>
  <si>
    <t>C. &amp; G. OFTALMOLOGOS (San Angel Oftalmologica)</t>
  </si>
  <si>
    <t>Ver op de alertas, ofrecer 2 meses gratis y se factura al 3°</t>
  </si>
  <si>
    <t>Centro oftalmológico especializado en diagnóstico y tratamiento de enfermedades oculares, con sedes en la Ciudad de México.</t>
  </si>
  <si>
    <t>TBO181023J20</t>
  </si>
  <si>
    <t>TEAM BACK 11</t>
  </si>
  <si>
    <t>Op mapeada, seguimiento porque no hay respuesta</t>
  </si>
  <si>
    <t>Empresa de outsourcing especializada en transporte de material peligroso y servicios de recursos humanos: reclutamiento, selección, capacitación y administración de personal. Sede en Tultitlán, Edo. Mex.</t>
  </si>
  <si>
    <t>FINOS TEXTILES DE MEXICO</t>
  </si>
  <si>
    <t>Empresa del sector textil dedicada a la producción y comercialización de telas, tejidos y materiales textiles de calidad para la industria de la moda y confección en México.</t>
  </si>
  <si>
    <t>OP (Q2 - 137)</t>
  </si>
  <si>
    <t>HUGA6603043Y5</t>
  </si>
  <si>
    <t>ANTONIO HUERTA GARZA (Comex)</t>
  </si>
  <si>
    <t>Conseguir reu</t>
  </si>
  <si>
    <t>Durango</t>
  </si>
  <si>
    <t>Persona física o empresa familiar relacionada con la distribución y comercialización de materiales y productos en la región de Durango, posiblemente vinculada al sector de materiales para construcción.</t>
  </si>
  <si>
    <t>CINCO CONTEMPORANEA</t>
  </si>
  <si>
    <t>Grupo restaurantero mexicano con concepto de cocina contemporánea, opera varios restaurantes y bares de alta cocina en la Ciudad de México.</t>
  </si>
  <si>
    <t>Buscar integración con buk</t>
  </si>
  <si>
    <t>ENIGMA ROOMS</t>
  </si>
  <si>
    <t>TECNOLOGIA EN BENEFICIOS MEXICO (PACOAP)</t>
  </si>
  <si>
    <t>Empresa operadora de cuartos de escape (escape rooms) y entretenimiento inmersivo con sede en CDMX, ofreciendo experiencias de juego en grupo para clientes individuales y corporativos.</t>
  </si>
  <si>
    <t>VIA URBANA</t>
  </si>
  <si>
    <t>Empresa de servicios urbanos o movilidad con sede en CDMX, posiblemente orientada a soluciones de transporte, logística o servicios para el entorno urbano.</t>
  </si>
  <si>
    <t>OP (Q2, 34)</t>
  </si>
  <si>
    <t>SSO180716CI3</t>
  </si>
  <si>
    <t>SENSAI SOFTWARE</t>
  </si>
  <si>
    <t>Empresa tecnológica con sede en México, que actúa como partner de la plataforma TADA y distribuye el software Sensai para gestión de lealtad, CRM y marketing digital para retailers.</t>
  </si>
  <si>
    <t>YOREP (RECURSOS HUMANOS)</t>
  </si>
  <si>
    <t>Empresa de recursos humanos con sede en CDMX, que provee servicios de reclutamiento, selección, outsourcing de personal y administración de capital humano para organizaciones en México.</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</si>
  <si>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</si>
  <si>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</si>
  <si>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</si>
  <si>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</si>
  <si>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</si>
  <si>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</si>
  <si>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</si>
  <si>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JUNGLA DE TIMO</t>
  </si>
  <si>
    <t>CONGELADORA COMFRUT</t>
  </si>
  <si>
    <t>Luis Montilla</t>
  </si>
  <si>
    <t>Empresa dedicada a la producción, procesamiento y distribución de frutas y vegetales congelados para el mercado de consumo masivo y food service en México.</t>
  </si>
  <si>
    <t>MAREL SISTEMAS DE PROCESO DE ALIMENTOS DE MEXICO</t>
  </si>
  <si>
    <t>No Asignado</t>
  </si>
  <si>
    <t>Subsidiaria de Marel, empresa islandesa fabricante de sistemas de procesamiento de alimentos, que provee equipos y soluciones para la industria cárnica, pesquera y avícola en México.</t>
  </si>
  <si>
    <t>TRABAJADORES CAPACITADOS EN SUBCONTRATACION</t>
  </si>
  <si>
    <t>Empresa de subcontratación de personal con sede en CDMX, que provee trabajadores calificados y capacitados para cubrir necesidades de mano de obra en el sector industrial y de servicios.</t>
  </si>
  <si>
    <t>ARTE Y SOLUCIONES EN ESPACIOS</t>
  </si>
  <si>
    <t>Empresa de diseño de interiores y soluciones de espacios con sede en CDMX, especializada en ambientación, mobiliario y soluciones estéticas para oficinas, locales y hogares.</t>
  </si>
  <si>
    <t>CONSTRUCCIONES DE CALIDAD E INGENIERIA DE MEXICO</t>
  </si>
  <si>
    <t>Empresa constructora con sede en CDMX, dedicada a la edificación de calidad en proyectos residenciales, comerciales e industriales con énfasis en ingeniería y acabados de alto nivel.</t>
  </si>
  <si>
    <t>PAYROLL WORLDWIDE MEXICO-LONDON</t>
  </si>
  <si>
    <t>Empresa de outsourcing de nómina con presencia en México y Reino Unido, especializada en administración de nómina global, cumplimiento laboral y servicios de empleador de registro (EOR).</t>
  </si>
  <si>
    <t>TSMIQUIRRAY</t>
  </si>
  <si>
    <t>Empresa con sede en México, posiblemente relacionada con actividades culturales, artesanales o de servicios comunitarios.</t>
  </si>
  <si>
    <t>GERARDO PEREZ OLIVO</t>
  </si>
  <si>
    <t>EXPERTOS EN ADMINISTRACION DE CAPITAL HUMANO</t>
  </si>
  <si>
    <t>Empresa de recursos humanos y outsourcing con sede en CDMX, que ofrece servicios de administración de personal, nómina, reclutamiento y gestión de capital humano para empresas.</t>
  </si>
  <si>
    <t>MAQUILANDO ARTE Y AMOR MX</t>
  </si>
  <si>
    <t>Empresa de maquilado creativo y artesanal con sede en CDMX, posiblemente dedicada a la producción de artículos de decoración, regalos personalizados o artesanías con procesos de maquila.</t>
  </si>
  <si>
    <t>ELIAS BARBOSA IBARRA</t>
  </si>
  <si>
    <t>GEBHARD KONRAD SPROLL ROJAS</t>
  </si>
  <si>
    <t>Persona física con actividad empresarial en México, posiblemente en el área de servicios profesionales, consultoría o importación.</t>
  </si>
  <si>
    <t>ELEVADORES DE LA REPUBLICA</t>
  </si>
  <si>
    <t>Empresa distribuidora e instaladora de elevadores y sistemas de transporte vertical con sede en CDMX, que provee ascensores, escaleras mecánicas y soluciones de accesibilidad.</t>
  </si>
  <si>
    <t>R&amp;F INFRAESTRUCTURA</t>
  </si>
  <si>
    <t>Empresa de infraestructura con sede en CDMX, especializada en proyectos de obra civil, vialidades y construcción de infraestructura para el sector público y privado.</t>
  </si>
  <si>
    <t>GRUPO HETAAR</t>
  </si>
  <si>
    <t>Grupo empresarial con sede en CDMX, orientado a la prestación de servicios comerciales, logísticos o de consultoría para el sector empresarial en México.</t>
  </si>
  <si>
    <t>MEGAVACATIONS</t>
  </si>
  <si>
    <t>Empresa de turismo con sede en CDMX, dedicada a la comercialización de paquetes vacacionales, membresías de viaje y servicios turísticos para el mercado mexicano.</t>
  </si>
  <si>
    <t>PLAYTRAK SISTEMAS DE MONITOREO</t>
  </si>
  <si>
    <t>Empresa de tecnología con sede en CDMX, especializada en sistemas de monitoreo, rastreo GPS y control de flotas para empresas de transporte y logística.</t>
  </si>
  <si>
    <t>PUERTAS Y ACCESOS AUTOMATICOS DEL VALLE DE MEXICO</t>
  </si>
  <si>
    <t>Empresa fabricante e instaladora de puertas y accesos automáticos con sede en el Valle de México, especializada en puertas seccionales, enrollables y sistemas de control de acceso.</t>
  </si>
  <si>
    <t>MOTORES Y SISTEMAS DIESEL DE LEON</t>
  </si>
  <si>
    <t>Empresa de servicios y distribución de motores diesel con sede en León, Guanajuato, especializada en mantenimiento, reparación y venta de motores y sistemas diesel para vehículos e industrial.</t>
  </si>
  <si>
    <t>GERMAN ENRIQUE ESTRADA LARIOS</t>
  </si>
  <si>
    <t>No asignado</t>
  </si>
  <si>
    <t>OPERADORA DE FRANQUICIAS CIROS</t>
  </si>
  <si>
    <t>Empresa operadora de franquicias con sede en CDMX, que desarrolla y gestiona redes de franquicias en el sector de alimentos, bebidas o servicios en México.</t>
  </si>
  <si>
    <t>NEWCHEM &amp; COMMERCE</t>
  </si>
  <si>
    <t>Empresa de comercialización de productos químicos con sede en CDMX, dedicada a la importación y distribución de especialidades químicas para la industria.</t>
  </si>
  <si>
    <t>JMN SOLUCIONES INTEGRALES</t>
  </si>
  <si>
    <t>Empresa de servicios integrales con sede en CDMX, que brinda soluciones de mantenimiento, instalaciones, limpieza u otros servicios para instalaciones empresariales y comerciales.</t>
  </si>
  <si>
    <t>PROYECTOS DIMA</t>
  </si>
  <si>
    <t>Empresa de proyectos de construcción con sede en CDMX, dedicada al desarrollo y gestión de proyectos de obra civil, arquitectura e ingeniería.</t>
  </si>
  <si>
    <t>JUAN TEJEDA SANTILLAN</t>
  </si>
  <si>
    <t>CONSTRUCTORA E IMPULSORA CONDOR</t>
  </si>
  <si>
    <t>Empresa constructora con sede en CDMX, dedicada a la edificación, impulsora de proyectos de vivienda, comercio e infraestructura en la Ciudad de México y zona metropolitana.</t>
  </si>
  <si>
    <t>COMERCIALIZADORA DE PINTURAS ARTEAGA</t>
  </si>
  <si>
    <t>Empresa distribuidora de pinturas y recubrimientos con sede en CDMX, dedicada a la venta de pinturas decorativas e industriales para el mercado de consumo y construcción.</t>
  </si>
  <si>
    <t>COMERCIALIZADORA EL BOMBON</t>
  </si>
  <si>
    <t>JAIR GEOVANNI RAVIELA RAMIREZ</t>
  </si>
  <si>
    <t>JOSE SANTIAGO GONZALEZ HERNANDEZ</t>
  </si>
  <si>
    <t>CERRO AZUL RESTAURANTES ET CETERA</t>
  </si>
  <si>
    <t>IBERDESPENSA</t>
  </si>
  <si>
    <t>Empresa de servicios de despensa y beneficios laborales con sede en CDMX, que ofrece vales de despensa, plataformas de beneficios y soluciones de bienestar para empleados de empresas.</t>
  </si>
  <si>
    <t>JUIA ANCHUKUARINHIRI ZUM ZUM</t>
  </si>
  <si>
    <t>Empresa o negocio con denominación inusual registrado en México, posiblemente dedicado a actividades de entretenimiento, servicios culturales o comerciales.</t>
  </si>
  <si>
    <t>JOYCE WENDOLYN MORALES MARTINEZ</t>
  </si>
  <si>
    <t>THE IGENCY</t>
  </si>
  <si>
    <t>Agencia de servicios creativos, marketing o comunicación con sede en CDMX, especializada en estrategias digitales, branding y campañas para marcas en el mercado mexicano.</t>
  </si>
  <si>
    <t>BIOINSUMOS AGRICOLAS DE JALISCO</t>
  </si>
  <si>
    <t>Empresa de insumos biológicos para la agricultura con sede en Jalisco, que produce y distribuye biofertilizantes, bioestimulantes y agentes de control biológico para cultivos.</t>
  </si>
  <si>
    <t>CREASUNN</t>
  </si>
  <si>
    <t>Empresa de energía solar con sede en México, especializada en el diseño, instalación y mantenimiento de sistemas fotovoltaicos para hogares, comercios e industrias.</t>
  </si>
  <si>
    <t>JUST MI ESTUDIO CREATIVO</t>
  </si>
  <si>
    <t>Estudio creativo con sede en CDMX, especializado en diseño gráfico, branding, producción audiovisual y soluciones creativas para marcas y empresas en México.</t>
  </si>
  <si>
    <t>RESINAS Y FIBRAS DE BAJA CALIFORNIA</t>
  </si>
  <si>
    <t>Empresa fabricante y distribuidora de resinas plásticas y fibras de vidrio para la industria manufacturera con sede en Baja California, orientada a clientes del sector industrial y automotriz.</t>
  </si>
  <si>
    <t>PLUS IND</t>
  </si>
  <si>
    <t>Empresa industrial con sede en México, posiblemente orientada a la distribución de insumos, materiales o servicios para el sector manufacturero.</t>
  </si>
  <si>
    <t>AG. TRAUMA Y ORTOPEDIA</t>
  </si>
  <si>
    <t>Agencia o empresa de servicios médicos especializada en traumatología y ortopedia, con sede en CDMX, que distribuye dispositivos ortopédicos o brinda atención especializada en lesiones musculoesqueléticas.</t>
  </si>
  <si>
    <t>GUILLERMO AUGUSTO FACUNDO SIMONINI</t>
  </si>
  <si>
    <t>Persona física con actividad empresarial en México, posiblemente en el área de servicios profesionales o comercialización.</t>
  </si>
  <si>
    <t>DE NORTE A SUR Y POR TODO EL MUNDO</t>
  </si>
  <si>
    <t>Empresa del sector turístico o gastronómico con sede en CDMX, posiblemente operadora de agencias de viaje, tour operador o servicios de hospitalidad.</t>
  </si>
  <si>
    <t>FAUSTO PEREZ SANCHEZ</t>
  </si>
  <si>
    <t>EMLI PRODUCTOS Y SERVICIOS ELECTRICOS</t>
  </si>
  <si>
    <t>Empresa distribuidora de productos y servicios eléctricos con sede en CDMX, orientada a la comercialización de materiales eléctricos, tableros y equipos para instalaciones residenciales e industriales.</t>
  </si>
  <si>
    <t>SERVICIOS EMPRESARIALES DE ALTURA</t>
  </si>
  <si>
    <t>Empresa de servicios empresariales con sede en CDMX, posiblemente especializada en trabajo en altura, mantenimiento de fachadas o servicios industriales especializados.</t>
  </si>
  <si>
    <t>ENELCOM MEXICO</t>
  </si>
  <si>
    <t>Empresa del sector eléctrico con sede en CDMX, dedicada a soluciones de energía, instalaciones eléctricas y suministro de equipos para el sector industrial y comercial.</t>
  </si>
  <si>
    <t>MEXICO INVITA MEDICAL</t>
  </si>
  <si>
    <t>Empresa de turismo médico con sede en CDMX, dedicada a atraer pacientes internacionales a México para procedimientos médicos especializados, cirugía estética y tratamientos a precios competitivos.</t>
  </si>
  <si>
    <t>MAXIMA COBERTURA COSTERA DE SERVICIOS INMOBILIARIOS</t>
  </si>
  <si>
    <t>Empresa inmobiliaria con presencia en zonas costeras de Baja California Sur, especializada en la comercialización, renta y administración de propiedades residenciales y turísticas.</t>
  </si>
  <si>
    <t>ALFREDO CADENA PADRON</t>
  </si>
  <si>
    <t>Persona física con actividad empresarial en México, posiblemente en el área de servicios profesionales o gestión comercial.</t>
  </si>
  <si>
    <t>GRUPO GRAFICO ALBANS</t>
  </si>
  <si>
    <t>Empresa gráfica e impresora con sede en CDMX, dedicada a la producción de materiales impresos, publicidad gráfica y soluciones de impresión para empresas e instituciones.</t>
  </si>
  <si>
    <t>SMARK CHEMICALS INTERNATIONAL</t>
  </si>
  <si>
    <t>Empresa distribuidora e importadora de productos químicos especializados para la industria, con operaciones internacionales y presencia en el mercado mexicano.</t>
  </si>
  <si>
    <t>SERVIAP LOGISTICS</t>
  </si>
  <si>
    <t>Empresa de logística y outsourcing de personal con sede en CDMX, especializada en soluciones de cadena de suministro, transporte y administración de personal para empresas multinacionales en México.</t>
  </si>
  <si>
    <t>PANIFICADORA ARTESANAL TLAKATI</t>
  </si>
  <si>
    <t>Panadería artesanal con sede en México, dedicada a la elaboración y comercialización de pan artesanal con ingredientes naturales y técnicas tradicionales de panificación.</t>
  </si>
  <si>
    <t>HIGH TECH SERVICES</t>
  </si>
  <si>
    <t>Empresa de servicios tecnológicos aplicados a la construcción con sede en CDMX, especializada en instalaciones especiales, sistemas de automatización o soluciones técnicas para edificios.</t>
  </si>
  <si>
    <t>BLANCA LIDIA JAIMES RAMIREZ</t>
  </si>
  <si>
    <t>DULCERIA PUEBLA</t>
  </si>
  <si>
    <t>Puebla</t>
  </si>
  <si>
    <t>Empresa comercializadora de dulces y confitería tradicional poblana, con tiendas o distribución al por menor de productos dulceros típicos de la región.</t>
  </si>
  <si>
    <t>CORPORATIVO DELVEL K</t>
  </si>
  <si>
    <t>Corporativo automotriz con sede en Querétaro, que agrupa empresas dedicadas a la venta de vehículos nuevos y usados, representando marcas como Toyota y Kia en el estado.</t>
  </si>
  <si>
    <t>FABRICA DE DULCES Y CHOCOLATES LA POBLANA</t>
  </si>
  <si>
    <t>Empresa poblana con tradición en la fabricación y comercialización de dulces típicos, chocolates y confitería artesanal para el mercado local y de exportación.</t>
  </si>
  <si>
    <t>DRP SERVICIOS AUTOMOTRICES</t>
  </si>
  <si>
    <t>Empresa de servicios automotrices con sede en CDMX, especializada en mantenimiento, reparación y gestión de flotas vehiculares para empresas e individuos.</t>
  </si>
  <si>
    <t>VS AUTOMATIZACION</t>
  </si>
  <si>
    <t>Empresa de automatización industrial con sede en CDMX, especializada en el diseño e implementación de sistemas de control, robótica y automatización para procesos industriales.</t>
  </si>
  <si>
    <t>GRUPO DE ESTUDIOS MEDICOS Y FAMILIARES CARRACI</t>
  </si>
  <si>
    <t>Grupo médico con sede en CDMX, especializado en atención médica familiar e integral, incluyendo consulta general, estudios de laboratorio y servicios preventivos de salud.</t>
  </si>
  <si>
    <t>ASESORES GRUPO NUÑO, AGENTE DE SEGUROS Y DE FIANZAS</t>
  </si>
  <si>
    <t>Agente de seguros y fianzas con sede en CDMX, que ofrece asesoría en contratación de seguros de vida, autos, empresariales y fianzas para personas y empresas en México.</t>
  </si>
  <si>
    <t>MYGO ENERGY</t>
  </si>
  <si>
    <t>Empresa de energías renovables con sede en CDMX, especializada en soluciones de energía solar, eficiencia energética y consultoría para la transición energética de empresas y hogares.</t>
  </si>
  <si>
    <t>Q-LOGISTICS</t>
  </si>
  <si>
    <t>Empresa de logística y transporte con sede en CDMX, que ofrece soluciones de almacenamiento, distribución y cadena de suministro para clientes del sector comercial e industrial.</t>
  </si>
  <si>
    <t>AGROINDUSTRIAS DEL BALSAS</t>
  </si>
  <si>
    <t>Empresa agroindustrial del Valle del Balsas en Guerrero, dedicada al procesamiento y comercialización de productos agrícolas tropicales, incluyendo ajonjolí, sorgo y otros cultivos de la región.</t>
  </si>
  <si>
    <t>VALTIERRA CERAMICA</t>
  </si>
  <si>
    <t>Empresa cerámica con sede en Jalisco, dedicada a la fabricación y comercialización de cerámica artesanal, azulejos, vajillas y artículos decorativos en México.</t>
  </si>
  <si>
    <t>GALI CENTRO DE FISIOTERAPIA INTEGRAL</t>
  </si>
  <si>
    <t>Centro de fisioterapia y rehabilitación física con sede en CDMX, que ofrece tratamientos de fisioterapia, terapia física, masajes terapéuticos y programas de recuperación.</t>
  </si>
  <si>
    <t>AROMAESENCIA</t>
  </si>
  <si>
    <t>Empresa distribuidora de aromas, esencias y productos de bienestar con sede en CDMX, orientada a la venta de aceites esenciales, fragancias y artículos de aromaterapia.</t>
  </si>
  <si>
    <t>LETZEL</t>
  </si>
  <si>
    <t>ROALSA CARRIERS</t>
  </si>
  <si>
    <t>SMILE DENTAL HALI</t>
  </si>
  <si>
    <t>Empresa de servicios dentales con sede en CDMX, que ofrece atención odontológica integral incluyendo ortodoncia, implantes, blanqueamiento y odontología estética.</t>
  </si>
  <si>
    <t>SPARRMX SERVICIOS DE MEXICO</t>
  </si>
  <si>
    <t>Empresa de outsourcing y servicios con sede en CDMX, que provee personal y soluciones operativas para clientes del sector empresarial en México.</t>
  </si>
  <si>
    <t>ARACELI MAGDALENA GONZALEZ SANCHEZ</t>
  </si>
  <si>
    <t>FERRETERIA Y HERRAMIENTAS PIZANO</t>
  </si>
  <si>
    <t>Empresa familiar de ferretería con sede en CDMX, dedicada a la venta de herramientas, materiales de construcción y artículos de ferretería al público en general.</t>
  </si>
  <si>
    <t>LETICIA ALMAZAN ARELLANO</t>
  </si>
  <si>
    <t>Persona física con actividad empresarial en México, posiblemente en el área de servicios profesionales, consultoría o gestión comercial.</t>
  </si>
  <si>
    <t>SUMMIT AGRO MEXICO</t>
  </si>
  <si>
    <t>Subsidiaria de Summit Agro, empresa japonesa especializada en la distribución de agroquímicos, plaguicidas y soluciones de protección de cultivos para el sector agrícola en México.</t>
  </si>
  <si>
    <t>WAREHOUSE RENTALS MI LOS CABOS</t>
  </si>
  <si>
    <t>Empresa de renta y almacenamiento en Los Cabos, BCS, dedicada al alquiler de bodegas y espacios de almacén para empresas e individuos en la zona turística de Los Cabos.</t>
  </si>
  <si>
    <t>GEIGER AUTOMOTIVE DE MEXICO</t>
  </si>
  <si>
    <t>Empresa del sector automotriz con operaciones en el Estado de México, dedicada a la fabricación o distribución de componentes y partes para la industria automotriz.</t>
  </si>
  <si>
    <t>GRUPO OFTALMOLOGICO LASER DE MEXICO</t>
  </si>
  <si>
    <t>Grupo de clínicas oftalmológicas con presencia en México, especializado en cirugía LASIK, tratamiento de cataratas, glaucoma y enfermedades de la vista.</t>
  </si>
  <si>
    <t>NEWTIMES</t>
  </si>
  <si>
    <t>Empresa de servicios con sede en CDMX, posiblemente orientada al área de marketing, consultoría o comunicación estratégica para empresas en el mercado mexicano.</t>
  </si>
  <si>
    <t>PACADA</t>
  </si>
  <si>
    <t>Empresa de servicios con sede en México, posiblemente orientada a soluciones operativas o comerciales para el sector empresarial local.</t>
  </si>
  <si>
    <t>REFRIGERACION COMERCIAL TEHUACAN</t>
  </si>
  <si>
    <t>Empresa de refrigeración comercial con sede en Tehuacán, Puebla, especializada en la venta, instalación y mantenimiento de equipos de refrigeración y climatización para negocios.</t>
  </si>
  <si>
    <t>TODO PARA EL CARPINTERO Y HERRAJES MARTINEZ</t>
  </si>
  <si>
    <t>Empresa especializada en la venta de herramientas, materiales y herrajes para carpintería y acabados de construcción, con sede en la Ciudad de México.</t>
  </si>
  <si>
    <t>PROYECTO COMUN DOBEL</t>
  </si>
  <si>
    <t>Empresa del sector de bebidas alcohólicas premium, posiblemente relacionada con la marca Tequila Dobel, orientada a la distribución y comercialización de spirits en México.</t>
  </si>
  <si>
    <t>OMNILASER MEDICAL</t>
  </si>
  <si>
    <t>REYCO RENOVABLES</t>
  </si>
  <si>
    <t>Empresa de energías renovables con sede en CDMX, especializada en el diseño, instalación y mantenimiento de sistemas de energía solar fotovoltaica y otras fuentes renovables.</t>
  </si>
  <si>
    <t>FULLMEX INDUSTRIAL</t>
  </si>
  <si>
    <t>Empresa industrial de construcción con sede en CDMX, especializada en proyectos de obra civil, instalaciones industriales y construcción de naves y bodegas.</t>
  </si>
  <si>
    <t>NEODATA VALLE DE MEXICO</t>
  </si>
  <si>
    <t>Empresa tecnológica de la región del Valle de México, especializada en gestión de datos, soluciones digitales y servicios de TI para el sector empresarial y gubernamental.</t>
  </si>
  <si>
    <t>DRILLMEC MEXICO</t>
  </si>
  <si>
    <t>INTELIGENCIA MEDIDAS DE PROTECCION ESPECIALIZADA</t>
  </si>
  <si>
    <t>Empresa de seguridad especializada con sede en CDMX, que ofrece servicios de protección personal, análisis de inteligencia y medidas de seguridad para clientes de alto perfil.</t>
  </si>
  <si>
    <t>ERGOMEDICAL DE MEXICO</t>
  </si>
  <si>
    <t>Empresa de salud ocupacional y ergonomía con sede en CDMX, especializada en evaluaciones ergonómicas, equipos médicos y consultoría para la prevención de lesiones laborales en empresas.</t>
  </si>
  <si>
    <t>IPI-ASAC MEXICO</t>
  </si>
  <si>
    <t>Empresa de servicios con sede en CDMX, posiblemente relacionada con la industria de seguros, asesoría o consultoría para el sector empresarial en México.</t>
  </si>
  <si>
    <t>MIELE</t>
  </si>
  <si>
    <t>Subsidiaria de Miele, empresa alemana fabricante de electrodomésticos y equipos de alta gama para el hogar. Comercializa lavadoras, refrigeradores, hornos y equipos de cocina en México.</t>
  </si>
  <si>
    <t>COMERCIALIZADORA INTERNACIONAL DE COMPRESORES</t>
  </si>
  <si>
    <t>Empresa distribuidora e importadora de compresores industriales y equipo de aire comprimido para la industria manufacturera, automotriz y de servicios en México.</t>
  </si>
  <si>
    <t>FUNDADORES BEACH CLUB</t>
  </si>
  <si>
    <t>Club de playa y entretenimiento en Los Cabos, Baja California Sur, que ofrece servicios de hospedaje, gastronomía y actividades recreativas a turistas nacionales e internacionales.</t>
  </si>
  <si>
    <t>BROTHERS BEEF</t>
  </si>
  <si>
    <t>Restaurante o cadena de restaurantes de cortes y carnes con sede en México, especializada en la preparación y servicio de carne de res, hamburguesas y platillos a base de carne.</t>
  </si>
  <si>
    <t>COMERCIALIZADORA TELATOR</t>
  </si>
  <si>
    <t>Empresa comercializadora con sede en CDMX, dedicada a la distribución y venta de productos o servicios para el mercado empresarial o de consumo final.</t>
  </si>
  <si>
    <t>TERRA MATER LOGISTICA INTEGRAL EN SOLUCIONES AMBIENTALES</t>
  </si>
  <si>
    <t>ESAI</t>
  </si>
  <si>
    <t>Empresa de servicios con sede en CDMX, posiblemente orientada a soluciones de asesoría, gestión o servicios especializados para el sector empresarial en México.</t>
  </si>
  <si>
    <t>ENERGIA LIMPIA SALUDABLE</t>
  </si>
  <si>
    <t>Empresa del sector de energías renovables y bienestar con sede en CDMX, orientada a la distribución de soluciones de energía limpia y productos sustentables para hogares y empresas.</t>
  </si>
  <si>
    <t>NUEVA FVZ</t>
  </si>
  <si>
    <t>Empresa de servicios con sede en México, posiblemente orientada a soluciones comerciales, operativas o de gestión para clientes del sector privado.</t>
  </si>
  <si>
    <t>SOCIEDAD MEXICANA DE PARRILLEROS SMP</t>
  </si>
  <si>
    <t>Asociación o empresa del sector gastronómico con sede en CDMX, dedicada a la promoción y operación de negocios de parrilla, restauración y servicios de catering en México.</t>
  </si>
  <si>
    <t>ROYAL QUEEN</t>
  </si>
  <si>
    <t>Empresa distribuidora y comercializadora de artículos para el hogar, cocina o decoración con sede en CDMX, orientada a canales de venta al mayoreo y menudeo.</t>
  </si>
  <si>
    <t>BEMIS DE MEXICO</t>
  </si>
  <si>
    <t>Subsidiaria de Bemis Company, empresa estadounidense fabricante de empaques y materiales de empaque flexibles para la industria alimentaria y de consumo masivo con planta en México.</t>
  </si>
  <si>
    <t>GRUPO HELARTE</t>
  </si>
  <si>
    <t>Grupo empresarial mexicano con presencia en el sector gastronómico y de entretenimiento, que opera restaurantes, heladerías o espacios de ocio en la Ciudad de México.</t>
  </si>
  <si>
    <t>TROLLE DIVERS</t>
  </si>
  <si>
    <t>Empresa de servicios con sede en CDMX, posiblemente orientada a soluciones de distribución, comercialización o servicios especializados para el mercado empresarial mexicano.</t>
  </si>
  <si>
    <t>ANDAMIOS MONTERREY</t>
  </si>
  <si>
    <t>Empresa regiomontana dedicada al alquiler y venta de andamios y sistemas de acceso para la industria de la construcción y mantenimiento industrial en el norte de México.</t>
  </si>
  <si>
    <t>MULTIMARCAS DEL ESTADO DE MEXICO</t>
  </si>
  <si>
    <t>Empresa comercializadora multimarcas con sede en el Estado de México, dedicada a la distribución de productos de consumo de diversas marcas en canales de venta al mayoreo y menudeo.</t>
  </si>
  <si>
    <t>BENEFICIOS PARA TI</t>
  </si>
  <si>
    <t>Empresa de tecnología y beneficios laborales con sede en CDMX, que ofrece plataformas y soluciones de administración de beneficios, descuentos y servicios para empleados de empresas.</t>
  </si>
  <si>
    <t>BIOTECCSA</t>
  </si>
  <si>
    <t>Empresa de biotecnología con sede en CDMX, dedicada al desarrollo, producción y distribución de productos biotecnológicos para el sector salud, agricultura o industria en México.</t>
  </si>
  <si>
    <t>POLIMERO Y MATERIAS PRIMAS INTERNACIONALES</t>
  </si>
  <si>
    <t>GENESIS SYSTEMS GROUP MEXICO</t>
  </si>
  <si>
    <t>Subsidiaria de Genesis Systems Group, empresa estadounidense especializada en sistemas de soldadura robótica y automatización industrial para la manufactura de precisión en México.</t>
  </si>
  <si>
    <t>ANALISIS AMBIENTAL</t>
  </si>
  <si>
    <t>Empresa de servicios ambientales con sede en CDMX, especializada en análisis de agua, suelo y aire, así como consultoría ambiental y gestión de residuos para empresas e instituciones.</t>
  </si>
  <si>
    <t>PENTEL DE MEXICO</t>
  </si>
  <si>
    <t>Subsidiaria de Pentel, empresa japonesa fabricante de artículos de escritura, material escolar y herramientas de oficina. Distribuye y comercializa sus productos en el mercado mexicano.</t>
  </si>
  <si>
    <t>HOSPITAL SOLUTIONS &amp; MEDICAL EQUIPMENT OF CENTER</t>
  </si>
  <si>
    <t>Empresa distribuidora de equipos médicos y soluciones hospitalarias con sede en CDMX, especializada en suministro de dispositivos y equipamiento para hospitales, clínicas y laboratorios.</t>
  </si>
  <si>
    <t>TCO GROUP</t>
  </si>
  <si>
    <t>Empresa de consultoría y gestión empresarial con sede en CDMX, especializada en reducción del costo total de propiedad (TCO) y optimización de procesos para organizaciones en México.</t>
  </si>
  <si>
    <t>INNOVAGRO</t>
  </si>
  <si>
    <t>Empresa agroindustrial dedicada al desarrollo e innovación de productos agrícolas, biotecnología vegetal o insumos para el sector agropecuario en México.</t>
  </si>
  <si>
    <t>MYRIAM JANETT LEAL GARZA</t>
  </si>
  <si>
    <t>GRUPO CARNES SUPREMAS ROSARITO</t>
  </si>
  <si>
    <t>Empresa del sector cárnico ubicada en Rosarito, Baja California, dedicada a la producción, procesamiento y distribución de carnes y cortes de calidad para el mercado local y de exportación.</t>
  </si>
  <si>
    <t>ERIK EDUARDO OJEDA MENDEZ</t>
  </si>
  <si>
    <t>Persona física con actividad empresarial en México, posiblemente en el área de prestación de servicios o comercialización en el mercado local.</t>
  </si>
  <si>
    <t>RENACTEUR</t>
  </si>
  <si>
    <t>Empresa mexicana del sector energético orientada a soluciones de energía renovable, eficiencia energética o gestión de activos energéticos para clientes industriales y comerciales.</t>
  </si>
  <si>
    <t>FIDEICOMISO F/1596</t>
  </si>
  <si>
    <t>Fideicomiso constituido para la administración de activos, recursos financieros o patrimonio inmobiliario con sede en la Ciudad de México, gestionado por una institución bancaria o fiduciaria.</t>
  </si>
  <si>
    <t>VIAJERO HOTELS MX</t>
  </si>
  <si>
    <t>Cadena hotelera mexicana con presencia en diversas ciudades del país, dedicada a ofrecer hospedaje accesible y de calidad para viajeros de negocios y turismo.</t>
  </si>
  <si>
    <t>ALIMENTOS Y BANQUETES EL NUEVO ESPAÑA</t>
  </si>
  <si>
    <t>Empresa de catering y banquetes con sede en CDMX, especializada en la preparación y servicio de alimentos para eventos corporativos, sociales y banquetes institucionales.</t>
  </si>
  <si>
    <t>OPERADORA DE JUEGOS Y DIVERSIONES 2000</t>
  </si>
  <si>
    <t>Empresa operadora de entretenimiento dedicada a la administración y operación de centros de juegos, diversiones y espacios recreativos en México.</t>
  </si>
  <si>
    <t>PUBLICO GENERAL</t>
  </si>
  <si>
    <t>Registro genérico que agrupa cuentas o clientes del público general sin clasificación específica en la cartera de la empresa.</t>
  </si>
  <si>
    <t>COMPUREPDIGITAL</t>
  </si>
  <si>
    <t>Empresa distribuidora de equipos de cómputo, tecnología y consumibles digitales con sede en CDMX, orientada a ventas empresariales y de consumo masivo.</t>
  </si>
  <si>
    <t>INSTALACIONES AMBIARK</t>
  </si>
  <si>
    <t>Empresa de instalaciones especializadas con sede en CDMX, dedicada a instalaciones eléctricas, hidráulicas, de climatización u obra civil para proyectos residenciales y comerciales.</t>
  </si>
  <si>
    <t>ZETECH SOLUCIONES MEXICO</t>
  </si>
  <si>
    <t>Empresa mexicana de soluciones tecnológicas, dedicada al desarrollo de software, integración de sistemas y consultoría de TI para empresas del sector privado.</t>
  </si>
  <si>
    <t>GRUPO ROKKINA</t>
  </si>
  <si>
    <t>ORANGE BUSINESS SERVICES MEXICO</t>
  </si>
  <si>
    <t>Subsidiaria de Orange Business, división empresarial del grupo francés Orange, que provee soluciones de telecomunicaciones, conectividad, ciberseguridad y tecnología para empresas en México y Latinoamérica.</t>
  </si>
  <si>
    <t>LOSEN</t>
  </si>
  <si>
    <t>Empresa mexicana de servicios con presencia en CDMX, orientada a soluciones operativas, logísticas o de gestión para clientes del sector empresarial.</t>
  </si>
  <si>
    <t>ALEJANDRA MORA MENDOZA</t>
  </si>
  <si>
    <t>Persona física con actividad empresarial o profesional en México, posiblemente en el área de servicios de consultoría, comercialización o gestión empresarial.</t>
  </si>
  <si>
    <t>SERVICIOS INTEGRALES DE RECOLECCION DE RESIDUOS</t>
  </si>
  <si>
    <t>Empresa de gestión ambiental y recolección de residuos con sede en CDMX, dedicada al manejo, transporte y disposición adecuada de residuos sólidos urbanos e industriales.</t>
  </si>
  <si>
    <t>NSF DE MEXICO</t>
  </si>
  <si>
    <t>Subsidiaria de NSF International, organización de certificación y auditoría de calidad con sede en CDMX, que ofrece servicios de inspección, certificación y consultoría para la industria de alimentos, agua y salud.</t>
  </si>
  <si>
    <t>VELEZ CHILDRENS LANGUAGE CENTER</t>
  </si>
  <si>
    <t>Centro educativo especializado en la enseñanza de idiomas para niños, con sede en México, que ofrece programas de inglés y otros idiomas con metodología adaptada para infantes y jóvenes.</t>
  </si>
  <si>
    <t>EMPACADORA NOR VER (implementando)</t>
  </si>
  <si>
    <t>Veracruz</t>
  </si>
  <si>
    <t>Empresa empacadora del norte de Veracruz dedicada al procesamiento y empaque de productos agrícolas y alimentarios para distribución regional y nacional.</t>
  </si>
  <si>
    <t>MFM210914BY8</t>
  </si>
  <si>
    <t>MANKA FOODS</t>
  </si>
  <si>
    <t>Empresa del sector alimentario dedicada a la producción y distribución de alimentos procesados con presencia en el mercado mexicano, con enfoque en productos de consumo masivo.</t>
  </si>
  <si>
    <t>GRANJA DIVERTIDA</t>
  </si>
  <si>
    <t>Empresa de entretenimiento y turismo rural que opera granjas y espacios de experiencia para familias y grupos escolares, con actividades educativas y recreativas relacionadas con animales y naturaleza.</t>
  </si>
  <si>
    <t>DAN VIT EMPRESARIAL</t>
  </si>
  <si>
    <t>Empresa operadora de transporte urbano de pasajeros con rutas y concesiones en la Ciudad de México y zona metropolitana.</t>
  </si>
  <si>
    <t>Empresa de servicios empresariales con sede en CDMX, orientada a soluciones de consultoría, administración o gestión para clientes corporativos en el mercado mexicano.</t>
  </si>
  <si>
    <t>GUILLERMO OMAR GIM BURRUEL</t>
  </si>
  <si>
    <t>Persona física con actividad empresarial, posiblemente en el área de comercialización o prestación de servicios profesionales en México.</t>
  </si>
  <si>
    <t>TALENT 2 CLEAN</t>
  </si>
  <si>
    <t>Empresa de outsourcing de servicios de limpieza y mantenimiento con sede en CDMX, que provee personal y soluciones de higiene para instalaciones corporativas, industriales y comerciales.</t>
  </si>
  <si>
    <t>HEXAGON MINING MEXICO</t>
  </si>
  <si>
    <t>VALIDACION Y METROLOGIA</t>
  </si>
  <si>
    <t>Empresa de servicios especializados en calibración, validación y metrología industrial para asegurar la conformidad y precisión de equipos y procesos en la industria.</t>
  </si>
  <si>
    <t>TRANSPORTES PIGASA (implementando)</t>
  </si>
  <si>
    <t>Empresa de transporte de carga con sede en el Estado de México, dedicada al traslado de mercancías y materiales para clientes del sector industrial y comercial a nivel nacional.</t>
  </si>
  <si>
    <t>TECNOLOGIA EN BENEFICIOS MEXICO</t>
  </si>
  <si>
    <t>Empresa de tecnología enfocada en soluciones de beneficios y servicios para empresas, incluyendo plataformas de administración de recursos humanos y prestaciones laborales.</t>
  </si>
  <si>
    <t>OPERADORA SUMA PARK</t>
  </si>
  <si>
    <t>Empresa operadora de parques, centros comerciales o espacios de entretenimiento con sede en CDMX, dedicada a la gestión y administración de desarrollos recreativos y de ocio.</t>
  </si>
  <si>
    <t>RENDIMIENTO NAXU</t>
  </si>
  <si>
    <t>COSMOPHARMEX</t>
  </si>
  <si>
    <t>VIVALO CEL</t>
  </si>
  <si>
    <t>Empresa de venta y distribución de celulares, accesorios y tecnología móvil con presencia en México, orientada al mercado de consumo masivo y ventas a revendedores.</t>
  </si>
  <si>
    <t>SAMA FOODS</t>
  </si>
  <si>
    <t>Empresa del sector alimentario enfocada en la producción y distribución de alimentos procesados y productos de consumo masivo para el mercado mexicano y latinoamericano.</t>
  </si>
  <si>
    <t>TAGLE BLINDER</t>
  </si>
  <si>
    <t>Empresa de servicios profesionales con sede en la Ciudad de México, posiblemente en áreas de consultoría, asesoría legal o servicios corporativos especializados.</t>
  </si>
  <si>
    <t>MICROSAFE</t>
  </si>
  <si>
    <t>LA RED CORPORATIVO</t>
  </si>
  <si>
    <t>Corporativo de servicios empresariales con presencia en la Ciudad de México, dedicado a brindar soluciones administrativas, comerciales y logísticas a clientes corporativos.</t>
  </si>
  <si>
    <t>CONSORCIO INDUSTRIAL EDIFICA</t>
  </si>
  <si>
    <t>Consorcio de construcción con sede en CDMX, dedicado a proyectos industriales, comerciales y de infraestructura. Ofrece servicios de edificación, ingeniería y gestión de obra.</t>
  </si>
  <si>
    <t>GRUPO BLACK CLINICAS</t>
  </si>
  <si>
    <t>Red de clínicas de salud con presencia en México, dedicada a la prestación de servicios médicos especializados, consultas, diagnóstico y atención integral para pacientes.</t>
  </si>
  <si>
    <t>VISMA ENTERPRISE SAC</t>
  </si>
  <si>
    <t>Subsidiaria del grupo noruego Visma, proveedor de soluciones de software empresarial para gestión de recursos humanos, nómina, contabilidad y administración de empresas en América Latina.</t>
  </si>
  <si>
    <t>ALCORE INGENIEROS</t>
  </si>
  <si>
    <t>Despacho de ingeniería con sede en CDMX, especializado en diseño estructural, supervisión de obra y consultoría técnica para proyectos de construcción y obras de infraestructura.</t>
  </si>
  <si>
    <t>INTEGRITY PROTECTION SERVICES</t>
  </si>
  <si>
    <t>Empresa de seguridad privada con sede en CDMX, especializada en protección de instalaciones, guardias de seguridad y servicios de vigilancia para clientes corporativos e institucionales.</t>
  </si>
  <si>
    <t>INGREDITECH</t>
  </si>
  <si>
    <t>Empresa dedicada a la formulación y distribución de ingredientes especializados para la industria alimentaria, farmacéutica o cosmética en México.</t>
  </si>
  <si>
    <t>SOLUCIONES INTELIGENTES EN EMBALAJE</t>
  </si>
  <si>
    <t>DIVYA</t>
  </si>
  <si>
    <t>CORTE NIBLADO Y CONFORMADO</t>
  </si>
  <si>
    <t>Enterprise</t>
  </si>
  <si>
    <t>CAPITAL BUS</t>
  </si>
  <si>
    <t>VERTIV MEXICO</t>
  </si>
  <si>
    <t>Filial mexicana de Vertiv, empresa global especializada en infraestructura crítica digital: UPS, sistemas de enfriamiento y gestión de energía para centros de datos.</t>
  </si>
  <si>
    <t>PAN DE PAN MONTERREY</t>
  </si>
  <si>
    <t>Empresa regiomontana dedicada a la producción y distribución de pan artesanal e industrial, con puntos de venta y distribución en Monterrey y zonas aledañas.</t>
  </si>
  <si>
    <t>HERMOS</t>
  </si>
  <si>
    <t>Empresa de servicios con sede en México, posiblemente orientada a gestión comercial, consultoría o soluciones operativas para clientes empresariales.</t>
  </si>
  <si>
    <t>TRINIDAD ALBERTO FLORES ZAMORA</t>
  </si>
  <si>
    <t>Persona física con actividad empresarial, posiblemente en el rubro de comercialización o prestación de servicios profesionales en el mercado mexicano.</t>
  </si>
  <si>
    <t>DISTRIBUIDORA CLABECK</t>
  </si>
  <si>
    <t>Empresa distribuidora y comercializadora de productos de consumo masivo con presencia nacional.</t>
  </si>
  <si>
    <t>CONCEPTOS AGE</t>
  </si>
  <si>
    <t>Empresa de servicios y consultoría con sede en CDMX, orientada a la implementación de soluciones administrativas y operativas para empresas.</t>
  </si>
  <si>
    <t>EB SIETE</t>
  </si>
  <si>
    <t>Empresa constructora e inmobiliaria con operaciones en CDMX, especializada en desarrollo de proyectos habitacionales y comerciales.</t>
  </si>
  <si>
    <t>LO MEJOR EN ELECTRONICA</t>
  </si>
  <si>
    <t>Empresa de venta al menudeo de productos electrónicos con sede en CDMX, orientada a la comercialización de dispositivos, accesorios y tecnología de consumo masivo.</t>
  </si>
  <si>
    <t>HIDALGO VIGUERAS CONSULTORES</t>
  </si>
  <si>
    <t>TECH BUKERS (BUK)</t>
  </si>
  <si>
    <t>Plataforma SaaS chilena con operaciones en México (Tech Bukers) para gestión integral de recursos humanos, nómina, desempeño y clima laboral.</t>
  </si>
  <si>
    <t>PUNTO PEN</t>
  </si>
  <si>
    <t>DHL GLOBAL FORWARDING (MEXICO)</t>
  </si>
  <si>
    <t>OVG HOSPITALITY MEXICO</t>
  </si>
  <si>
    <t>Asignar a Raúl</t>
  </si>
  <si>
    <t>Stevanato Group</t>
  </si>
  <si>
    <t>BENEFIT</t>
  </si>
  <si>
    <t>SOLUCIONES EN SALUD OCUPACIONAL, SEGURIDAD E HIGIENE INDUSTRIAL</t>
  </si>
  <si>
    <t>Empresa de servicios de salud ocupacional y seguridad industrial con sede en CDMX, que ofrece consultoría, capacitación, evaluaciones médicas y gestión de riesgos laborales para empresas.</t>
  </si>
  <si>
    <t>BOTICAS GRIEGAS DE MEXICO</t>
  </si>
  <si>
    <t>Cadena de farmacias o boticas con sede en CDMX, especializada en la dispensación de medicamentos homeopáticos, herbales y remedios naturales de origen griego y mediterráneo.</t>
  </si>
  <si>
    <t>FRANQUICIAS COLMEX</t>
  </si>
  <si>
    <t>Empresa consultora y operadora de franquicias con sede en CDMX, dedicada a la asesoría, desarrollo y expansión de modelos de franquicia para marcas y emprendedores en México.</t>
  </si>
  <si>
    <t>CONTROL DE PLAGAS INTERNACIONAL CENTINELA</t>
  </si>
  <si>
    <t>Empresa de control de plagas con sede en CDMX, especializada en servicios de fumigación, desinfección y control de vectores para instalaciones empresariales, industriales y residenciales.</t>
  </si>
  <si>
    <t>FIRST VIRTUAL MANAGEMENT MEXICO</t>
  </si>
  <si>
    <t>Empresa de gestión virtual y tecnología con sede en CDMX, especializada en soluciones de administración remota, gestión digital y servicios en la nube para empresas.</t>
  </si>
  <si>
    <t>SLM ALIMENTOS</t>
  </si>
  <si>
    <t>Empresa del sector alimentario con sede en CDMX, dedicada a la producción y distribución de alimentos procesados para el mercado de consumo masivo en México.</t>
  </si>
  <si>
    <t>LA REVOLUCION DEL AGUA</t>
  </si>
  <si>
    <t>Empresa de servicios o productos relacionados con el agua con sede en CDMX, posiblemente orientada a purificación, distribución o consultoría en gestión del recurso hídrico.</t>
  </si>
  <si>
    <t>WYN COACALCO</t>
  </si>
  <si>
    <t>DACONTASOB</t>
  </si>
  <si>
    <t>Empresa de servicios contables y administrativos que provee soluciones de outsourcing fiscal, nómina y administración financiera a empresas en México.</t>
  </si>
  <si>
    <t>SARAI PEREZ CHILEL</t>
  </si>
  <si>
    <t>Persona física con actividad empresarial en México, posiblemente en el área de comercialización o servicios profesionales.</t>
  </si>
  <si>
    <t>AGRICOLA SL</t>
  </si>
  <si>
    <t>Empresa del sector agrícola con operaciones en México, dedicada a la producción, cultivo y comercialización de productos agropecuarios para el mercado nacional e internacional.</t>
  </si>
  <si>
    <t>PLENIA HOME CARE</t>
  </si>
  <si>
    <t>Empresa de cuidado a domicilio (home care) con sede en CDMX, que provee servicios de enfermería, acompañamiento y atención médica domiciliaria para personas mayores o con discapacidad.</t>
  </si>
  <si>
    <t>ALFREDO MARIN LUNA</t>
  </si>
  <si>
    <t>AGUA PURIFICADA LOS VOLCANES</t>
  </si>
  <si>
    <t>Empresa purificadora y distribuidora de agua con sede en México, dedicada a la producción y reparto de agua purificada en garrafones para hogares y empresas.</t>
  </si>
  <si>
    <t>CANADIAN SOLAR SERVICES MEXICO</t>
  </si>
  <si>
    <t>Subsidiaria de Canadian Solar, empresa canadiense fabricante de paneles solares y soluciones de energía renovable. Provee instalación, mantenimiento y servicios de energía solar en México.</t>
  </si>
  <si>
    <t>EDWIN MARTIN CAUICH ESCALANTE</t>
  </si>
  <si>
    <t>EQUIPOS Y ACCESORIOS PARA GAS L.P. Y NATURAL</t>
  </si>
  <si>
    <t>Empresa distribuidora de equipos y accesorios para instalaciones de gas LP y gas natural, con sede en CDMX, orientada a clientes residenciales, comerciales e industriales.</t>
  </si>
  <si>
    <t>HOC EST BONUM</t>
  </si>
  <si>
    <t>Empresa restaurantera o de gastronomía con sede en CDMX, orientada a la prestación de servicios de alimentos y bebidas con un concepto de calidad y experiencia culinaria.</t>
  </si>
  <si>
    <t>VILLAMACOCO</t>
  </si>
  <si>
    <t>Empresa constructora o inmobiliaria con sede en CDMX, dedicada al desarrollo y edificación de proyectos residenciales o comerciales en México.</t>
  </si>
  <si>
    <t>INGENIERIA Y PROYECTOS FEZMAR</t>
  </si>
  <si>
    <t>Empresa de ingeniería y proyectos con sede en CDMX, especializada en diseño, supervisión y ejecución de proyectos de construcción e infraestructura.</t>
  </si>
  <si>
    <t>MERCADERIAS JON</t>
  </si>
  <si>
    <t>Empresa comercializadora con sede en México, dedicada a la distribución y venta de mercancías diversas para el comercio al menudeo y mayoreo.</t>
  </si>
  <si>
    <t>SOUTH BAJA CONSTRUCTORA</t>
  </si>
  <si>
    <t>DRILLMEC INC</t>
  </si>
  <si>
    <t>YELTE</t>
  </si>
  <si>
    <t>Raúl Campos</t>
  </si>
  <si>
    <t>Empresa mexicana de servicios con operaciones en la Ciudad de México, orientada a soluciones comerciales o tecnológicas para el sector empresarial.</t>
  </si>
  <si>
    <t>4. Whatsapp</t>
  </si>
  <si>
    <t>QUALIS TECHNOLOGIES</t>
  </si>
  <si>
    <t>DAROVI</t>
  </si>
  <si>
    <t>Empresa del grupo DAROVI proveedora de tecnología y equipamiento para laboratorios clínicos y hospitales en México.</t>
  </si>
  <si>
    <t>IRKON HOLDINGS</t>
  </si>
  <si>
    <t>KOSMOS</t>
  </si>
  <si>
    <t>Empresa holding con sede en CDMX que agrupa o administra inversiones en diferentes sectores del mercado mexicano, con enfoque en la gestión estratégica de activos y participaciones empresariales.</t>
  </si>
  <si>
    <t>1. Reuniones presenciales</t>
  </si>
  <si>
    <t>Estar muy cerca, muy buen servicio para que entren 10mil usuarios</t>
  </si>
  <si>
    <t>OP (Q2-Q3, 10926)</t>
  </si>
  <si>
    <t>ADMINISTRADORA FORTUNE CHIHUAHUA</t>
  </si>
  <si>
    <t>WINLAND</t>
  </si>
  <si>
    <t>Empresa administradora con sede en Chihuahua, dedicada a la gestión de recursos humanos, activos o servicios para empresas del norte del país.</t>
  </si>
  <si>
    <t>2. Videollamada</t>
  </si>
  <si>
    <t>FDP</t>
  </si>
  <si>
    <t>SECONMEX ADMINISTRACION</t>
  </si>
  <si>
    <t>ALEATICA</t>
  </si>
  <si>
    <t>Empresa de administración y servicios de outsourcing con sede en CDMX, que provee personal y servicios de gestión empresarial para clientes de la industria y el comercio en México.</t>
  </si>
  <si>
    <t>TANGO ADMINISTRADORA</t>
  </si>
  <si>
    <t>Empresa administradora de servicios empresariales o inmobiliarios con sede en CDMX, dedicada a la gestión y operación de propiedades o activos para clientes corporativos.</t>
  </si>
  <si>
    <t>OPERADORA CONCESIONARIA MEXIQUENSE</t>
  </si>
  <si>
    <t>Empresa concesionaria del Grupo Aleatica que opera la autopista Circuito Exterior Mexiquense, red vial de peaje en el Estado de México.</t>
  </si>
  <si>
    <t>PROVEEDORA Y COMERCIALIZADORA DE NEGOCIOS DE SONORA</t>
  </si>
  <si>
    <t>Empresa proveedora y distribuidora de productos y servicios para negocios en el estado de Sonora, con cobertura en el noroeste del país.</t>
  </si>
  <si>
    <t>ENTRETENIMIENTO DIAMELA</t>
  </si>
  <si>
    <t>Empresa de entretenimiento con sede en CDMX, dedicada a la organización y operación de eventos, espectáculos y espacios recreativos para el público general y corporativo.</t>
  </si>
  <si>
    <t>AUTOPISTA URBANA NORTE</t>
  </si>
  <si>
    <t>Empresa concesionaria de la Autopista Urbana Norte (Aleatica/OHL), vía expressa de 13 km que conecta el norte de la CDMX mediante carriles de cuota. Parte del portafolio de autopistas urbanas de Aleatica.</t>
  </si>
  <si>
    <t>TEBON CLASS DE MEXICO</t>
  </si>
  <si>
    <t>Op de VC personalizado</t>
  </si>
  <si>
    <t>Empresa mexicana dedicada a la fabricación y comercialización de uniformes y ropa de trabajo para empresas e instituciones en el mercado nacional.</t>
  </si>
  <si>
    <t>OP (si es que no las usan en buk)</t>
  </si>
  <si>
    <t>OP (después de integración personalizada o migración)</t>
  </si>
  <si>
    <t>CESEHSA PRODUCTS</t>
  </si>
  <si>
    <t>Empresa fabricante y distribuidora de productos especializados con sede en CDMX, orientada a la manufactura o comercialización de insumos para la industria o el consumidor final.</t>
  </si>
  <si>
    <t>EULEN FLEXIPLAN SA DE CV</t>
  </si>
  <si>
    <t>EULEN</t>
  </si>
  <si>
    <t>Subsidiaria del grupo español Eulen, especializada en outsourcing de recursos humanos, servicios de limpieza, seguridad, auxiliares y gestión de personal para empresas en México.</t>
  </si>
  <si>
    <t>CONSERVACION MM</t>
  </si>
  <si>
    <t>Empresa de servicios de conservación y mantenimiento con sede en CDMX, dedicada al mantenimiento preventivo y correctivo de instalaciones, inmuebles y equipos para clientes corporativos.</t>
  </si>
  <si>
    <t>VIADUCTO BICENTENARIO</t>
  </si>
  <si>
    <t>Empresa concesionaria Viaducto Bicentenario S.A. de C.V. (Aleática/OHL), operadora de la autopista elevada de 22 km que conecta el Estado de México con CDMX por el corredor norte (Tepalcapa-Cuatro Caminos).</t>
  </si>
  <si>
    <t>UNIVERSIDAD DEL DESARROLLO PROFESIONAL</t>
  </si>
  <si>
    <t>Universidad privada mexicana con campus en diversas ciudades del país, especializada en programas de licenciatura y posgrado orientados al desarrollo profesional y la inserción laboral.</t>
  </si>
  <si>
    <t>Disminuyó mucho los usuarios, ya no responden. Tener ojo</t>
  </si>
  <si>
    <t>SERVIGUE</t>
  </si>
  <si>
    <t>Empresa de servicios de recursos humanos y outsourcing especializada en selección, capacitación y administración de personal para empresas industriales y comerciales en México.</t>
  </si>
  <si>
    <t>INSTITUTO TECNOLOGICO SUPERIOR DE ZACAPOAXTLA</t>
  </si>
  <si>
    <t>Institución de educación superior tecnológica ubicada en Zacapoaxtla, Puebla, que ofrece ingeniería, licenciaturas y programas técnicos con enfoque en ciencia y tecnología aplicada.</t>
  </si>
  <si>
    <t>CONSTRUCCIONES AMOZOC PEROTE</t>
  </si>
  <si>
    <t>Empresa constructora con operaciones en Puebla, especializada en obra civil, carreteras e infraestructura. Opera en el corredor Amozoc-Perote.</t>
  </si>
  <si>
    <t>CBH + ESPECIALISTAS EN INNOVACIÓN MÉDICA, S.A. DE C.V</t>
  </si>
  <si>
    <t>GRUPO CB</t>
  </si>
  <si>
    <t>Empresa especializada en innovación médica y dispositivos de salud, que ofrece soluciones tecnológicas y equipos para hospitales, clínicas y profesionales de la salud en México.</t>
  </si>
  <si>
    <t>Asegurar funcionamiento al 100% y luego ver venta</t>
  </si>
  <si>
    <t>OP (Q2-Q3)</t>
  </si>
  <si>
    <t>U - STORAGE SERVICIOS</t>
  </si>
  <si>
    <t>Empresa proveedora de servicios de almacenamiento en bodega tipo self-storage, ofreciendo espacios de guardado flexible para personas y empresas en México.</t>
  </si>
  <si>
    <t>Solucionar la integración, sin costo por posible fuga</t>
  </si>
  <si>
    <t>GRUPO MAPUCHE</t>
  </si>
  <si>
    <t>Grupo empresarial mexicano con operaciones en servicios, comercialización y distribución, con presencia a nivel nacional.</t>
  </si>
  <si>
    <t>VALIANT DE MEXICO</t>
  </si>
  <si>
    <t>Empresa dedicada a la fabricación y distribución de productos industriales o de consumo con operaciones en el Estado de México.</t>
  </si>
  <si>
    <t>3. Llamada telefónica</t>
  </si>
  <si>
    <t>ESLABON CLINICO</t>
  </si>
  <si>
    <t>DICIPA</t>
  </si>
  <si>
    <t>Empresa del sector salud dedicada a la prestación de servicios clínicos, diagnóstico y atención médica, con presencia en la Ciudad de México y zonas metropolitanas.</t>
  </si>
  <si>
    <t>GRUPO AUTOPISTAS NACIONALES</t>
  </si>
  <si>
    <t>Empresa concesionaria de autopistas y carreteras en México, dedicada a la operación, mantenimiento y administración de infraestructura vial de cuota en el territorio nacional.</t>
  </si>
  <si>
    <t>ARROCERA DEL BAJIO</t>
  </si>
  <si>
    <t>SCHETTINO</t>
  </si>
  <si>
    <t>Empresa agroindustrial del Bajío dedicada a la producción, procesamiento y comercialización de arroz y productos derivados para el mercado nacional.</t>
  </si>
  <si>
    <t>CONSULTORIA JURIDICA Y ADMINISTRATIVA MILLA Y ASOCIADOS**</t>
  </si>
  <si>
    <t>Firma de consultoría jurídica y administrativa que ofrece asesoría legal, fiscal y corporativa a empresas y personas físicas en México.</t>
  </si>
  <si>
    <t>5. Mail</t>
  </si>
  <si>
    <t>ADICTT</t>
  </si>
  <si>
    <t>CONVERSE</t>
  </si>
  <si>
    <t>Empresa de servicios creativos y marketing digital con sede en CDMX, enfocada en estrategias de comunicación y publicidad para marcas nacionales e internacionales.</t>
  </si>
  <si>
    <t>PODER JUSTO</t>
  </si>
  <si>
    <t>Empresa de outsourcing de nómina y gestión de personal, especializada en administración de empleados para empresas medianas y grandes.</t>
  </si>
  <si>
    <t>MEXICANA DE ARROZ</t>
  </si>
  <si>
    <t>Empresa del grupo Schettino productora y comercializadora de arroz y productos arroceros bajo diversas marcas para el mercado nacional.</t>
  </si>
  <si>
    <t>GRUPO SABER INTEGRARSE (Saberin)</t>
  </si>
  <si>
    <t>Empresa de consultoría y capacitación empresarial enfocada en integración de equipos, desarrollo organizacional y formación de capital humano.</t>
  </si>
  <si>
    <t>BARRADAS REFRIGERACION COMERCIAL</t>
  </si>
  <si>
    <t>Tienen modulo antiguo, quieren migrar al modulo nuevo.
Lunes 15 se haría la migración</t>
  </si>
  <si>
    <t>Empresa especializada en refrigeración comercial e industrial, con servicios de instalación, mantenimiento y reparación de equipos de frío.</t>
  </si>
  <si>
    <t>OP (esperando migración)</t>
  </si>
  <si>
    <t>OPCEM</t>
  </si>
  <si>
    <t>Empresa del Grupo Aleatica responsable de la operación y conservación de tramos de autopistas concesionadas en el Estado de México.</t>
  </si>
  <si>
    <t>EPIC ADVENTURE SPORTS</t>
  </si>
  <si>
    <t>JULIO</t>
  </si>
  <si>
    <t>Empresa del Grupo Julio operadora de actividades y deportes de aventura, con instalaciones recreativas y parques de entretenimiento.</t>
  </si>
  <si>
    <t>EULEN MEXICO SA DE CV</t>
  </si>
  <si>
    <t>Empresa del Grupo EULEN en México dedicada a servicios de outsourcing de personal, limpieza industrial y mantenimiento de instalaciones.</t>
  </si>
  <si>
    <t>COMERCIALIZADORA DOMARTS</t>
  </si>
  <si>
    <t>Empresa comercializadora y distribuidora de productos de consumo con operaciones en la Ciudad de México, orientada a canales de venta modernos y tradicionales.</t>
  </si>
  <si>
    <t>FIDES SEGURIDAD PRIVADA</t>
  </si>
  <si>
    <t>HEINEKEN</t>
  </si>
  <si>
    <t>Empresa de seguridad privada contratada por el grupo HEINEKEN México para la vigilancia y protección de sus instalaciones industriales.</t>
  </si>
  <si>
    <t>OP (Q3-Q4)</t>
  </si>
  <si>
    <t>OK (Q4 2025)</t>
  </si>
  <si>
    <t>Distribuidora de insumos, químicos y productos farmacéuticos para hospitales y clínicas, con cobertura nacional en el sector salud público y privado.</t>
  </si>
  <si>
    <t>PRODUCTORA DE ALIMENTOS NUTRITIVOS</t>
  </si>
  <si>
    <t>Empresa mexicana dedicada a la producción y comercialización de alimentos y complementos nutricionales. Fabrica y distribuye productos en diversas categorías alimentarias en el mercado nacional.</t>
  </si>
  <si>
    <t>COMPAÑIA MADERERA DE CHIHUAHUA SUCESORES (HAGALO)</t>
  </si>
  <si>
    <t>Cadena de tiendas de autoservicio de materiales para construcción, ferretería y decoración 'Hágalo', con 9 sucursales principalmente en Ciudad Juárez y Chihuahua.</t>
  </si>
  <si>
    <t>FARMACOS DAROVI</t>
  </si>
  <si>
    <t>Empresa del sector salud dedicada a la distribución y comercialización de medicamentos y productos farmacéuticos para farmacias, hospitales y clínicas en México.</t>
  </si>
  <si>
    <t>DISTRIBUIDORA JUGUETRON</t>
  </si>
  <si>
    <t>Tiene personalizacion de reporte de nomina BUK. Conseguir documentación con Olga</t>
  </si>
  <si>
    <t>Cadena mexicana de tiendas de juguetes con presencia en los principales centros comerciales del país, distribuidora oficial de marcas internacionales.</t>
  </si>
  <si>
    <t>OK ($0)</t>
  </si>
  <si>
    <t>NETAFIM MANUFACTURING MEXICO</t>
  </si>
  <si>
    <t>Planta manufacturera de Netafim en México, fabricante israelí líder en sistemas de riego por goteo y soluciones de fertirrigación para el sector agrícola.</t>
  </si>
  <si>
    <t>Puratos de México SA de CV</t>
  </si>
  <si>
    <t>Hidalgo</t>
  </si>
  <si>
    <t>Empresa belga con operaciones en Tizayuca, Hidalgo; produce y comercializa materias primas para la industria de panadería, pastelería y chocolatería en más de 100 países.</t>
  </si>
  <si>
    <t>FORSAC MEXICO</t>
  </si>
  <si>
    <t>Empresa del grupo CMPC fabricante de sacos de papel kraft y empaques industriales para la industria del cemento, alimentos y química.</t>
  </si>
  <si>
    <t>NETAFIM MEXICO SA DE CV</t>
  </si>
  <si>
    <t>NETAFIM</t>
  </si>
  <si>
    <t>Subsidiaria de Netafim, empresa israelí líder mundial en sistemas de riego por goteo y soluciones de irrigación para agricultura de precisión, con operaciones de manufactura y distribución en México.</t>
  </si>
  <si>
    <t>OP(Q3)</t>
  </si>
  <si>
    <t>NEWREST CATERING MEXICO (Implementando)</t>
  </si>
  <si>
    <t>Filial mexicana de Newrest, empresa multinacional francesa de catering y restauración colectiva para aerolíneas, industria y colectividades.</t>
  </si>
  <si>
    <t>AFORE SURA (Implementando)</t>
  </si>
  <si>
    <t>GRUPO CONVERSE DE MEXICO</t>
  </si>
  <si>
    <t>Operadora de la marca Converse en México, gestiona tiendas de calzado y accesorios deportivos en los principales centros comerciales del país.</t>
  </si>
  <si>
    <t>BIODIST (DICIPA)</t>
  </si>
  <si>
    <t>Distribuidora farmacéutica del grupo DICIPA, especializada en distribución de medicamentos y productos biotecnológicos para el sector salud.</t>
  </si>
  <si>
    <t>OP (Q2, 600)</t>
  </si>
  <si>
    <t>CORPORACION DE RESTAURANTES MAXIMUS</t>
  </si>
  <si>
    <t xml:space="preserve">El contacto es más con la persona de sistemas. </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</si>
  <si>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</si>
  <si>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</si>
  <si>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</si>
  <si>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CORPORATE TRAVEL SERVICES WORLDWIDE (Altour)</t>
  </si>
  <si>
    <t>Agencia de viajes corporativos (Altour) especializada en gestión de viajes de negocios, reservaciones y logística de eventos para empresas.</t>
  </si>
  <si>
    <t>CONCESIONARIA MEXIQUENSE</t>
  </si>
  <si>
    <t>Tienen Formas de Pago y Personalizaciones</t>
  </si>
  <si>
    <t>i</t>
  </si>
  <si>
    <t>ALIMENTOS CENTRALIZADOS DE MEXICO (AxionLog)</t>
  </si>
  <si>
    <t>Se está cerrando anualidad, si incluyen los modulos dentro, aplicar dcto</t>
  </si>
  <si>
    <t>Empresa dedicada a la producción y distribución centralizada de alimentos procesados y preparados para el sector institucional y de consumo masivo.</t>
  </si>
  <si>
    <t>GRUPO EMPRESARIAL ARAN (Prestamo Yes)</t>
  </si>
  <si>
    <t>Grupo financiero que opera el producto Préstamo Yes, plataforma de préstamos personales y microcréditos para personas y pequeñas empresas en México.</t>
  </si>
  <si>
    <t>Banco y Finanzas</t>
  </si>
  <si>
    <t>PROVEEDORA DE QUIMICOS Y MEDICAMENTOS CARE LAB (DAROVI)</t>
  </si>
  <si>
    <t>Empresa del grupo DAROVI proveedora de químicos, reactivos y medicamentos para el sector salud e industria farmacéutica en México.</t>
  </si>
  <si>
    <t>Retomar contacto, admin no contesta mucho. A ella se le puede ofrecer permisos y vacaciones</t>
  </si>
  <si>
    <t>NO - ya rechazaron</t>
  </si>
  <si>
    <t>OP(Visitas ,Q2)</t>
  </si>
  <si>
    <t>AJEMEX</t>
  </si>
  <si>
    <t>Filial mexicana del Grupo AJE, fabricante y distribuidora de bebidas como Big Cola, con planta en Huejotzingo Puebla y distribución nacional.</t>
  </si>
  <si>
    <t>Ambos</t>
  </si>
  <si>
    <t>DESPEGAR.COM MEXICO (Bestday)</t>
  </si>
  <si>
    <t>Filial mexicana de Despegar.com, la principal agencia de viajes online de Latinoamérica, comercializa vuelos, hoteles y paquetes turísticos.</t>
  </si>
  <si>
    <t>TDSYSTEM</t>
  </si>
  <si>
    <t xml:space="preserve">Es normal pero por renuencia con algunos centros. Pero con lo de la reforma esta situación debe de ir mejorando.
Pagan $17 por usuario, pagaron mucho mucho tiempo hasta los 1000 usuarios a pesar de que tenían menos.
</t>
  </si>
  <si>
    <t>T-Systems México, filial de Deutsche Telekom, proveedora de servicios de tecnología de la información, cloud computing, seguridad y SAP para grandes empresas.</t>
  </si>
  <si>
    <t>Generar plan atractivo, han visto varios módulos pero no concretan</t>
  </si>
  <si>
    <t>FRUEHAUF DE MEXICO</t>
  </si>
  <si>
    <t>Líder en fabricación de remolques y semirremolques en México con más de 100 años de historia, con planta en Coacalco EDOMEX. Parte del Grupo Fultra.</t>
  </si>
  <si>
    <t>Grupo alimentario mexicano productor de arroz, salsas y alimentos procesados, con distribución nacional a través de múltiples marcas y plantas de producción.</t>
  </si>
  <si>
    <t>FLEX-TEC MEXICO</t>
  </si>
  <si>
    <t>Aún no hay reunión</t>
  </si>
  <si>
    <t>Empresa manufacturera especializada en fabricación de mangueras, ductos y componentes flexibles para uso industrial y automotriz.</t>
  </si>
  <si>
    <t>EULEN DE SEGURIDAD PRIVADA SA DE CV</t>
  </si>
  <si>
    <t>Empresa española EULEN con operaciones en México, proveedora de servicios de seguridad privada, vigilancia y protección para corporativos e industria.</t>
  </si>
  <si>
    <t>OP (Q2-Q3, 1200)</t>
  </si>
  <si>
    <t>OP (Q2-Q3, 1700)</t>
  </si>
  <si>
    <t>LAPI</t>
  </si>
  <si>
    <t>Presupuesto anual ir mapeando oportunidad para tenerla lista al final del Q3
Sesión semana del 25 de mayo, se está consiguiendo reu</t>
  </si>
  <si>
    <t>Laboratorio médico mexicano con más de 30 años de experiencia, ofrece análisis clínicos, estudios de gabinete e imagenología para empresas e instituciones públicas y privadas.</t>
  </si>
  <si>
    <t>OP (hacer demo)</t>
  </si>
  <si>
    <t>OP (SAP)</t>
  </si>
  <si>
    <t>NO- usan SAP</t>
  </si>
  <si>
    <t>OPERADORA OMX</t>
  </si>
  <si>
    <t>Razón social de OfficeMax México, cadena de 93 tiendas especializadas en artículos de oficina, papelería, tecnología y servicios de impresión.</t>
  </si>
  <si>
    <t>SERVICIOS ADMINISTRATIVOS TRANSFORMANDO LA EDUCACION DE MEXICO(Innova Schools)</t>
  </si>
  <si>
    <t>Cliente nos comenta que la baja de marcas se debe al periodo vacacional de abril</t>
  </si>
  <si>
    <t>Red de colegios privados Innova Schools en México, con propuesta educativa innovadora orientada a habilidades del siglo XXI.</t>
  </si>
  <si>
    <t>OP (Q4)</t>
  </si>
  <si>
    <t>PRODUCTOS INTERNACIONALES MABE</t>
  </si>
  <si>
    <t>SOFTYS</t>
  </si>
  <si>
    <t>Empresa del Grupo SOFTYS (CMPC), fabricante y distribuidora de productos de consumo masivo para el hogar a nivel nacional e internacional.</t>
  </si>
  <si>
    <t>Diario</t>
  </si>
  <si>
    <t>OK (se le añadió interns ahora en Q2)</t>
  </si>
  <si>
    <t>SISTEMAS INTEGRALES PARA EL TRANSPORTE(SINTRA)</t>
  </si>
  <si>
    <t>Empresa fundada en 1989 especializada en consultoría, ingeniería y mantenimiento de sistemas de transporte masivo (metro, tren ligero) en México y Latinoamérica.</t>
  </si>
  <si>
    <t>OK (negociación inicial)</t>
  </si>
  <si>
    <t>GRUPO JULIO</t>
  </si>
  <si>
    <t>Cadena mexicana de moda femenina con más de 40 años, con 107 tiendas propias y presencia en corners de Palacio de Hierro y Liverpool a nivel nacional y en Colombia.</t>
  </si>
  <si>
    <t>OP (Q3, tienen permisos gratis, op en vacaciones pagados)</t>
  </si>
  <si>
    <t>TECNO ESPECIALIZADOS KIURT</t>
  </si>
  <si>
    <t>Empresa de tecnología y servicios especializados en soluciones de control de acceso y asistencia, opera como partner de implementación tecnológica.</t>
  </si>
  <si>
    <t>ABSORMEX CMPC TISSUE</t>
  </si>
  <si>
    <t>Fabricante mexicano de productos higiénicos como papel tissue, pañales y artículos de incontinencia bajo el grupo CMPC, con plantas en García NL, Altamira Tamps y Cuautitlán EDOMEX.</t>
  </si>
  <si>
    <t>SERVICIOS INTEGRALES RAMPER(SIRAMPER)</t>
  </si>
  <si>
    <t>Empresa de outsourcing de servicios de limpieza industrial, conserjería, jardinería y control de plagas, con presencia en 12 estados de México.</t>
  </si>
  <si>
    <t>Semanal</t>
  </si>
  <si>
    <t>SYD PROYECTOS INTEGRALES</t>
  </si>
  <si>
    <t>ANTROMEX</t>
  </si>
  <si>
    <t>Empresa constructora con sede en Zapopan, Jalisco, especializada en proyectos integrales de construcción e infraestructura para clientes industriales y corporativos.</t>
  </si>
  <si>
    <t>OK (Q1 Marzo, 563)</t>
  </si>
  <si>
    <t>PLATO EXPRESS</t>
  </si>
  <si>
    <t>Tuvieron sesión, vieron planificador. Falta enviar cotización, pendiente de solución de ticket</t>
  </si>
  <si>
    <t>Empresa de servicios de comida rápida o delivery con sede en CDMX, dedicada a la preparación y entrega de platillos para el mercado de restauración y food service en México.</t>
  </si>
  <si>
    <t>*</t>
  </si>
  <si>
    <t>CONCORDE GROUP (Ideal Motive Mexico)</t>
  </si>
  <si>
    <t>Empresa de logística y transporte de carga especializada en soluciones de distribución nacional e internacional para clientes industriales y comerciales.</t>
  </si>
  <si>
    <t>TIENDAS ADITIVO</t>
  </si>
  <si>
    <t>Cadena de tiendas de conveniencia y gasolineras con sede en Jalisco, operadora de puntos de venta integrados con servicios de combustible.</t>
  </si>
  <si>
    <t>WISDOM FORWARDING, S.C. (WISDOM DIGITAL LOGISTICS)</t>
  </si>
  <si>
    <t>Empresa de freight forwarding y agencia aduanal con sede en CDMX, especializada en gestión de importaciones, exportaciones y logística internacional para clientes del sector comercial.</t>
  </si>
  <si>
    <t>MEDICAMENTOS NATURALES</t>
  </si>
  <si>
    <t>Empresa distribuidora y comercializadora de medicamentos naturales, herbolaria y suplementos alimenticios para el mercado de salud alternativa y bienestar en México.</t>
  </si>
  <si>
    <t>CROSS-SELLING POR SEGMENTO (USD)</t>
  </si>
  <si>
    <t>Mes</t>
  </si>
  <si>
    <t>Sin dato</t>
  </si>
  <si>
    <t>Total</t>
  </si>
  <si>
    <t>Q</t>
  </si>
  <si>
    <t>Total Q</t>
  </si>
  <si>
    <t>Q1</t>
  </si>
  <si>
    <t>Cross</t>
  </si>
  <si>
    <t>Meta</t>
  </si>
  <si>
    <t>Churn promedio</t>
  </si>
  <si>
    <t>Semáforo</t>
  </si>
  <si>
    <t>Dafne</t>
  </si>
  <si>
    <t>M1</t>
  </si>
  <si>
    <t>Verde</t>
  </si>
  <si>
    <t>Q2</t>
  </si>
  <si>
    <t>Raúl</t>
  </si>
  <si>
    <t>M2</t>
  </si>
  <si>
    <t>Q3</t>
  </si>
  <si>
    <t>Karla</t>
  </si>
  <si>
    <t>No llega</t>
  </si>
  <si>
    <t>Café</t>
  </si>
  <si>
    <t>Q4</t>
  </si>
  <si>
    <t>(Junio aun no se cierra)</t>
  </si>
  <si>
    <t>Julio</t>
  </si>
  <si>
    <t>Agosto</t>
  </si>
  <si>
    <t>Septiembre</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</si>
  <si>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</si>
  <si>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</si>
  <si>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</si>
  <si>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</si>
  <si>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</si>
  <si>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</si>
  <si>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</si>
  <si>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</si>
  <si>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</si>
  <si>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</si>
  <si>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</si>
  <si>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</si>
  <si>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</si>
  <si>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</si>
  <si>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</si>
  <si>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</si>
  <si>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</si>
  <si>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</si>
  <si>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</si>
  <si>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</si>
  <si>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</si>
  <si>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</si>
  <si>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</si>
  <si>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</si>
  <si>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</si>
  <si>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</si>
  <si>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</si>
  <si>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</si>
  <si>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</si>
  <si>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</si>
  <si>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</si>
  <si>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</si>
  <si>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</si>
  <si>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</si>
  <si>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</si>
  <si>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</si>
  <si>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</si>
  <si>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</si>
  <si>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</si>
  <si>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</si>
  <si>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</si>
  <si>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</si>
  <si>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</si>
  <si>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</si>
  <si>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</si>
  <si>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</si>
  <si>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</si>
  <si>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</si>
  <si>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</si>
  <si>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</si>
  <si>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</si>
  <si>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</si>
  <si>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</si>
  <si>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</si>
  <si>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</si>
  <si>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</si>
  <si>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</si>
  <si>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</si>
  <si>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</si>
  <si>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</si>
  <si>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</si>
  <si>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</si>
  <si>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</si>
  <si>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</si>
  <si>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</si>
  <si>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</si>
  <si>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</si>
  <si>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</si>
  <si>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</si>
  <si>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</si>
  <si>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</si>
  <si>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</si>
  <si>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</si>
  <si>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</si>
  <si>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</si>
  <si>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</si>
  <si>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</si>
  <si>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</si>
  <si>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</si>
  <si>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Seguro?</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</si>
  <si>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</si>
  <si>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</si>
  <si>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</si>
  <si>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</si>
  <si>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</si>
  <si>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</si>
  <si>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</si>
  <si>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</si>
  <si>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</si>
  <si>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</si>
  <si>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</si>
  <si>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</si>
  <si>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</si>
  <si>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</si>
  <si>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</si>
  <si>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</si>
  <si>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</si>
  <si>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</si>
  <si>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</si>
  <si>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</si>
  <si>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</si>
  <si>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</si>
  <si>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</si>
  <si>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</si>
  <si>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</si>
  <si>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</si>
  <si>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</si>
  <si>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</si>
  <si>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</si>
  <si>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</si>
  <si>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</si>
  <si>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</si>
  <si>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</si>
  <si>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</si>
  <si>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</si>
  <si>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</si>
  <si>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</si>
  <si>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</si>
  <si>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</si>
  <si>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</si>
  <si>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</si>
  <si>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</si>
  <si>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</si>
  <si>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</si>
  <si>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</si>
  <si>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</si>
  <si>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</si>
  <si>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</si>
  <si>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</si>
  <si>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</si>
  <si>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</si>
  <si>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</si>
  <si>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</si>
  <si>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</si>
  <si>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</si>
  <si>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</si>
  <si>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</si>
  <si>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</si>
  <si>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</si>
  <si>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</si>
  <si>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</si>
  <si>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</si>
  <si>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</si>
  <si>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</si>
  <si>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FV-1-9861</t>
  </si>
  <si>
    <t xml:space="preserve">Entraría seguro, reunión martes 26 para cerrarlo. Falta el ok por parte de dirección (Edgar ya dio el visto bueno)
</t>
  </si>
  <si>
    <t>https://crm.zoho.com/crm/org685875245/tab/Potentials/3525045000625765113</t>
  </si>
  <si>
    <t>Asistencia - Chihuahua</t>
  </si>
  <si>
    <t xml:space="preserve"> FV-1-9867</t>
  </si>
  <si>
    <t>Se factura en junio</t>
  </si>
  <si>
    <t>https://crm.zoho.com/crm/org685875245/tab/Accounts/3525045000260992026</t>
  </si>
  <si>
    <t>Calendario Inteligente - EDO</t>
  </si>
  <si>
    <t>N/A</t>
  </si>
  <si>
    <t>Separación de empresas en GV. Entra en junio.
Separar empresa de interlogics para activar heuristica y activar planificador
Crear la empresa pasa a Ximena
Se debería activar para el 15 y facturar en junio</t>
  </si>
  <si>
    <t>https://crm.zoho.com/crm/org685875245/tab/Potentials/3525045000625765118</t>
  </si>
  <si>
    <t>Asistencia - Metropolitan</t>
  </si>
  <si>
    <t>FV-1-9869</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</si>
  <si>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</si>
  <si>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</si>
  <si>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</si>
  <si>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</si>
  <si>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</si>
  <si>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</si>
  <si>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</si>
  <si>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</si>
  <si>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 FV-1-9868</t>
  </si>
  <si>
    <t>CALENDARIO INTELIGENTE YUCATAN (Trato) - Zoho CRM</t>
  </si>
  <si>
    <t>Calendario Inteligente - Yucatan</t>
  </si>
  <si>
    <t xml:space="preserve">Entra seguro en junio, ya está implementando. </t>
  </si>
  <si>
    <t>https://crm.zoho.com/crm/org685875245/tab/Potentials/3525045000600738055</t>
  </si>
  <si>
    <t>J&amp;T EXPRESS - Cedis Tlanepantla</t>
  </si>
  <si>
    <t>FV-1-9870</t>
  </si>
  <si>
    <t>(Se facturarían 200 en junio, potencial de 1200)</t>
  </si>
  <si>
    <t>https://crm.zoho.com/crm/org685875245/tab/Potentials/3525045000616092666</t>
  </si>
  <si>
    <t>Antonio Huerta Garza (Comex)</t>
  </si>
  <si>
    <t>Upselling FINOTEX (Trato) - Zoho CRM</t>
  </si>
  <si>
    <t>Finotex</t>
  </si>
  <si>
    <t>FV-1-8710</t>
  </si>
  <si>
    <t>Alertas Finotex (Trato) - Zoho CRM</t>
  </si>
  <si>
    <t xml:space="preserve">Finotex  </t>
  </si>
  <si>
    <t>Ya facturado</t>
  </si>
  <si>
    <t>Módulo de Vacaciones Finotex (Trato) - Zoho CRM</t>
  </si>
  <si>
    <t>Arriendo de equipos FINOTEX (Trato) - Zoho CRM</t>
  </si>
  <si>
    <t xml:space="preserve">Arriendo de equipos </t>
  </si>
  <si>
    <t>5 equipos</t>
  </si>
  <si>
    <t>https://crm.zoho.com/crm/org685875245/tab/Potentials/3525045000640693036</t>
  </si>
  <si>
    <t>FV-1-9908</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</si>
  <si>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</si>
  <si>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</si>
  <si>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</si>
  <si>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</si>
  <si>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</si>
  <si>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</si>
  <si>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</si>
  <si>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</si>
  <si>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</si>
  <si>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</si>
  <si>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</si>
  <si>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</si>
  <si>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</si>
  <si>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</si>
  <si>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FV-1-9864</t>
  </si>
  <si>
    <t>Entra si o si en junio, semana del 22 se instala
Llegó torniquete 22, esperando respuesta del cliente para instalar</t>
  </si>
  <si>
    <t>https://crm.zoho.com/crm/org685875245/tab/Accounts/3525045000300440282?pfrom=gsearch</t>
  </si>
  <si>
    <t>Corazon de alcachofa</t>
  </si>
  <si>
    <t>FV-1-9865</t>
  </si>
  <si>
    <t>Entra seguro, semana del 25 de mayo envían telefonos.
9 de junio aún no activan el modulo</t>
  </si>
  <si>
    <t>Alertas Proquipa y Ecoplating (Trato) - Zoho CRM</t>
  </si>
  <si>
    <t xml:space="preserve">Proquipa y Ecoplating </t>
  </si>
  <si>
    <t>FV-1-9873</t>
  </si>
  <si>
    <t>Entra seguro, terminar mayo gratuito, junio ya se factura. Pedir fecha aprox</t>
  </si>
  <si>
    <t>Vacaciones Proquipa y Ecoplating (Trato) - Zoho CRM</t>
  </si>
  <si>
    <t>FV-1-9874</t>
  </si>
  <si>
    <t>Comedor SIES (Trato) - Zoho CRM</t>
  </si>
  <si>
    <t>FV-1-9862</t>
  </si>
  <si>
    <t>Entra seguro, ya está implementando (25 mayo)</t>
  </si>
  <si>
    <t>Está listo, se dio a costo 0 para fidelizar</t>
  </si>
  <si>
    <t>Vacaciones SIES (Trato) - Zoho CRM</t>
  </si>
  <si>
    <t xml:space="preserve">Vacaciones </t>
  </si>
  <si>
    <t>https://crm.zoho.com/crm/org685875245/tab/Potentials/3525045000621513363</t>
  </si>
  <si>
    <t>Transportes Wong</t>
  </si>
  <si>
    <t>Entraría seguro, Gio trabajando en él
Revisando con jefe si aprueba para junio</t>
  </si>
  <si>
    <t>Mapeo 10 cuentas Junio</t>
  </si>
  <si>
    <t>RAM SIEMENS (Trato) - Zoho CRM</t>
  </si>
  <si>
    <t>Siemens</t>
  </si>
  <si>
    <t>FV-1-9948 / 9947 / 9946</t>
  </si>
  <si>
    <t>Entraría para Junio. Pedirle prioridad a Gio</t>
  </si>
  <si>
    <t>Vacaciones WYN Coacalco (Trato) - Zoho CRM</t>
  </si>
  <si>
    <t>Vacaciones</t>
  </si>
  <si>
    <t>Administradora entretenimiento platino (Wyn Coacalco)</t>
  </si>
  <si>
    <t>Entra seguro en junio</t>
  </si>
  <si>
    <t>JP implementación</t>
  </si>
  <si>
    <t>Consorcio Edifica</t>
  </si>
  <si>
    <t xml:space="preserve">Capital Bus </t>
  </si>
  <si>
    <t>https://one.zoho.com/zohoone/geovictoria/home/cxapp/crm/org685875245/tab/Potentials/3525045000629837148</t>
  </si>
  <si>
    <t>TDSystem</t>
  </si>
  <si>
    <t>FV-1-9626</t>
  </si>
  <si>
    <t>https://one.zoho.com/zohoone/geovictoria/home/cxapp/crm/org685875245/tab/Potentials/3525045000630888005</t>
  </si>
  <si>
    <t>https://one.zoho.com/zohoone/geovictoria/home/cxapp/crm/org685875245/tab/Accounts/3525045000152361120?pfrom=gsearch</t>
  </si>
  <si>
    <t>Darovi</t>
  </si>
  <si>
    <t>Upsell entra en mayo</t>
  </si>
  <si>
    <t>https://one.zoho.com/zohoone/geovictoria/home/cxapp/crm/org685875245/tab/Potentials/3525045000626305452</t>
  </si>
  <si>
    <t>Contratistas</t>
  </si>
  <si>
    <t>Softys</t>
  </si>
  <si>
    <t>FV-1-9837</t>
  </si>
  <si>
    <t>Se factura en junio seguro</t>
  </si>
  <si>
    <t>https://one.zoho.com/zohoone/geovictoria/home/cxapp/crm/org685875245/tab/Potentials/3525045000600118201</t>
  </si>
  <si>
    <t>Saberin</t>
  </si>
  <si>
    <t>FV-1-9123</t>
  </si>
  <si>
    <t>Entra seguro</t>
  </si>
  <si>
    <t>https://one.zoho.com/zohoone/geovictoria/home/cxapp/crm/org685875245/tab/Potentials/3525045000600118157</t>
  </si>
  <si>
    <t>FV-1-9839</t>
  </si>
  <si>
    <t>Entra seguro, podría haber ajuste de usuarios. Podría ser min 1919</t>
  </si>
  <si>
    <t>https://crm.zoho.com/crm/org685875245/tab/Potentials/3525045000627459302</t>
  </si>
  <si>
    <t>Frunatural</t>
  </si>
  <si>
    <t>Seguimiento para ver autorización de presupuesto
No autorizaron presupuesto por ahora</t>
  </si>
  <si>
    <t>CALENDARIO INTELIGENTE (Trato) - Zoho CRM</t>
  </si>
  <si>
    <t>Quesadillera</t>
  </si>
  <si>
    <t>Deal que surgió por correo masivo.
Ayudarse con Chio con contactos
Seguimiento con contacto de facturación.
Reunión viernes 5</t>
  </si>
  <si>
    <t>https://crm.zoho.com/crm/org685875245/tab/Potentials/3525045000621513434</t>
  </si>
  <si>
    <t>GTC Termo Control</t>
  </si>
  <si>
    <t>Ver si logra entrar en junio, seguimiento viernes 5 junio, están validando ERP.
Validando Tadá, según eso avanzamos con vacaciones</t>
  </si>
  <si>
    <t>Crear deal</t>
  </si>
  <si>
    <t>Amer Sports</t>
  </si>
  <si>
    <t>Entraría junto a acceso, julio</t>
  </si>
  <si>
    <t>Dólar Q3</t>
  </si>
  <si>
    <t>Cross Selling</t>
  </si>
  <si>
    <t>Evaluar instalaciones aún, entraría julio. Seguimiento a levantamiento de las instalacione</t>
  </si>
  <si>
    <t>Idinsa - Proyecto 1</t>
  </si>
  <si>
    <t xml:space="preserve">Levantar deal por proyecto (Validación de si entran los 5 proyectos por baja de precio por usuario (proyectos con tabletas biométricas). </t>
  </si>
  <si>
    <t>MODULO DASHBOARD BI MONTERREY (Trato) - Zoho CRM</t>
  </si>
  <si>
    <t>BI - MTY</t>
  </si>
  <si>
    <t>Entraría para junio post implementación asistencia(Implementación se cerró jueves 21).
Piloto 1 semana, petición vía zoho, iniciar martes 2junio.
Ver si se puede facturar en junio y no julio**</t>
  </si>
  <si>
    <t>Vacaciones simi del norte (Trato) - Zoho CRM</t>
  </si>
  <si>
    <t>Similares del Norte</t>
  </si>
  <si>
    <t>Se envió propuesta en marzo. Validando si les dan los costos para ambos proyectos. Esperando piloto para ver de entrar con los 2
Reu semana del 22 de junio.</t>
  </si>
  <si>
    <t>Calendario Inteligente (Trato) - Zoho CRM</t>
  </si>
  <si>
    <t>Se envió propuesta en marzo. Lunes 25 partirían con piloto, duración de 1 semana. Se facturaría en junio. No partieron piloto el 25, hacer seguimiento
Empezaron piloto viernes 5, terminan 12.
Viernes 29 empezaron piloto, seguimiento viernes 5</t>
  </si>
  <si>
    <t>https://crm.zoho.com/crm/org685875245/tab/Potentials/3525045000629365190</t>
  </si>
  <si>
    <t>Almacenadora Sur</t>
  </si>
  <si>
    <t>Fue rechazado, será un acceso falso. Se podría impulsar próximo Q
Cliente no dio reunión, solo quieren 1 equipo, no el módulo</t>
  </si>
  <si>
    <t>SERINTRA (Cuenta) - Zoho CRM</t>
  </si>
  <si>
    <t>Serintra</t>
  </si>
  <si>
    <t>Buscar reu para nueva demo o algo para presionar</t>
  </si>
  <si>
    <t>Serviap Logistics S.A. de C.V. (Cuenta) - Zoho CRM</t>
  </si>
  <si>
    <t>No han respodido. Seguimiento</t>
  </si>
  <si>
    <t>RAM AMIB (Trato) - Zoho CRM</t>
  </si>
  <si>
    <t>AMIB</t>
  </si>
  <si>
    <t>Armar RAM después de los otros dos para apurar cierre. Ver opciones de precio para hacerlo atractivo</t>
  </si>
  <si>
    <t>https://crm.zoho.com/crm/org685875245/tab/Potentials/3525045000592368068</t>
  </si>
  <si>
    <t>Aún decidiendo. Van a entrar con piloto, partiendo ultima de primera de junio, duración 2 semanas
Destrabar activación de planificador con Quiroz
Presionar para que entre en junio</t>
  </si>
  <si>
    <t>Weemedic Modulo de Vacaciones (Trato) - Zoho CRM</t>
  </si>
  <si>
    <t>WEE Medic</t>
  </si>
  <si>
    <t>Empresa en impl, nació de Chio. En negociación
Revisar con Mar y Lu gestión con David</t>
  </si>
  <si>
    <t>https://crm.zoho.com/crm/org685875245/tab/Potentials/3525045000583832704</t>
  </si>
  <si>
    <t>Via Urbana</t>
  </si>
  <si>
    <t>No tan seguro. Ver de hacer piloto. Seguimiento con llamada.
No ha habido respuesta</t>
  </si>
  <si>
    <t>Tussan</t>
  </si>
  <si>
    <t>Posible up de planta que genera pintura</t>
  </si>
  <si>
    <t>Vacaciones TUSSAN (Trato) - Zoho CRM</t>
  </si>
  <si>
    <t>Se envió propuesta, hacer seguimiento (llegó de JP)</t>
  </si>
  <si>
    <t>https://crm.zoho.com/crm/org685875245/tab/Potentials/3525045000636661622</t>
  </si>
  <si>
    <t>PTI-QCS</t>
  </si>
  <si>
    <t>Negociación</t>
  </si>
  <si>
    <t>Victoria Connect</t>
  </si>
  <si>
    <t>ABC SIVMED</t>
  </si>
  <si>
    <t>Negociación. (Odoo)</t>
  </si>
  <si>
    <t>Fullmex Industrial</t>
  </si>
  <si>
    <t>Buscar up de 19 a 30 usuarioos</t>
  </si>
  <si>
    <t>Lo mejor en electronica</t>
  </si>
  <si>
    <t>LI Financiera (Enelcom)</t>
  </si>
  <si>
    <t>HiTech Services</t>
  </si>
  <si>
    <t>https://crm.zoho.com/crm/org685875245/tab/Potentials/3525045000621513339</t>
  </si>
  <si>
    <t>Team back 11</t>
  </si>
  <si>
    <t>Buscar reu, empujar piloto preventa</t>
  </si>
  <si>
    <t>https://one.zoho.com/zohoone/geovictoria/home/cxapp/crm/org685875245/tab/Potentials/3525045000630888026</t>
  </si>
  <si>
    <t>Kosmos</t>
  </si>
  <si>
    <t>https://one.zoho.com/zohoone/geovictoria/home/cxapp/crm/org685875245/tab/Potentials/3525045000630888031</t>
  </si>
  <si>
    <t>https://one.zoho.com/zohoone/geovictoria/home/cxapp/crm/org685875245/tab/Potentials/3525045000630888010</t>
  </si>
  <si>
    <t>https://one.zoho.com/zohoone/geovictoria/home/cxapp/crm/org685875245/tab/Potentials/3525045000634463014</t>
  </si>
  <si>
    <t>Junio-Julio</t>
  </si>
  <si>
    <t>Altour</t>
  </si>
  <si>
    <t>Esperando reunión con cliente, están en implementación aún. Esperando pase de Xime</t>
  </si>
  <si>
    <t>https://one.zoho.com/zohoone/geovictoria/home/cxapp/crm/org685875245/tab/Potentials/3525045000623197367</t>
  </si>
  <si>
    <t>Se desactivó piloto, seguir empujando</t>
  </si>
  <si>
    <t>https://one.zoho.com/zohoone/geovictoria/home/cxapp/crm/org685875245/tab/Accounts/3525045000118304484?pfrom=gsearch</t>
  </si>
  <si>
    <t xml:space="preserve">Revisar a mediados de julio
</t>
  </si>
  <si>
    <t>https://one.zoho.com/zohoone/geovictoria/home/cxapp/crm/org685875245/tab/Potentials/3525045000632446183</t>
  </si>
  <si>
    <t>Sura</t>
  </si>
  <si>
    <t>Piloto termina el 15 de julio
No es muy seguro porque usan TALENTUM</t>
  </si>
  <si>
    <t>https://one.zoho.com/zohoone/geovictoria/home/cxapp/crm/org685875245/tab/Potentials/3525045000627572001</t>
  </si>
  <si>
    <t>RAM (Gio)</t>
  </si>
  <si>
    <t>Eulen</t>
  </si>
  <si>
    <t>Entraría posterior a planificador, esperar a agosto
Reunión viernes 29 para mostrar gvlogs y ram, pero más factible Q3</t>
  </si>
  <si>
    <t>https://one.zoho.com/zohoone/geovictoria/home/cxapp/crm/org685875245/tab/Potentials/3525045000623197167</t>
  </si>
  <si>
    <t>SINTRA</t>
  </si>
  <si>
    <t>Seguimiento
Esperando respuesta, quieren conectar COMPAQ</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</si>
  <si>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</si>
  <si>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</si>
  <si>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</si>
  <si>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</si>
  <si>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Atacar primero nuevo admin y luego vender</t>
  </si>
  <si>
    <t>https://one.zoho.com/zohoone/geovictoria/home/cxapp/crm/org685875245/tab/Potentials/3525045000627572267</t>
  </si>
  <si>
    <t>https://one.zoho.com/zohoone/geovictoria/home/cxapp/crm/org685875245/tab/Potentials/3525045000623197343</t>
  </si>
  <si>
    <t>Ajemex</t>
  </si>
  <si>
    <t>No dieron respuesta</t>
  </si>
  <si>
    <t>https://one.zoho.com/zohoone/geovictoria/home/cxapp/crm/org685875245/tab/Potentials/3525045000628197173</t>
  </si>
  <si>
    <t>Maximus</t>
  </si>
  <si>
    <t>Matar</t>
  </si>
  <si>
    <t>https://one.zoho.com/zohoone/geovictoria/home/cxapp/crm/org685875245/tab/Potentials/3525045000628639012</t>
  </si>
  <si>
    <t>Office Max</t>
  </si>
  <si>
    <t>https://one.zoho.com/zohoone/geovictoria/home/cxapp/crm/org685875245/tab/Potentials/3525045000627572048</t>
  </si>
  <si>
    <t>Julio-Agosto</t>
  </si>
  <si>
    <t>Innova Schools</t>
  </si>
  <si>
    <t>Seguimiento</t>
  </si>
  <si>
    <t>https://one.zoho.com/zohoone/geovictoria/home/cxapp/crm/org685875245/tab/Potentials/3525045000627572053</t>
  </si>
  <si>
    <t>RAM gratis durante Q4, cobrarlo en Q12027</t>
  </si>
  <si>
    <t>https://one.zoho.com/zohoone/geovictoria/home/cxapp/crm/org685875245/tab/Potentials/3525045000600073103</t>
  </si>
  <si>
    <t>Ellos deberían terminar implementación en junio</t>
  </si>
  <si>
    <t>https://one.zoho.com/zohoone/geovictoria/home/cxapp/crm/org685875245/tab/Potentials/3525045000583773080</t>
  </si>
  <si>
    <t>https://one.zoho.com/zohoone/geovictoria/home/cxapp/crm/org685875245/tab/Potentials/3525045000630888063</t>
  </si>
  <si>
    <t>Lapi</t>
  </si>
  <si>
    <t>Seguimiento, quizas impulsar piloto</t>
  </si>
  <si>
    <t>https://one.zoho.com/zohoone/geovictoria/home/cxapp/crm/org685875245/tab/Potentials/3525045000630888068</t>
  </si>
  <si>
    <t>Posible integración con SAP</t>
  </si>
  <si>
    <t>https://crm.zoho.com/crm/org685875245/tab/Potentials/3525045000600118001</t>
  </si>
  <si>
    <t>Netfim</t>
  </si>
  <si>
    <t>Entrarían seguro en julio</t>
  </si>
  <si>
    <t>https://crm.zoho.com/crm/org685875245/tab/Potentials/3525045000573675667</t>
  </si>
  <si>
    <t>https://crm.zoho.com/crm/org685875245/tab/Potentials/3525045000573675642</t>
  </si>
  <si>
    <t>https://one.zoho.com/zohoone/geovictoria/home/cxapp/crm/org685875245/tab/Potentials/3525045000600118133</t>
  </si>
  <si>
    <t xml:space="preserve">
Fecha máxima 15 de julio para decisión</t>
  </si>
  <si>
    <t>https://one.zoho.com/zohoone/geovictoria/home/cxapp/crm/org685875245/tab/Potentials/3525045000639910076</t>
  </si>
  <si>
    <t>Nueva regional</t>
  </si>
  <si>
    <t>Validar precio por tabla escalonada</t>
  </si>
  <si>
    <t>https://one.zoho.com/zohoone/geovictoria/home/cxapp/crm/org685875245/tab/Potentials/3525045000640263241</t>
  </si>
  <si>
    <t>Aleatica</t>
  </si>
  <si>
    <t>Ver si se cierra en julio</t>
  </si>
  <si>
    <t>https://one.zoho.com/zohoone/geovictoria/home/cxapp/crm/org685875245/tab/Potentials/3525045000640263246</t>
  </si>
  <si>
    <t>Planificador Inteligente</t>
  </si>
  <si>
    <t>https://one.zoho.com/zohoone/geovictoria/home/cxapp/crm/org685875245/tab/Potentials/3525045000640711138</t>
  </si>
  <si>
    <t>Winland</t>
  </si>
  <si>
    <t>Empujar</t>
  </si>
  <si>
    <t>https://one.zoho.com/zohoone/geovictoria/home/cxapp/crm/org685875245/tab/Potentials/3525045000640711143</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</si>
  <si>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</si>
  <si>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</si>
  <si>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</si>
  <si>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</si>
  <si>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</si>
  <si>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</si>
  <si>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</si>
  <si>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</si>
  <si>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</si>
  <si>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</si>
  <si>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Accord Farma</t>
  </si>
  <si>
    <t>Q12026</t>
  </si>
  <si>
    <t>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</si>
  <si>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</si>
  <si>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</si>
  <si>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</si>
  <si>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</si>
  <si>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</si>
  <si>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</si>
  <si>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</si>
  <si>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</si>
  <si>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</si>
  <si>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</si>
  <si>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</si>
  <si>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</si>
  <si>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</si>
  <si>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</si>
  <si>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</si>
  <si>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</si>
  <si>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</si>
  <si>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</si>
  <si>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</si>
  <si>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</si>
  <si>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</si>
  <si>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</si>
  <si>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</si>
  <si>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</si>
  <si>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</si>
  <si>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</si>
  <si>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</si>
  <si>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</si>
  <si>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</si>
  <si>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</si>
  <si>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</si>
  <si>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</si>
  <si>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</si>
  <si>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</si>
  <si>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</si>
  <si>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</si>
  <si>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</si>
  <si>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</si>
  <si>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</si>
  <si>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</si>
  <si>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</si>
  <si>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</si>
  <si>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</si>
  <si>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</si>
  <si>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</si>
  <si>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</si>
  <si>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</si>
  <si>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</si>
  <si>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</si>
  <si>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</si>
  <si>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</si>
  <si>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</si>
  <si>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</si>
  <si>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</si>
  <si>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</si>
  <si>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</si>
  <si>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</si>
  <si>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</si>
  <si>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</si>
  <si>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</si>
  <si>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</si>
  <si>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</si>
  <si>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</si>
  <si>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</si>
  <si>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</si>
  <si>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z</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</si>
  <si>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</si>
  <si>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</si>
  <si>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</si>
  <si>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</si>
  <si>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</si>
  <si>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</si>
  <si>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</si>
  <si>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</si>
  <si>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</si>
  <si>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</si>
  <si>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</si>
  <si>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</si>
  <si>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</si>
  <si>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</si>
  <si>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</si>
  <si>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*Revisar y envir formulario</t>
  </si>
  <si>
    <t>*Se desactivó el 13-05 pero debió ser 31-03</t>
  </si>
  <si>
    <t>STEEL TEK</t>
  </si>
  <si>
    <t>Viendo reimplementación</t>
  </si>
  <si>
    <t>Pasa a Fármacos Darovi</t>
  </si>
  <si>
    <t>Desactivada por Mora. Revisar*</t>
  </si>
  <si>
    <t>Pasa a Stevanato</t>
  </si>
  <si>
    <t>Desactivado, revisar si es por mora?</t>
  </si>
  <si>
    <t>Desactivada por mora</t>
  </si>
  <si>
    <t>KYSOR WARREN</t>
  </si>
  <si>
    <t>*Decisión de nueva jefatura</t>
  </si>
  <si>
    <t>FEHR BROS. INDUSTRIES</t>
  </si>
  <si>
    <t>Razon social</t>
  </si>
  <si>
    <t>Cat</t>
  </si>
  <si>
    <t>Por KAM</t>
  </si>
  <si>
    <t>Semáforo KAMs Enterprise</t>
  </si>
  <si>
    <t>Rojo</t>
  </si>
  <si>
    <t>Up-selling</t>
  </si>
  <si>
    <t>M3</t>
  </si>
  <si>
    <t>Azul</t>
  </si>
  <si>
    <t>Cross-selling</t>
  </si>
  <si>
    <t>Fuga</t>
  </si>
  <si>
    <t>MRR Cartera</t>
  </si>
  <si>
    <t>% Fuga</t>
  </si>
  <si>
    <t>Disminuciones menor a 100%</t>
  </si>
  <si>
    <t>Variación</t>
  </si>
  <si>
    <t>Variación %</t>
  </si>
  <si>
    <t>Ver con Dani</t>
  </si>
  <si>
    <t>Sin KAM, ver detalle en modelo salud</t>
  </si>
  <si>
    <t>GEVILLA</t>
  </si>
  <si>
    <t>Serán baja de mayo</t>
  </si>
  <si>
    <t>Ver con Raúl</t>
  </si>
  <si>
    <t>LATAM LOGISTICS</t>
  </si>
  <si>
    <t>Ver con Dafne</t>
  </si>
  <si>
    <t>DESARROLLO INTEGRAL ADMINISTRATIVO LUAN</t>
  </si>
  <si>
    <t>Ver con Karla</t>
  </si>
  <si>
    <t>WILSON SPORTING GOODS CO DE MEXICO</t>
  </si>
  <si>
    <t>Ver con Kat</t>
  </si>
  <si>
    <t>CONCORDE GROUP</t>
  </si>
  <si>
    <t>TECNOLOGIA SINTEL</t>
  </si>
  <si>
    <t>COMPAÑIA MADERERA DE CHIHUAHUA SUCESORES</t>
  </si>
  <si>
    <t>Ver con Raul</t>
  </si>
  <si>
    <t>Serintra, S.A. de C.V.</t>
  </si>
  <si>
    <t>PEOPLE 2.0 MEXICO</t>
  </si>
  <si>
    <t>Ver con Kar</t>
  </si>
  <si>
    <t>Desactivaron usuarios que ya no usaban</t>
  </si>
  <si>
    <t>CEPADEMRH SERVICIOS INTEGRALES</t>
  </si>
  <si>
    <t>Ver con Daf</t>
  </si>
  <si>
    <t>NEWREST CATERING MEXICO</t>
  </si>
  <si>
    <t>Revisar con Raúl</t>
  </si>
  <si>
    <t>MANTENIMIENTO AUTOMOTRIZ DE CABO</t>
  </si>
  <si>
    <t>SOCIEDAD INDUSTRIAL EQUIPOS Y SERVICIOS</t>
  </si>
  <si>
    <t>EMPACADORA NOR VER</t>
  </si>
  <si>
    <t>Fecha fuga</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</si>
  <si>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</si>
  <si>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</si>
  <si>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</si>
  <si>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</si>
  <si>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</si>
  <si>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</si>
  <si>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</si>
  <si>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</si>
  <si>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</si>
  <si>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</si>
  <si>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</si>
  <si>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</si>
  <si>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</si>
  <si>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</si>
  <si>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</si>
  <si>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</si>
  <si>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MASTER BUILDER</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</si>
  <si>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</si>
  <si>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</si>
  <si>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</si>
  <si>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</si>
  <si>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</si>
  <si>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</si>
  <si>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</si>
  <si>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</si>
  <si>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GRUPO EMPRESARIAL LA PIRAMIDE</t>
  </si>
  <si>
    <t>Grupo empresarial con actividades en construcción y desarrollo inmobiliario con sede en CDMX, orientado a proyectos de edificación residencial y comercial en México.</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</si>
  <si>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</si>
  <si>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</si>
  <si>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</si>
  <si>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</si>
  <si>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</si>
  <si>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</si>
  <si>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</si>
  <si>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</si>
  <si>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</si>
  <si>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</si>
  <si>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</si>
  <si>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</si>
  <si>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</si>
  <si>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</si>
  <si>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</si>
  <si>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</si>
  <si>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</si>
  <si>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</si>
  <si>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CIRCULO ESTRATEGICO DE ASESORES TRIBUTARIOS. CESAT</t>
  </si>
  <si>
    <t>TRANSPORTES PIGASA</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</si>
  <si>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</si>
  <si>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</si>
  <si>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</si>
  <si>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</si>
  <si>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</si>
  <si>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</si>
  <si>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</si>
  <si>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</si>
  <si>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</si>
  <si>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</si>
  <si>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</si>
  <si>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</si>
  <si>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</si>
  <si>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</si>
  <si>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</si>
  <si>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</si>
  <si>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</si>
  <si>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</si>
  <si>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</si>
  <si>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</si>
  <si>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</si>
  <si>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</si>
  <si>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</si>
  <si>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</si>
  <si>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</si>
  <si>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</si>
  <si>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</si>
  <si>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</si>
  <si>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</si>
  <si>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</si>
  <si>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</si>
  <si>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</si>
  <si>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</si>
  <si>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</si>
  <si>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</si>
  <si>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</si>
  <si>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</si>
  <si>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</si>
  <si>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</si>
  <si>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</si>
  <si>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</si>
  <si>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</si>
  <si>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</si>
  <si>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</si>
  <si>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</si>
  <si>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</si>
  <si>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</si>
  <si>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</si>
  <si>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</si>
  <si>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</si>
  <si>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</si>
  <si>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</si>
  <si>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</si>
  <si>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</si>
  <si>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</si>
  <si>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</si>
  <si>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</si>
  <si>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</si>
  <si>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</si>
  <si>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</si>
  <si>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</si>
  <si>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</si>
  <si>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</si>
  <si>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</si>
  <si>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</si>
  <si>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</si>
  <si>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</si>
  <si>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</si>
  <si>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</si>
  <si>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</si>
  <si>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</si>
  <si>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</si>
  <si>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</si>
  <si>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</si>
  <si>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</si>
  <si>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</si>
  <si>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</si>
  <si>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</si>
  <si>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</si>
  <si>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</si>
  <si>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</si>
  <si>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</si>
  <si>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</si>
  <si>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</si>
  <si>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</si>
  <si>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</si>
  <si>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</si>
  <si>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</si>
  <si>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</si>
  <si>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</si>
  <si>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</si>
  <si>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</si>
  <si>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</si>
  <si>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</si>
  <si>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</si>
  <si>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</si>
  <si>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</si>
  <si>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</si>
  <si>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</si>
  <si>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</si>
  <si>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</si>
  <si>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</si>
  <si>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</si>
  <si>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</si>
  <si>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</si>
  <si>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</si>
  <si>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</si>
  <si>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</si>
  <si>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</si>
  <si>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</si>
  <si>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</si>
  <si>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</si>
  <si>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Cliente_WF</t>
  </si>
  <si>
    <t>Modulo</t>
  </si>
  <si>
    <t>COMENTARIO</t>
  </si>
  <si>
    <t>DESACTIVAR</t>
  </si>
  <si>
    <t>ABC LOGISTICA</t>
  </si>
  <si>
    <t>VACACIONES</t>
  </si>
  <si>
    <t>SE DIO DE BAJA EN JUNIO 2025</t>
  </si>
  <si>
    <t>Alliance Solutions</t>
  </si>
  <si>
    <t>Se factura a otra razón social pero sí se está facturando JOSE LEONARDO MIJARES MENESE</t>
  </si>
  <si>
    <t>ALOTROPÍA</t>
  </si>
  <si>
    <t>SE DIO DE BAJA EN SEPT 2025</t>
  </si>
  <si>
    <t>Blantex</t>
  </si>
  <si>
    <t>NO SE IMPLEMENTÓ, SE DEBE DESACTIVAR</t>
  </si>
  <si>
    <t>Control de Plagas Internacional Centinela</t>
  </si>
  <si>
    <t>SE DIO DE BAJA EN MARZO 2026</t>
  </si>
  <si>
    <t>FARMACOS DAROVI, SA DE CV</t>
  </si>
  <si>
    <t>FUE PILOTO, DESACTIVAR</t>
  </si>
  <si>
    <t>FORBO</t>
  </si>
  <si>
    <t>FORBO SIEGLING</t>
  </si>
  <si>
    <t>Hogan Lovells</t>
  </si>
  <si>
    <t>ITM</t>
  </si>
  <si>
    <t>SE DIO DE BAJA EN OCTUBRE 2025, DESACTIVAR</t>
  </si>
  <si>
    <t>Miele</t>
  </si>
  <si>
    <t>REVISAR ANUALIDAD**</t>
  </si>
  <si>
    <t>REVISAR</t>
  </si>
  <si>
    <t>Prestamos Yes!</t>
  </si>
  <si>
    <t>SI LO TIENE, NO SE LE COBRA, REVISAR CON MAR***</t>
  </si>
  <si>
    <t>RH Medical</t>
  </si>
  <si>
    <t>SE LE COBRA, SE FACTURA A NOMBRE DE GUILLERMO SIMONINI</t>
  </si>
  <si>
    <t>Schätz &amp; Cattani Spa México</t>
  </si>
  <si>
    <t>SI SE FACTURA, A NOMBRE DE COSMO PHARMEX</t>
  </si>
  <si>
    <t>Similares del Noreste</t>
  </si>
  <si>
    <t>BAJA DE OCT 2025</t>
  </si>
  <si>
    <t>VALIANT TMS</t>
  </si>
  <si>
    <t>SI SE FACTURA</t>
  </si>
  <si>
    <t>Voltruck batteries</t>
  </si>
  <si>
    <t>SE FACTURA DESDE MAYO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</si>
</sst>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0.0%"/>
    <numFmt numFmtId="170" formatCode="_-[$$-409]* #,##0.00_ ;_-[$$-409]* \-#,##0.00\ ;_-[$$-409]* \-??_ ;_-@_ "/>
  </numFmts>
  <fonts count="54">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b/>
      <sz val="10"/>
      <color theme="1"/>
      <name val="Aptos Narrow"/>
      <scheme val="minor"/>
    </font>
    <font>
      <sz val="10"/>
      <color theme="0"/>
      <name val="Aptos Narrow"/>
      <scheme val="minor"/>
    </font>
    <font>
      <b/>
      <sz val="10"/>
      <name val="Aptos Narrow"/>
      <scheme val="minor"/>
    </font>
    <font>
      <sz val="10"/>
      <color theme="1"/>
      <name val="Aptos Narrow"/>
      <scheme val="minor"/>
    </font>
    <font>
      <sz val="10"/>
      <name val="Aptos Narrow"/>
      <scheme val="minor"/>
    </font>
    <font>
      <sz val="11"/>
      <color rgb="FF000000"/>
      <name val="Aptos Narrow"/>
      <scheme val="minor"/>
    </font>
    <font>
      <u/>
      <sz val="11"/>
      <color theme="10"/>
      <name val="Aptos Narrow"/>
      <scheme val="minor"/>
    </font>
    <font>
      <sz val="10"/>
      <color rgb="FFFF0000"/>
      <name val="Aptos Narrow"/>
      <scheme val="minor"/>
    </font>
    <font>
      <sz val="11"/>
      <color rgb="FF333333"/>
      <name val="Aptos Narrow"/>
      <scheme val="minor"/>
    </font>
    <font>
      <sz val="11"/>
      <name val="Aptos Narrow"/>
      <scheme val="minor"/>
    </font>
    <font>
      <sz val="11"/>
      <color rgb="FF9C0006"/>
      <name val="Aptos Narrow"/>
      <scheme val="minor"/>
    </font>
    <font>
      <sz val="10"/>
      <color rgb="FF000000"/>
      <name val="Aptos Narrow"/>
      <scheme val="minor"/>
    </font>
    <font>
      <sz val="10"/>
      <color theme="4"/>
      <name val="Aptos Narrow"/>
      <scheme val="minor"/>
    </font>
    <font>
      <sz val="11"/>
      <color rgb="FF313949"/>
      <name val="Aptos Narrow"/>
      <scheme val="minor"/>
    </font>
    <font>
      <sz val="10"/>
      <color rgb="FFFFC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sz val="10"/>
      <name val="Aptos Narrow"/>
      <family val="2"/>
      <scheme val="minor"/>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
      <sz val="11"/>
      <color rgb="FFFF0000"/>
      <name val="Aptos Narrow"/>
      <family val="2"/>
      <scheme val="minor"/>
    </font>
    <font>
      <u/>
      <sz val="11"/>
      <color rgb="FFFF0000"/>
      <name val="Aptos Narrow"/>
      <family val="2"/>
      <scheme val="minor"/>
    </font>
    <font>
      <u/>
      <sz val="11"/>
      <color rgb="FF000000"/>
      <name val="Aptos Narrow"/>
      <family val="2"/>
      <scheme val="minor"/>
    </font>
    <font>
      <sz val="11"/>
      <color rgb="FF000000"/>
      <name val="Aptos Narrow"/>
    </font>
    <font>
      <sz val="11"/>
      <color rgb="FFFF0000"/>
      <name val="Aptos Narrow"/>
    </font>
    <font>
      <sz val="10"/>
      <color rgb="FFFF0000"/>
      <name val="Aptos Narrow"/>
    </font>
    <font>
      <sz val="10"/>
      <color rgb="FF4EA72E"/>
      <name val="Aptos Narrow"/>
    </font>
    <font>
      <sz val="10"/>
      <name val="Aptos Narrow"/>
    </font>
    <font>
      <sz val="11"/>
      <color rgb="FF4EA72E"/>
      <name val="Aptos Narrow"/>
    </font>
  </fonts>
  <fills count="61">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rgb="FFF2F2F2"/>
        <bgColor rgb="FF000000"/>
      </patternFill>
    </fill>
    <fill>
      <patternFill patternType="solid">
        <fgColor rgb="FFE6E6E6"/>
        <bgColor rgb="FF000000"/>
      </patternFill>
    </fill>
  </fills>
  <borders count="63">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s>
  <cellStyleXfs count="2">
    <xf numFmtId="0" fontId="0" fillId="0" borderId="0"/>
    <xf numFmtId="0" fontId="14" fillId="0" borderId="0" applyNumberFormat="0" applyFill="0" applyBorder="0" applyAlignment="0" applyProtection="0"/>
  </cellStyleXfs>
  <cellXfs count="608">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6" fillId="6" borderId="24" xfId="0" applyFont="1" applyFill="1" applyBorder="1" applyAlignment="1">
      <alignment horizontal="left" vertical="center"/>
    </xf>
    <xf numFmtId="0" fontId="7" fillId="6"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7" fillId="6" borderId="24" xfId="0" applyFont="1" applyFill="1" applyBorder="1" applyAlignment="1">
      <alignment horizontal="left"/>
    </xf>
    <xf numFmtId="0" fontId="6" fillId="6" borderId="24" xfId="0" applyFont="1" applyFill="1" applyBorder="1" applyAlignment="1">
      <alignment horizontal="left"/>
    </xf>
    <xf numFmtId="0" fontId="14" fillId="6"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168" fontId="6" fillId="0" borderId="24" xfId="0" applyNumberFormat="1" applyFont="1" applyBorder="1" applyAlignment="1">
      <alignment horizontal="right"/>
    </xf>
    <xf numFmtId="168" fontId="6" fillId="10" borderId="24" xfId="0" applyNumberFormat="1" applyFont="1" applyFill="1" applyBorder="1" applyAlignment="1">
      <alignment horizontal="right"/>
    </xf>
    <xf numFmtId="168" fontId="6" fillId="6" borderId="24" xfId="0" applyNumberFormat="1" applyFont="1" applyFill="1" applyBorder="1" applyAlignment="1">
      <alignment horizontal="right"/>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24" xfId="0" applyFont="1" applyFill="1" applyBorder="1" applyAlignment="1">
      <alignment horizontal="left"/>
    </xf>
    <xf numFmtId="168" fontId="17" fillId="11" borderId="24" xfId="0" applyNumberFormat="1" applyFont="1" applyFill="1" applyBorder="1" applyAlignment="1">
      <alignment horizontal="right"/>
    </xf>
    <xf numFmtId="168" fontId="17" fillId="11" borderId="24" xfId="0" applyNumberFormat="1" applyFont="1" applyFill="1" applyBorder="1"/>
    <xf numFmtId="2" fontId="17" fillId="11" borderId="24" xfId="0" applyNumberFormat="1" applyFont="1" applyFill="1" applyBorder="1"/>
    <xf numFmtId="1" fontId="17" fillId="11" borderId="24" xfId="0" applyNumberFormat="1" applyFont="1" applyFill="1" applyBorder="1"/>
    <xf numFmtId="0" fontId="17" fillId="11" borderId="0" xfId="0" applyFont="1" applyFill="1" applyAlignment="1">
      <alignment horizontal="left"/>
    </xf>
    <xf numFmtId="0" fontId="17" fillId="11" borderId="0" xfId="0" applyFont="1" applyFill="1"/>
    <xf numFmtId="0" fontId="17" fillId="0" borderId="24" xfId="0" applyFont="1" applyBorder="1" applyAlignment="1">
      <alignment horizontal="right"/>
    </xf>
    <xf numFmtId="0" fontId="18" fillId="3" borderId="24" xfId="0" applyFont="1" applyFill="1" applyBorder="1" applyAlignment="1">
      <alignment wrapText="1"/>
    </xf>
    <xf numFmtId="44" fontId="19" fillId="3" borderId="24" xfId="0" applyNumberFormat="1" applyFont="1" applyFill="1" applyBorder="1" applyAlignment="1">
      <alignment wrapText="1"/>
    </xf>
    <xf numFmtId="0" fontId="18" fillId="3" borderId="24" xfId="0" applyFont="1" applyFill="1" applyBorder="1" applyAlignment="1">
      <alignment horizontal="left" wrapText="1"/>
    </xf>
    <xf numFmtId="168" fontId="18" fillId="3" borderId="24" xfId="0" applyNumberFormat="1" applyFont="1" applyFill="1" applyBorder="1" applyAlignment="1">
      <alignment wrapText="1"/>
    </xf>
    <xf numFmtId="168" fontId="19" fillId="3" borderId="24" xfId="0" applyNumberFormat="1" applyFont="1" applyFill="1" applyBorder="1" applyAlignment="1">
      <alignment wrapText="1"/>
    </xf>
    <xf numFmtId="0" fontId="18" fillId="27" borderId="32" xfId="0" applyFont="1" applyFill="1" applyBorder="1" applyAlignment="1">
      <alignment wrapText="1"/>
    </xf>
    <xf numFmtId="1" fontId="19" fillId="3" borderId="24" xfId="0" applyNumberFormat="1" applyFont="1" applyFill="1" applyBorder="1" applyAlignment="1">
      <alignment wrapText="1"/>
    </xf>
    <xf numFmtId="14" fontId="19" fillId="3" borderId="24" xfId="0" applyNumberFormat="1" applyFont="1" applyFill="1" applyBorder="1" applyAlignment="1">
      <alignment wrapText="1"/>
    </xf>
    <xf numFmtId="0" fontId="18" fillId="27" borderId="38" xfId="0" applyFont="1" applyFill="1" applyBorder="1" applyAlignment="1">
      <alignment horizontal="left" wrapText="1"/>
    </xf>
    <xf numFmtId="0" fontId="18" fillId="27" borderId="38" xfId="0" applyFont="1" applyFill="1" applyBorder="1" applyAlignment="1">
      <alignment wrapText="1"/>
    </xf>
    <xf numFmtId="0" fontId="18" fillId="27" borderId="0" xfId="0" applyFont="1" applyFill="1" applyAlignment="1">
      <alignment wrapText="1"/>
    </xf>
    <xf numFmtId="0" fontId="19" fillId="2" borderId="24" xfId="0" applyFont="1" applyFill="1" applyBorder="1" applyAlignment="1">
      <alignment horizontal="left" wrapText="1"/>
    </xf>
    <xf numFmtId="0" fontId="19" fillId="6" borderId="24" xfId="0" applyFont="1" applyFill="1" applyBorder="1" applyAlignment="1">
      <alignment wrapText="1"/>
    </xf>
    <xf numFmtId="0" fontId="20" fillId="17" borderId="24" xfId="0" applyFont="1" applyFill="1" applyBorder="1" applyAlignment="1">
      <alignment wrapText="1"/>
    </xf>
    <xf numFmtId="0" fontId="19" fillId="23" borderId="24" xfId="0" applyFont="1" applyFill="1" applyBorder="1" applyAlignment="1">
      <alignment wrapText="1"/>
    </xf>
    <xf numFmtId="0" fontId="19" fillId="23" borderId="35" xfId="0" applyFont="1" applyFill="1" applyBorder="1" applyAlignment="1">
      <alignment wrapText="1"/>
    </xf>
    <xf numFmtId="0" fontId="19" fillId="7" borderId="36" xfId="0" applyFont="1" applyFill="1" applyBorder="1" applyAlignment="1">
      <alignment wrapText="1"/>
    </xf>
    <xf numFmtId="0" fontId="19" fillId="7" borderId="24" xfId="0" applyFont="1" applyFill="1" applyBorder="1" applyAlignment="1">
      <alignment wrapText="1"/>
    </xf>
    <xf numFmtId="0" fontId="21" fillId="7" borderId="35" xfId="0" applyFont="1" applyFill="1" applyBorder="1" applyAlignment="1">
      <alignment wrapText="1"/>
    </xf>
    <xf numFmtId="0" fontId="21" fillId="24" borderId="36" xfId="0" applyFont="1" applyFill="1" applyBorder="1" applyAlignment="1">
      <alignment wrapText="1"/>
    </xf>
    <xf numFmtId="0" fontId="21" fillId="24" borderId="24" xfId="0" applyFont="1" applyFill="1" applyBorder="1" applyAlignment="1">
      <alignment wrapText="1"/>
    </xf>
    <xf numFmtId="0" fontId="19" fillId="24" borderId="35" xfId="0" applyFont="1" applyFill="1" applyBorder="1" applyAlignment="1">
      <alignment wrapText="1"/>
    </xf>
    <xf numFmtId="0" fontId="19" fillId="23" borderId="36" xfId="0" applyFont="1" applyFill="1" applyBorder="1" applyAlignment="1">
      <alignment wrapText="1"/>
    </xf>
    <xf numFmtId="0" fontId="21" fillId="23" borderId="24" xfId="0" applyFont="1" applyFill="1" applyBorder="1" applyAlignment="1">
      <alignment wrapText="1"/>
    </xf>
    <xf numFmtId="0" fontId="18" fillId="24" borderId="24" xfId="0" applyFont="1" applyFill="1" applyBorder="1" applyAlignment="1">
      <alignment wrapText="1"/>
    </xf>
    <xf numFmtId="0" fontId="19" fillId="0" borderId="24" xfId="0" applyFont="1" applyBorder="1" applyAlignment="1">
      <alignment wrapText="1"/>
    </xf>
    <xf numFmtId="0" fontId="22" fillId="0" borderId="24" xfId="0" applyFont="1" applyBorder="1" applyAlignment="1">
      <alignment wrapText="1"/>
    </xf>
    <xf numFmtId="0" fontId="19" fillId="0" borderId="24" xfId="0" applyFont="1" applyBorder="1"/>
    <xf numFmtId="0" fontId="22" fillId="0" borderId="24" xfId="0" applyFont="1" applyBorder="1"/>
    <xf numFmtId="0" fontId="17" fillId="36" borderId="24" xfId="0" applyFont="1" applyFill="1" applyBorder="1"/>
    <xf numFmtId="168" fontId="23" fillId="36" borderId="24" xfId="0" applyNumberFormat="1" applyFont="1" applyFill="1" applyBorder="1" applyAlignment="1">
      <alignment horizontal="right"/>
    </xf>
    <xf numFmtId="0" fontId="24" fillId="36" borderId="24" xfId="0" applyFont="1" applyFill="1" applyBorder="1"/>
    <xf numFmtId="0" fontId="24" fillId="36" borderId="33" xfId="0" applyFont="1" applyFill="1" applyBorder="1"/>
    <xf numFmtId="1" fontId="23" fillId="36" borderId="24" xfId="0" applyNumberFormat="1" applyFont="1" applyFill="1" applyBorder="1" applyAlignment="1">
      <alignment horizontal="right"/>
    </xf>
    <xf numFmtId="0" fontId="23" fillId="36" borderId="33" xfId="0" applyFont="1" applyFill="1" applyBorder="1"/>
    <xf numFmtId="0" fontId="24" fillId="36" borderId="0" xfId="0" applyFont="1" applyFill="1" applyAlignment="1">
      <alignment horizontal="left"/>
    </xf>
    <xf numFmtId="0" fontId="24" fillId="36" borderId="0" xfId="0" applyFont="1" applyFill="1"/>
    <xf numFmtId="0" fontId="17" fillId="36" borderId="24" xfId="0" applyFont="1" applyFill="1" applyBorder="1" applyAlignment="1">
      <alignment horizontal="right"/>
    </xf>
    <xf numFmtId="0" fontId="24" fillId="36" borderId="32" xfId="0" applyFont="1" applyFill="1" applyBorder="1"/>
    <xf numFmtId="0" fontId="24" fillId="18" borderId="32" xfId="0" applyFont="1" applyFill="1" applyBorder="1"/>
    <xf numFmtId="0" fontId="17" fillId="37" borderId="24" xfId="0" applyFont="1" applyFill="1" applyBorder="1"/>
    <xf numFmtId="168" fontId="23" fillId="37" borderId="24" xfId="0" applyNumberFormat="1" applyFont="1" applyFill="1" applyBorder="1" applyAlignment="1">
      <alignment horizontal="right"/>
    </xf>
    <xf numFmtId="0" fontId="24" fillId="37" borderId="24" xfId="0" applyFont="1" applyFill="1" applyBorder="1"/>
    <xf numFmtId="0" fontId="24" fillId="37" borderId="33" xfId="0" applyFont="1" applyFill="1" applyBorder="1"/>
    <xf numFmtId="1" fontId="23" fillId="37" borderId="24" xfId="0" applyNumberFormat="1" applyFont="1" applyFill="1" applyBorder="1" applyAlignment="1">
      <alignment horizontal="right"/>
    </xf>
    <xf numFmtId="0" fontId="23" fillId="37" borderId="33" xfId="0" applyFont="1" applyFill="1" applyBorder="1"/>
    <xf numFmtId="0" fontId="24" fillId="37" borderId="0" xfId="0" applyFont="1" applyFill="1" applyAlignment="1">
      <alignment horizontal="left"/>
    </xf>
    <xf numFmtId="0" fontId="24" fillId="37" borderId="0" xfId="0" applyFont="1" applyFill="1"/>
    <xf numFmtId="0" fontId="17" fillId="37" borderId="24" xfId="0" applyFont="1" applyFill="1" applyBorder="1" applyAlignment="1">
      <alignment horizontal="right"/>
    </xf>
    <xf numFmtId="0" fontId="24" fillId="37" borderId="32" xfId="0" applyFont="1" applyFill="1" applyBorder="1"/>
    <xf numFmtId="0" fontId="25" fillId="36" borderId="24" xfId="1" applyFont="1" applyFill="1" applyBorder="1"/>
    <xf numFmtId="0" fontId="23" fillId="36" borderId="24" xfId="0" applyFont="1" applyFill="1" applyBorder="1" applyAlignment="1">
      <alignment horizontal="left" vertical="center"/>
    </xf>
    <xf numFmtId="0" fontId="23" fillId="37" borderId="24" xfId="0" applyFont="1" applyFill="1" applyBorder="1" applyAlignment="1">
      <alignment horizontal="left" vertical="center"/>
    </xf>
    <xf numFmtId="0" fontId="25" fillId="36" borderId="24" xfId="1" applyFont="1" applyFill="1" applyBorder="1" applyAlignment="1">
      <alignment horizontal="left" vertical="center"/>
    </xf>
    <xf numFmtId="0" fontId="26" fillId="36" borderId="24" xfId="0" applyFont="1" applyFill="1" applyBorder="1" applyAlignment="1">
      <alignment horizontal="left"/>
    </xf>
    <xf numFmtId="168" fontId="26" fillId="36" borderId="33" xfId="0" applyNumberFormat="1" applyFont="1" applyFill="1" applyBorder="1"/>
    <xf numFmtId="4" fontId="23" fillId="36" borderId="24" xfId="0" applyNumberFormat="1" applyFont="1" applyFill="1" applyBorder="1" applyAlignment="1">
      <alignment horizontal="right"/>
    </xf>
    <xf numFmtId="0" fontId="23" fillId="36" borderId="0" xfId="0" applyFont="1" applyFill="1"/>
    <xf numFmtId="0" fontId="24" fillId="16" borderId="32" xfId="0" applyFont="1" applyFill="1" applyBorder="1"/>
    <xf numFmtId="0" fontId="25" fillId="18" borderId="32" xfId="1" applyFont="1" applyFill="1" applyBorder="1" applyAlignment="1">
      <alignment wrapText="1"/>
    </xf>
    <xf numFmtId="0" fontId="25" fillId="37" borderId="24" xfId="1" applyFont="1" applyFill="1" applyBorder="1" applyAlignment="1">
      <alignment horizontal="left" vertical="center"/>
    </xf>
    <xf numFmtId="0" fontId="26" fillId="37" borderId="24" xfId="0" applyFont="1" applyFill="1" applyBorder="1" applyAlignment="1">
      <alignment horizontal="left"/>
    </xf>
    <xf numFmtId="168" fontId="26" fillId="37" borderId="33" xfId="0" applyNumberFormat="1" applyFont="1" applyFill="1" applyBorder="1"/>
    <xf numFmtId="4" fontId="23" fillId="37" borderId="24" xfId="0" applyNumberFormat="1" applyFont="1" applyFill="1" applyBorder="1" applyAlignment="1">
      <alignment horizontal="right"/>
    </xf>
    <xf numFmtId="0" fontId="23" fillId="37" borderId="0" xfId="0" applyFont="1" applyFill="1"/>
    <xf numFmtId="0" fontId="23" fillId="36" borderId="24" xfId="0" applyFont="1" applyFill="1" applyBorder="1" applyAlignment="1">
      <alignment horizontal="left"/>
    </xf>
    <xf numFmtId="0" fontId="23" fillId="23" borderId="24" xfId="0" applyFont="1" applyFill="1" applyBorder="1" applyAlignment="1">
      <alignment horizontal="left" vertical="center"/>
    </xf>
    <xf numFmtId="0" fontId="23" fillId="37" borderId="24" xfId="0" applyFont="1" applyFill="1" applyBorder="1" applyAlignment="1">
      <alignment horizontal="left"/>
    </xf>
    <xf numFmtId="0" fontId="27" fillId="36" borderId="24" xfId="0" applyFont="1" applyFill="1" applyBorder="1"/>
    <xf numFmtId="0" fontId="28" fillId="37" borderId="24" xfId="0" applyFont="1" applyFill="1" applyBorder="1"/>
    <xf numFmtId="0" fontId="23" fillId="7" borderId="24" xfId="0" applyFont="1" applyFill="1" applyBorder="1" applyAlignment="1">
      <alignment horizontal="left" vertical="center"/>
    </xf>
    <xf numFmtId="0" fontId="26" fillId="37" borderId="24" xfId="0" applyFont="1" applyFill="1" applyBorder="1" applyAlignment="1">
      <alignment horizontal="left" vertical="center"/>
    </xf>
    <xf numFmtId="0" fontId="24" fillId="36" borderId="24" xfId="0" applyFont="1" applyFill="1" applyBorder="1" applyAlignment="1">
      <alignment horizontal="left"/>
    </xf>
    <xf numFmtId="0" fontId="17" fillId="12" borderId="24" xfId="0" applyFont="1" applyFill="1" applyBorder="1"/>
    <xf numFmtId="0" fontId="24" fillId="37" borderId="24" xfId="0" applyFont="1" applyFill="1" applyBorder="1" applyAlignment="1">
      <alignment horizontal="left"/>
    </xf>
    <xf numFmtId="0" fontId="29" fillId="36" borderId="24" xfId="0" applyFont="1" applyFill="1" applyBorder="1"/>
    <xf numFmtId="4" fontId="23" fillId="36" borderId="0" xfId="0" applyNumberFormat="1" applyFont="1" applyFill="1" applyAlignment="1">
      <alignment horizontal="left"/>
    </xf>
    <xf numFmtId="4" fontId="23" fillId="36" borderId="24" xfId="0" applyNumberFormat="1" applyFont="1" applyFill="1" applyBorder="1" applyAlignment="1">
      <alignment horizontal="left"/>
    </xf>
    <xf numFmtId="4" fontId="23" fillId="37" borderId="24" xfId="0" applyNumberFormat="1" applyFont="1" applyFill="1" applyBorder="1" applyAlignment="1">
      <alignment horizontal="left"/>
    </xf>
    <xf numFmtId="0" fontId="24" fillId="37" borderId="34" xfId="0" applyFont="1" applyFill="1" applyBorder="1"/>
    <xf numFmtId="4" fontId="23" fillId="37" borderId="0" xfId="0" applyNumberFormat="1" applyFont="1" applyFill="1" applyAlignment="1">
      <alignment horizontal="left"/>
    </xf>
    <xf numFmtId="0" fontId="30" fillId="37" borderId="24" xfId="0" applyFont="1" applyFill="1" applyBorder="1" applyAlignment="1">
      <alignment horizontal="left"/>
    </xf>
    <xf numFmtId="0" fontId="26" fillId="36" borderId="24" xfId="0" applyFont="1" applyFill="1" applyBorder="1" applyAlignment="1">
      <alignment horizontal="left" vertical="center"/>
    </xf>
    <xf numFmtId="0" fontId="24" fillId="11" borderId="32" xfId="0" applyFont="1" applyFill="1" applyBorder="1"/>
    <xf numFmtId="0" fontId="30" fillId="36" borderId="24" xfId="0" applyFont="1" applyFill="1" applyBorder="1" applyAlignment="1">
      <alignment horizontal="left"/>
    </xf>
    <xf numFmtId="0" fontId="24" fillId="2" borderId="32" xfId="0" applyFont="1" applyFill="1" applyBorder="1"/>
    <xf numFmtId="0" fontId="24" fillId="11" borderId="0" xfId="0" applyFont="1" applyFill="1"/>
    <xf numFmtId="0" fontId="23" fillId="38" borderId="24" xfId="0" applyFont="1" applyFill="1" applyBorder="1" applyAlignment="1">
      <alignment horizontal="left" vertical="center"/>
    </xf>
    <xf numFmtId="168" fontId="31" fillId="37" borderId="24" xfId="0" applyNumberFormat="1" applyFont="1" applyFill="1" applyBorder="1" applyAlignment="1">
      <alignment horizontal="right"/>
    </xf>
    <xf numFmtId="0" fontId="17" fillId="36" borderId="24" xfId="0" applyFont="1" applyFill="1" applyBorder="1" applyAlignment="1">
      <alignment horizontal="left"/>
    </xf>
    <xf numFmtId="168" fontId="31" fillId="36" borderId="24" xfId="0" applyNumberFormat="1" applyFont="1" applyFill="1" applyBorder="1" applyAlignment="1">
      <alignment horizontal="right"/>
    </xf>
    <xf numFmtId="168" fontId="23" fillId="37" borderId="33" xfId="0" applyNumberFormat="1" applyFont="1" applyFill="1" applyBorder="1"/>
    <xf numFmtId="168" fontId="17" fillId="36" borderId="24" xfId="0" applyNumberFormat="1" applyFont="1" applyFill="1" applyBorder="1"/>
    <xf numFmtId="168" fontId="24" fillId="36" borderId="33" xfId="0" applyNumberFormat="1" applyFont="1" applyFill="1" applyBorder="1"/>
    <xf numFmtId="0" fontId="33" fillId="36" borderId="24" xfId="0" applyFont="1" applyFill="1" applyBorder="1" applyAlignment="1">
      <alignment horizontal="left"/>
    </xf>
    <xf numFmtId="0" fontId="24" fillId="19" borderId="32" xfId="0" applyFont="1" applyFill="1" applyBorder="1"/>
    <xf numFmtId="0" fontId="24" fillId="37" borderId="24" xfId="0" applyFont="1" applyFill="1" applyBorder="1" applyAlignment="1">
      <alignment wrapText="1"/>
    </xf>
    <xf numFmtId="0" fontId="30" fillId="37" borderId="24" xfId="0" applyFont="1" applyFill="1" applyBorder="1"/>
    <xf numFmtId="0" fontId="30" fillId="36" borderId="24" xfId="0" applyFont="1" applyFill="1" applyBorder="1"/>
    <xf numFmtId="0" fontId="24" fillId="6" borderId="32" xfId="0" applyFont="1" applyFill="1" applyBorder="1"/>
    <xf numFmtId="0" fontId="17" fillId="6" borderId="24" xfId="0" applyFont="1" applyFill="1" applyBorder="1"/>
    <xf numFmtId="168" fontId="23" fillId="36" borderId="33" xfId="0" applyNumberFormat="1" applyFont="1" applyFill="1" applyBorder="1"/>
    <xf numFmtId="0" fontId="17" fillId="2" borderId="24" xfId="0" applyFont="1" applyFill="1" applyBorder="1"/>
    <xf numFmtId="4" fontId="23" fillId="37" borderId="24" xfId="0" applyNumberFormat="1" applyFont="1" applyFill="1" applyBorder="1" applyAlignment="1">
      <alignment horizontal="right" wrapText="1"/>
    </xf>
    <xf numFmtId="164" fontId="17" fillId="36" borderId="24" xfId="0" applyNumberFormat="1" applyFont="1" applyFill="1" applyBorder="1"/>
    <xf numFmtId="0" fontId="17" fillId="37" borderId="24" xfId="0" applyFont="1" applyFill="1" applyBorder="1" applyAlignment="1">
      <alignment horizontal="left"/>
    </xf>
    <xf numFmtId="168" fontId="17" fillId="37" borderId="24" xfId="0" applyNumberFormat="1" applyFont="1" applyFill="1" applyBorder="1"/>
    <xf numFmtId="2" fontId="17" fillId="37" borderId="24" xfId="0" applyNumberFormat="1" applyFont="1" applyFill="1" applyBorder="1"/>
    <xf numFmtId="2" fontId="17" fillId="36" borderId="24" xfId="0" applyNumberFormat="1" applyFont="1" applyFill="1" applyBorder="1"/>
    <xf numFmtId="1" fontId="17" fillId="37" borderId="24" xfId="0" applyNumberFormat="1" applyFont="1" applyFill="1" applyBorder="1"/>
    <xf numFmtId="1" fontId="17" fillId="36" borderId="24" xfId="0" applyNumberFormat="1" applyFont="1" applyFill="1" applyBorder="1"/>
    <xf numFmtId="168" fontId="17" fillId="37" borderId="24" xfId="0" applyNumberFormat="1" applyFont="1" applyFill="1" applyBorder="1" applyAlignment="1">
      <alignment horizontal="right"/>
    </xf>
    <xf numFmtId="168" fontId="17" fillId="36" borderId="24" xfId="0" applyNumberFormat="1" applyFont="1" applyFill="1" applyBorder="1" applyAlignment="1">
      <alignment horizontal="right"/>
    </xf>
    <xf numFmtId="0" fontId="34" fillId="36" borderId="24" xfId="0" applyFont="1" applyFill="1" applyBorder="1" applyAlignment="1">
      <alignment horizontal="left" vertical="center"/>
    </xf>
    <xf numFmtId="0" fontId="25" fillId="23" borderId="24" xfId="1" applyFont="1" applyFill="1" applyBorder="1" applyAlignment="1">
      <alignment horizontal="left" vertical="center"/>
    </xf>
    <xf numFmtId="0" fontId="25" fillId="12" borderId="24" xfId="1" applyFont="1" applyFill="1" applyBorder="1" applyAlignment="1">
      <alignment horizontal="left" vertical="center"/>
    </xf>
    <xf numFmtId="0" fontId="25" fillId="7" borderId="24" xfId="1" applyFont="1" applyFill="1" applyBorder="1" applyAlignment="1">
      <alignment horizontal="left" vertical="center"/>
    </xf>
    <xf numFmtId="0" fontId="25" fillId="23" borderId="24" xfId="1" applyFont="1" applyFill="1" applyBorder="1"/>
    <xf numFmtId="0" fontId="17" fillId="23" borderId="24" xfId="0" applyFont="1" applyFill="1" applyBorder="1"/>
    <xf numFmtId="168" fontId="23" fillId="36" borderId="0" xfId="0" applyNumberFormat="1" applyFont="1" applyFill="1" applyAlignment="1">
      <alignment horizontal="right"/>
    </xf>
    <xf numFmtId="168" fontId="26" fillId="36" borderId="0" xfId="0" applyNumberFormat="1" applyFont="1" applyFill="1"/>
    <xf numFmtId="168" fontId="26" fillId="37" borderId="0" xfId="0" applyNumberFormat="1" applyFont="1" applyFill="1"/>
    <xf numFmtId="1" fontId="23" fillId="36" borderId="36" xfId="0" applyNumberFormat="1" applyFont="1" applyFill="1" applyBorder="1" applyAlignment="1">
      <alignment horizontal="right"/>
    </xf>
    <xf numFmtId="1" fontId="23" fillId="37" borderId="36" xfId="0" applyNumberFormat="1" applyFont="1" applyFill="1" applyBorder="1" applyAlignment="1">
      <alignment horizontal="right"/>
    </xf>
    <xf numFmtId="0" fontId="23" fillId="36" borderId="51" xfId="0" applyFont="1" applyFill="1" applyBorder="1" applyAlignment="1">
      <alignment horizontal="left" vertical="center"/>
    </xf>
    <xf numFmtId="168" fontId="23" fillId="36" borderId="51" xfId="0" applyNumberFormat="1" applyFont="1" applyFill="1" applyBorder="1" applyAlignment="1">
      <alignment horizontal="right"/>
    </xf>
    <xf numFmtId="168" fontId="26" fillId="36" borderId="51" xfId="0" applyNumberFormat="1" applyFont="1" applyFill="1" applyBorder="1"/>
    <xf numFmtId="0" fontId="25" fillId="35" borderId="24" xfId="1" applyFont="1" applyFill="1" applyBorder="1" applyAlignment="1">
      <alignment horizontal="left" vertical="center"/>
    </xf>
    <xf numFmtId="0" fontId="23" fillId="35" borderId="24" xfId="0" applyFont="1" applyFill="1" applyBorder="1" applyAlignment="1">
      <alignment horizontal="left" vertical="center"/>
    </xf>
    <xf numFmtId="0" fontId="23" fillId="20" borderId="24" xfId="0" applyFont="1" applyFill="1" applyBorder="1" applyAlignment="1">
      <alignment horizontal="left" vertical="center"/>
    </xf>
    <xf numFmtId="0" fontId="25" fillId="20" borderId="24" xfId="1" applyFont="1" applyFill="1" applyBorder="1" applyAlignment="1">
      <alignment horizontal="left" vertical="center"/>
    </xf>
    <xf numFmtId="0" fontId="14" fillId="36" borderId="24" xfId="1" applyFill="1" applyBorder="1" applyAlignment="1">
      <alignment horizontal="left" vertical="center"/>
    </xf>
    <xf numFmtId="168" fontId="12" fillId="0" borderId="0" xfId="0" applyNumberFormat="1" applyFont="1"/>
    <xf numFmtId="0" fontId="24" fillId="11" borderId="24" xfId="0" applyFont="1" applyFill="1" applyBorder="1"/>
    <xf numFmtId="168" fontId="23" fillId="11" borderId="24" xfId="0" applyNumberFormat="1" applyFont="1" applyFill="1" applyBorder="1" applyAlignment="1">
      <alignment horizontal="right"/>
    </xf>
    <xf numFmtId="0" fontId="23" fillId="11" borderId="24" xfId="0" applyFont="1" applyFill="1" applyBorder="1" applyAlignment="1">
      <alignment horizontal="left" vertical="center"/>
    </xf>
    <xf numFmtId="0" fontId="26" fillId="11" borderId="24" xfId="0" applyFont="1" applyFill="1" applyBorder="1" applyAlignment="1">
      <alignment horizontal="left"/>
    </xf>
    <xf numFmtId="168" fontId="26" fillId="11" borderId="33" xfId="0" applyNumberFormat="1" applyFont="1" applyFill="1" applyBorder="1"/>
    <xf numFmtId="1" fontId="23" fillId="11" borderId="24" xfId="0" applyNumberFormat="1" applyFont="1" applyFill="1" applyBorder="1" applyAlignment="1">
      <alignment horizontal="right"/>
    </xf>
    <xf numFmtId="0" fontId="23" fillId="11" borderId="33" xfId="0" applyFont="1" applyFill="1" applyBorder="1"/>
    <xf numFmtId="4" fontId="23" fillId="11" borderId="24" xfId="0" applyNumberFormat="1" applyFont="1" applyFill="1" applyBorder="1" applyAlignment="1">
      <alignment horizontal="right"/>
    </xf>
    <xf numFmtId="0" fontId="24" fillId="11" borderId="24" xfId="0" applyFont="1" applyFill="1" applyBorder="1" applyAlignment="1">
      <alignment horizontal="left"/>
    </xf>
    <xf numFmtId="0" fontId="24" fillId="11" borderId="0" xfId="0" applyFont="1" applyFill="1" applyAlignment="1">
      <alignment horizontal="left"/>
    </xf>
    <xf numFmtId="0" fontId="23" fillId="11" borderId="0" xfId="0" applyFont="1" applyFill="1"/>
    <xf numFmtId="0" fontId="17" fillId="11" borderId="24" xfId="0" applyFont="1" applyFill="1" applyBorder="1" applyAlignment="1">
      <alignment horizontal="right"/>
    </xf>
    <xf numFmtId="0" fontId="23" fillId="11" borderId="24" xfId="0" applyFont="1" applyFill="1" applyBorder="1" applyAlignment="1">
      <alignment horizontal="left"/>
    </xf>
    <xf numFmtId="0" fontId="30" fillId="11" borderId="24" xfId="0" applyFont="1" applyFill="1" applyBorder="1" applyAlignment="1">
      <alignment horizontal="left"/>
    </xf>
    <xf numFmtId="0" fontId="24" fillId="11" borderId="33" xfId="0" applyFont="1" applyFill="1" applyBorder="1"/>
    <xf numFmtId="168" fontId="23" fillId="11" borderId="33" xfId="0" applyNumberFormat="1" applyFont="1" applyFill="1" applyBorder="1"/>
    <xf numFmtId="44" fontId="23" fillId="11" borderId="24" xfId="0" applyNumberFormat="1" applyFont="1" applyFill="1" applyBorder="1" applyAlignment="1">
      <alignment horizontal="right"/>
    </xf>
    <xf numFmtId="4" fontId="23" fillId="11" borderId="24" xfId="0" applyNumberFormat="1" applyFont="1" applyFill="1" applyBorder="1" applyAlignment="1">
      <alignment horizontal="left"/>
    </xf>
    <xf numFmtId="4" fontId="23" fillId="11" borderId="0" xfId="0" applyNumberFormat="1" applyFont="1" applyFill="1" applyAlignment="1">
      <alignment horizontal="left"/>
    </xf>
    <xf numFmtId="0" fontId="29"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35" fillId="13" borderId="0" xfId="0" applyFont="1" applyFill="1" applyAlignment="1">
      <alignment horizontal="center" vertical="center" wrapText="1"/>
    </xf>
    <xf numFmtId="0" fontId="35" fillId="14" borderId="0" xfId="0" applyFont="1" applyFill="1" applyAlignment="1">
      <alignment horizontal="center" vertical="center" wrapText="1"/>
    </xf>
    <xf numFmtId="0" fontId="35" fillId="15" borderId="0" xfId="0" applyFont="1" applyFill="1" applyAlignment="1">
      <alignment horizontal="center" vertical="center" wrapText="1"/>
    </xf>
    <xf numFmtId="0" fontId="35" fillId="15" borderId="0" xfId="0" applyFont="1" applyFill="1" applyAlignment="1">
      <alignment horizontal="center" vertical="center"/>
    </xf>
    <xf numFmtId="0" fontId="24" fillId="0" borderId="0" xfId="0" applyFont="1" applyAlignment="1">
      <alignment wrapText="1"/>
    </xf>
    <xf numFmtId="0" fontId="17" fillId="0" borderId="0" xfId="0" applyFont="1"/>
    <xf numFmtId="0" fontId="24" fillId="20" borderId="0" xfId="0" applyFont="1" applyFill="1"/>
    <xf numFmtId="0" fontId="24" fillId="20" borderId="0" xfId="0" applyFont="1" applyFill="1" applyAlignment="1">
      <alignment horizontal="left"/>
    </xf>
    <xf numFmtId="0" fontId="24" fillId="20" borderId="0" xfId="0" applyFont="1" applyFill="1" applyAlignment="1">
      <alignment horizontal="right"/>
    </xf>
    <xf numFmtId="168" fontId="24" fillId="20" borderId="0" xfId="0" applyNumberFormat="1" applyFont="1" applyFill="1" applyAlignment="1">
      <alignment horizontal="right"/>
    </xf>
    <xf numFmtId="0" fontId="24" fillId="0" borderId="0" xfId="0" applyFont="1"/>
    <xf numFmtId="14" fontId="24" fillId="20" borderId="0" xfId="0" applyNumberFormat="1" applyFont="1" applyFill="1"/>
    <xf numFmtId="0" fontId="24" fillId="21" borderId="0" xfId="0" applyFont="1" applyFill="1"/>
    <xf numFmtId="0" fontId="24" fillId="22" borderId="0" xfId="0" applyFont="1" applyFill="1"/>
    <xf numFmtId="0" fontId="17" fillId="2" borderId="0" xfId="0" applyFont="1" applyFill="1"/>
    <xf numFmtId="0" fontId="24" fillId="2" borderId="0" xfId="0" applyFont="1" applyFill="1"/>
    <xf numFmtId="0" fontId="24" fillId="2" borderId="0" xfId="0" applyFont="1" applyFill="1" applyAlignment="1">
      <alignment horizontal="right"/>
    </xf>
    <xf numFmtId="168" fontId="24" fillId="2" borderId="0" xfId="0" applyNumberFormat="1" applyFont="1" applyFill="1" applyAlignment="1">
      <alignment horizontal="right"/>
    </xf>
    <xf numFmtId="0" fontId="24" fillId="21" borderId="0" xfId="0" applyFont="1" applyFill="1" applyAlignment="1">
      <alignment horizontal="right"/>
    </xf>
    <xf numFmtId="168" fontId="24" fillId="21" borderId="0" xfId="0" applyNumberFormat="1" applyFont="1" applyFill="1" applyAlignment="1">
      <alignment horizontal="right"/>
    </xf>
    <xf numFmtId="14" fontId="24" fillId="21" borderId="0" xfId="0" applyNumberFormat="1" applyFont="1" applyFill="1"/>
    <xf numFmtId="0" fontId="24" fillId="22" borderId="0" xfId="0" applyFont="1" applyFill="1" applyAlignment="1">
      <alignment horizontal="right"/>
    </xf>
    <xf numFmtId="168" fontId="24" fillId="22" borderId="0" xfId="0" applyNumberFormat="1" applyFont="1" applyFill="1" applyAlignment="1">
      <alignment horizontal="right"/>
    </xf>
    <xf numFmtId="0" fontId="17" fillId="22" borderId="0" xfId="0" applyFont="1" applyFill="1"/>
    <xf numFmtId="0" fontId="36"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8" fillId="22" borderId="0" xfId="0" applyFont="1" applyFill="1" applyAlignment="1">
      <alignment horizontal="right"/>
    </xf>
    <xf numFmtId="0" fontId="28" fillId="20" borderId="0" xfId="0" applyFont="1" applyFill="1"/>
    <xf numFmtId="0" fontId="17" fillId="20" borderId="0" xfId="0" applyFont="1" applyFill="1"/>
    <xf numFmtId="0" fontId="24" fillId="34" borderId="0" xfId="0" applyFont="1" applyFill="1"/>
    <xf numFmtId="0" fontId="28" fillId="34" borderId="0" xfId="0" applyFont="1" applyFill="1"/>
    <xf numFmtId="0" fontId="17" fillId="34" borderId="0" xfId="0" applyFont="1" applyFill="1"/>
    <xf numFmtId="0" fontId="28" fillId="2" borderId="0" xfId="0" applyFont="1" applyFill="1"/>
    <xf numFmtId="0" fontId="28" fillId="22" borderId="0" xfId="0" applyFont="1" applyFill="1"/>
    <xf numFmtId="0" fontId="14" fillId="37" borderId="24" xfId="1" applyFill="1" applyBorder="1" applyAlignment="1">
      <alignment horizontal="left" vertical="center"/>
    </xf>
    <xf numFmtId="0" fontId="34" fillId="37" borderId="24" xfId="0" applyFont="1" applyFill="1" applyBorder="1" applyAlignment="1">
      <alignment horizontal="left" vertical="center"/>
    </xf>
    <xf numFmtId="0" fontId="14" fillId="23" borderId="24" xfId="1" applyFill="1" applyBorder="1" applyAlignment="1">
      <alignment horizontal="left" vertical="center"/>
    </xf>
    <xf numFmtId="0" fontId="17" fillId="37" borderId="24" xfId="0" applyFont="1" applyFill="1" applyBorder="1" applyAlignment="1">
      <alignment horizontal="right" wrapText="1"/>
    </xf>
    <xf numFmtId="0" fontId="23" fillId="34" borderId="24" xfId="0" applyFont="1" applyFill="1" applyBorder="1" applyAlignment="1">
      <alignment horizontal="left" vertical="center"/>
    </xf>
    <xf numFmtId="0" fontId="25" fillId="34" borderId="24" xfId="1" applyFont="1" applyFill="1" applyBorder="1" applyAlignment="1">
      <alignment horizontal="left" vertical="center"/>
    </xf>
    <xf numFmtId="0" fontId="23" fillId="39" borderId="24" xfId="0" applyFont="1" applyFill="1" applyBorder="1" applyAlignment="1">
      <alignment horizontal="left" vertical="center"/>
    </xf>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37"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0" fontId="38" fillId="45" borderId="25" xfId="0" applyFont="1" applyFill="1" applyBorder="1"/>
    <xf numFmtId="0" fontId="38"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45" borderId="29" xfId="0" applyFill="1" applyBorder="1"/>
    <xf numFmtId="168" fontId="0" fillId="45" borderId="27"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9" fillId="11" borderId="56" xfId="0" applyFont="1" applyFill="1" applyBorder="1"/>
    <xf numFmtId="168" fontId="39"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17" fillId="36" borderId="49" xfId="0" applyFont="1" applyFill="1" applyBorder="1"/>
    <xf numFmtId="0" fontId="17" fillId="37" borderId="49" xfId="0" applyFont="1" applyFill="1" applyBorder="1"/>
    <xf numFmtId="0" fontId="24" fillId="36" borderId="34" xfId="0" applyFont="1" applyFill="1" applyBorder="1"/>
    <xf numFmtId="0" fontId="24" fillId="36" borderId="57" xfId="0" applyFont="1" applyFill="1" applyBorder="1" applyAlignment="1">
      <alignment horizontal="left"/>
    </xf>
    <xf numFmtId="0" fontId="24" fillId="36" borderId="57" xfId="0" applyFont="1" applyFill="1" applyBorder="1"/>
    <xf numFmtId="0" fontId="24" fillId="37" borderId="57" xfId="0" applyFont="1" applyFill="1" applyBorder="1" applyAlignment="1">
      <alignment horizontal="left"/>
    </xf>
    <xf numFmtId="0" fontId="24" fillId="37" borderId="57" xfId="0" applyFont="1" applyFill="1" applyBorder="1"/>
    <xf numFmtId="0" fontId="40" fillId="37" borderId="24" xfId="0" applyFont="1" applyFill="1" applyBorder="1" applyAlignment="1">
      <alignment horizontal="left" vertical="center"/>
    </xf>
    <xf numFmtId="0" fontId="40" fillId="36" borderId="24" xfId="0" applyFont="1" applyFill="1" applyBorder="1" applyAlignment="1">
      <alignment horizontal="left" vertical="center"/>
    </xf>
    <xf numFmtId="0" fontId="23" fillId="12" borderId="24" xfId="0" applyFont="1" applyFill="1" applyBorder="1" applyAlignment="1">
      <alignment horizontal="left" vertical="center"/>
    </xf>
    <xf numFmtId="0" fontId="17" fillId="36" borderId="24" xfId="0" applyFont="1" applyFill="1" applyBorder="1" applyAlignment="1">
      <alignment horizontal="right" wrapText="1"/>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41" fillId="47" borderId="0" xfId="0" applyFont="1" applyFill="1"/>
    <xf numFmtId="0" fontId="25" fillId="24" borderId="24" xfId="1" applyFont="1" applyFill="1" applyBorder="1" applyAlignment="1">
      <alignment horizontal="left" vertical="center"/>
    </xf>
    <xf numFmtId="0" fontId="42" fillId="28" borderId="0" xfId="0" applyFont="1" applyFill="1"/>
    <xf numFmtId="0" fontId="1" fillId="48" borderId="0" xfId="0" applyFont="1" applyFill="1"/>
    <xf numFmtId="0" fontId="42" fillId="49" borderId="0" xfId="0" applyFont="1" applyFill="1"/>
    <xf numFmtId="0" fontId="1" fillId="50" borderId="0" xfId="0" applyFont="1" applyFill="1"/>
    <xf numFmtId="0" fontId="1" fillId="51" borderId="0" xfId="0" applyFont="1" applyFill="1"/>
    <xf numFmtId="0" fontId="1" fillId="52" borderId="0" xfId="0" applyFont="1" applyFill="1"/>
    <xf numFmtId="0" fontId="43"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0" fontId="1" fillId="0" borderId="37" xfId="0" applyFont="1" applyBorder="1"/>
    <xf numFmtId="168" fontId="0" fillId="0" borderId="37" xfId="0" applyNumberFormat="1" applyBorder="1"/>
    <xf numFmtId="169" fontId="0" fillId="0" borderId="0" xfId="0" applyNumberFormat="1"/>
    <xf numFmtId="168" fontId="0" fillId="0" borderId="55" xfId="0" applyNumberFormat="1" applyBorder="1"/>
    <xf numFmtId="168" fontId="0" fillId="0" borderId="27" xfId="0" applyNumberFormat="1" applyBorder="1"/>
    <xf numFmtId="168" fontId="0" fillId="0" borderId="30" xfId="0" applyNumberFormat="1" applyBorder="1"/>
    <xf numFmtId="169" fontId="0" fillId="0" borderId="58" xfId="0" applyNumberFormat="1" applyBorder="1"/>
    <xf numFmtId="170" fontId="23" fillId="0" borderId="0" xfId="0" applyNumberFormat="1" applyFont="1"/>
    <xf numFmtId="170" fontId="23" fillId="0" borderId="51" xfId="0" applyNumberFormat="1" applyFont="1" applyBorder="1"/>
    <xf numFmtId="2" fontId="22" fillId="36" borderId="24" xfId="0" applyNumberFormat="1" applyFont="1" applyFill="1" applyBorder="1"/>
    <xf numFmtId="2" fontId="22" fillId="37" borderId="24" xfId="0" applyNumberFormat="1" applyFont="1" applyFill="1" applyBorder="1"/>
    <xf numFmtId="2" fontId="22" fillId="11" borderId="24" xfId="0" applyNumberFormat="1" applyFont="1" applyFill="1" applyBorder="1"/>
    <xf numFmtId="168" fontId="24" fillId="36" borderId="24" xfId="0" applyNumberFormat="1" applyFont="1" applyFill="1" applyBorder="1"/>
    <xf numFmtId="168" fontId="24" fillId="37" borderId="24" xfId="0" applyNumberFormat="1" applyFont="1" applyFill="1" applyBorder="1"/>
    <xf numFmtId="168" fontId="24" fillId="37" borderId="33" xfId="0" applyNumberFormat="1" applyFont="1" applyFill="1" applyBorder="1"/>
    <xf numFmtId="168" fontId="23" fillId="36" borderId="24" xfId="0" applyNumberFormat="1" applyFont="1" applyFill="1" applyBorder="1" applyAlignment="1">
      <alignment horizontal="left"/>
    </xf>
    <xf numFmtId="44" fontId="23" fillId="36" borderId="24" xfId="0" applyNumberFormat="1" applyFont="1" applyFill="1" applyBorder="1" applyAlignment="1">
      <alignment horizontal="left"/>
    </xf>
    <xf numFmtId="44" fontId="23" fillId="37" borderId="24" xfId="0" applyNumberFormat="1" applyFont="1" applyFill="1" applyBorder="1" applyAlignment="1">
      <alignment horizontal="left"/>
    </xf>
    <xf numFmtId="44" fontId="17" fillId="37" borderId="24" xfId="0" applyNumberFormat="1" applyFont="1" applyFill="1" applyBorder="1" applyAlignment="1">
      <alignment horizontal="left"/>
    </xf>
    <xf numFmtId="44" fontId="17" fillId="36" borderId="24" xfId="0" applyNumberFormat="1" applyFont="1" applyFill="1" applyBorder="1" applyAlignment="1">
      <alignment horizontal="left"/>
    </xf>
    <xf numFmtId="44" fontId="17" fillId="11" borderId="24" xfId="0" applyNumberFormat="1" applyFont="1" applyFill="1" applyBorder="1" applyAlignment="1">
      <alignment horizontal="left"/>
    </xf>
    <xf numFmtId="0" fontId="44" fillId="0" borderId="59" xfId="0" applyFont="1" applyBorder="1"/>
    <xf numFmtId="165" fontId="44" fillId="0" borderId="59" xfId="0" applyNumberFormat="1" applyFont="1" applyBorder="1"/>
    <xf numFmtId="165" fontId="0" fillId="0" borderId="0" xfId="0" applyNumberFormat="1"/>
    <xf numFmtId="168" fontId="24" fillId="20" borderId="0" xfId="0" applyNumberFormat="1" applyFont="1" applyFill="1" applyAlignment="1">
      <alignment horizontal="left"/>
    </xf>
    <xf numFmtId="168" fontId="24" fillId="2" borderId="0" xfId="0" applyNumberFormat="1" applyFont="1" applyFill="1" applyAlignment="1">
      <alignment horizontal="left"/>
    </xf>
    <xf numFmtId="168" fontId="24" fillId="21" borderId="0" xfId="0" applyNumberFormat="1" applyFont="1" applyFill="1" applyAlignment="1">
      <alignment horizontal="left"/>
    </xf>
    <xf numFmtId="168" fontId="24" fillId="22" borderId="0" xfId="0" applyNumberFormat="1" applyFont="1" applyFill="1" applyAlignment="1">
      <alignment horizontal="left"/>
    </xf>
    <xf numFmtId="168" fontId="24" fillId="34"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0" fontId="24" fillId="57" borderId="0" xfId="0" applyFont="1" applyFill="1"/>
    <xf numFmtId="0" fontId="28" fillId="57" borderId="0" xfId="0" applyFont="1" applyFill="1"/>
    <xf numFmtId="0" fontId="17" fillId="57" borderId="0" xfId="0" applyFont="1" applyFill="1" applyAlignment="1">
      <alignment horizontal="center"/>
    </xf>
    <xf numFmtId="0" fontId="17" fillId="57" borderId="0" xfId="0" applyFont="1" applyFill="1"/>
    <xf numFmtId="168" fontId="24" fillId="57" borderId="0" xfId="0" applyNumberFormat="1" applyFont="1" applyFill="1" applyAlignment="1">
      <alignment horizontal="left"/>
    </xf>
    <xf numFmtId="0" fontId="17" fillId="57" borderId="0" xfId="0" applyFont="1" applyFill="1" applyAlignment="1">
      <alignment horizontal="left"/>
    </xf>
    <xf numFmtId="0" fontId="24" fillId="57" borderId="0" xfId="0" applyFont="1" applyFill="1" applyAlignment="1">
      <alignment horizontal="left" wrapText="1"/>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0" fontId="23" fillId="37" borderId="24" xfId="0" applyFont="1" applyFill="1" applyBorder="1" applyAlignment="1">
      <alignment horizontal="left" vertical="center" wrapText="1"/>
    </xf>
    <xf numFmtId="168" fontId="1" fillId="41" borderId="0" xfId="0" applyNumberFormat="1" applyFont="1" applyFill="1"/>
    <xf numFmtId="168" fontId="17" fillId="57" borderId="0" xfId="0" applyNumberFormat="1" applyFont="1" applyFill="1" applyAlignment="1">
      <alignment horizontal="left"/>
    </xf>
    <xf numFmtId="168" fontId="17" fillId="2" borderId="0" xfId="0" applyNumberFormat="1" applyFont="1" applyFill="1" applyAlignment="1">
      <alignment horizontal="left"/>
    </xf>
    <xf numFmtId="1" fontId="29" fillId="36" borderId="24" xfId="0" applyNumberFormat="1" applyFont="1" applyFill="1" applyBorder="1"/>
    <xf numFmtId="1" fontId="24" fillId="37" borderId="24" xfId="0" applyNumberFormat="1" applyFont="1" applyFill="1" applyBorder="1"/>
    <xf numFmtId="1" fontId="24" fillId="36" borderId="24" xfId="0" applyNumberFormat="1" applyFont="1" applyFill="1" applyBorder="1"/>
    <xf numFmtId="1" fontId="32" fillId="37" borderId="24" xfId="0" applyNumberFormat="1" applyFont="1" applyFill="1" applyBorder="1"/>
    <xf numFmtId="1" fontId="24" fillId="37" borderId="24" xfId="0" applyNumberFormat="1" applyFont="1" applyFill="1" applyBorder="1" applyAlignment="1">
      <alignment wrapText="1"/>
    </xf>
    <xf numFmtId="1" fontId="24" fillId="36" borderId="24" xfId="0" applyNumberFormat="1" applyFont="1" applyFill="1" applyBorder="1" applyAlignment="1">
      <alignment wrapText="1"/>
    </xf>
    <xf numFmtId="1" fontId="0" fillId="37" borderId="24" xfId="0" applyNumberFormat="1" applyFill="1" applyBorder="1"/>
    <xf numFmtId="168" fontId="0" fillId="40" borderId="0" xfId="0" applyNumberFormat="1" applyFill="1" applyAlignment="1">
      <alignment horizontal="left"/>
    </xf>
    <xf numFmtId="2" fontId="17" fillId="11" borderId="36" xfId="0" applyNumberFormat="1" applyFont="1" applyFill="1" applyBorder="1"/>
    <xf numFmtId="0" fontId="18" fillId="27" borderId="60" xfId="0" applyFont="1" applyFill="1" applyBorder="1" applyAlignment="1">
      <alignment wrapText="1"/>
    </xf>
    <xf numFmtId="168" fontId="23" fillId="0" borderId="60" xfId="0" applyNumberFormat="1" applyFont="1" applyBorder="1"/>
    <xf numFmtId="170" fontId="23" fillId="0" borderId="60" xfId="0" applyNumberFormat="1" applyFont="1" applyBorder="1"/>
    <xf numFmtId="0" fontId="23" fillId="0" borderId="60" xfId="0" applyFont="1" applyBorder="1"/>
    <xf numFmtId="2" fontId="23" fillId="0" borderId="60" xfId="0" applyNumberFormat="1" applyFont="1" applyBorder="1"/>
    <xf numFmtId="0" fontId="45" fillId="58" borderId="0" xfId="0" applyFont="1" applyFill="1"/>
    <xf numFmtId="0" fontId="45" fillId="58" borderId="0" xfId="0" applyFont="1" applyFill="1">
      <extLst>
        <ext xmlns:xfpb="http://schemas.microsoft.com/office/spreadsheetml/2022/featurepropertybag" uri="{C7286773-470A-42A8-94C5-96B5CB345126}">
          <xfpb:xfComplement i="0"/>
        </ext>
      </extLst>
    </xf>
    <xf numFmtId="0" fontId="46" fillId="58" borderId="0" xfId="1" applyFont="1" applyFill="1"/>
    <xf numFmtId="168" fontId="45" fillId="58" borderId="0" xfId="0" applyNumberFormat="1" applyFont="1" applyFill="1"/>
    <xf numFmtId="0" fontId="45" fillId="41" borderId="0" xfId="0" applyFont="1" applyFill="1">
      <extLst>
        <ext xmlns:xfpb="http://schemas.microsoft.com/office/spreadsheetml/2022/featurepropertybag" uri="{C7286773-470A-42A8-94C5-96B5CB345126}">
          <xfpb:xfComplement i="0"/>
        </ext>
      </extLst>
    </xf>
    <xf numFmtId="0" fontId="46" fillId="41" borderId="0" xfId="1" applyFont="1" applyFill="1"/>
    <xf numFmtId="0" fontId="45" fillId="41" borderId="0" xfId="0" applyFont="1" applyFill="1"/>
    <xf numFmtId="168" fontId="45" fillId="41" borderId="0" xfId="0" applyNumberFormat="1" applyFont="1" applyFill="1"/>
    <xf numFmtId="0" fontId="45" fillId="35" borderId="0" xfId="0" applyFont="1" applyFill="1"/>
    <xf numFmtId="168" fontId="2" fillId="45" borderId="0" xfId="0" applyNumberFormat="1" applyFont="1" applyFill="1" applyAlignment="1">
      <alignment horizontal="center"/>
    </xf>
    <xf numFmtId="0" fontId="45" fillId="40" borderId="0" xfId="0" applyFont="1" applyFill="1">
      <extLst>
        <ext xmlns:xfpb="http://schemas.microsoft.com/office/spreadsheetml/2022/featurepropertybag" uri="{C7286773-470A-42A8-94C5-96B5CB345126}">
          <xfpb:xfComplement i="0"/>
        </ext>
      </extLst>
    </xf>
    <xf numFmtId="0" fontId="46" fillId="40" borderId="0" xfId="1" applyFont="1" applyFill="1"/>
    <xf numFmtId="0" fontId="45" fillId="40" borderId="0" xfId="0" applyFont="1" applyFill="1"/>
    <xf numFmtId="168" fontId="45" fillId="40" borderId="0" xfId="0" applyNumberFormat="1" applyFont="1" applyFill="1"/>
    <xf numFmtId="0" fontId="45" fillId="44" borderId="0" xfId="0" applyFont="1" applyFill="1"/>
    <xf numFmtId="0" fontId="2" fillId="41" borderId="0" xfId="0" applyFont="1" applyFill="1">
      <extLst>
        <ext xmlns:xfpb="http://schemas.microsoft.com/office/spreadsheetml/2022/featurepropertybag" uri="{C7286773-470A-42A8-94C5-96B5CB345126}">
          <xfpb:xfComplement i="0"/>
        </ext>
      </extLst>
    </xf>
    <xf numFmtId="0" fontId="47" fillId="41" borderId="0" xfId="1" applyFont="1" applyFill="1"/>
    <xf numFmtId="0" fontId="2" fillId="41" borderId="0" xfId="0" applyFont="1" applyFill="1"/>
    <xf numFmtId="168" fontId="2" fillId="41" borderId="0" xfId="0" applyNumberFormat="1" applyFont="1" applyFill="1"/>
    <xf numFmtId="0" fontId="2" fillId="35" borderId="0" xfId="0" applyFont="1" applyFill="1"/>
    <xf numFmtId="168" fontId="24" fillId="36" borderId="0" xfId="0" applyNumberFormat="1" applyFont="1" applyFill="1"/>
    <xf numFmtId="168" fontId="23" fillId="37" borderId="0" xfId="0" applyNumberFormat="1" applyFont="1" applyFill="1" applyAlignment="1">
      <alignment horizontal="right"/>
    </xf>
    <xf numFmtId="2" fontId="17" fillId="37" borderId="0" xfId="0" applyNumberFormat="1" applyFont="1" applyFill="1"/>
    <xf numFmtId="4" fontId="23" fillId="36" borderId="49" xfId="0" applyNumberFormat="1" applyFont="1" applyFill="1" applyBorder="1" applyAlignment="1">
      <alignment horizontal="right"/>
    </xf>
    <xf numFmtId="4" fontId="23" fillId="36" borderId="57" xfId="0" applyNumberFormat="1" applyFont="1" applyFill="1" applyBorder="1" applyAlignment="1">
      <alignment horizontal="left"/>
    </xf>
    <xf numFmtId="0" fontId="23" fillId="36" borderId="34" xfId="0" applyFont="1" applyFill="1" applyBorder="1"/>
    <xf numFmtId="0" fontId="24" fillId="18" borderId="33" xfId="0" applyFont="1" applyFill="1" applyBorder="1"/>
    <xf numFmtId="0" fontId="17" fillId="37" borderId="33" xfId="0" applyFont="1" applyFill="1" applyBorder="1"/>
    <xf numFmtId="0" fontId="17" fillId="36" borderId="0" xfId="0" applyFont="1" applyFill="1"/>
    <xf numFmtId="0" fontId="17" fillId="36" borderId="33" xfId="0" applyFont="1" applyFill="1" applyBorder="1"/>
    <xf numFmtId="0" fontId="17" fillId="0" borderId="32" xfId="0" applyFont="1" applyBorder="1"/>
    <xf numFmtId="0" fontId="24" fillId="18" borderId="24" xfId="0" applyFont="1" applyFill="1" applyBorder="1"/>
    <xf numFmtId="0" fontId="24" fillId="18" borderId="0" xfId="0" applyFont="1" applyFill="1"/>
    <xf numFmtId="0" fontId="17" fillId="37" borderId="32" xfId="0" applyFont="1" applyFill="1" applyBorder="1"/>
    <xf numFmtId="0" fontId="17" fillId="36" borderId="32" xfId="0" applyFont="1" applyFill="1" applyBorder="1"/>
    <xf numFmtId="168" fontId="24" fillId="37" borderId="0" xfId="0" applyNumberFormat="1" applyFont="1" applyFill="1"/>
    <xf numFmtId="168" fontId="49" fillId="60" borderId="0" xfId="0" applyNumberFormat="1" applyFont="1" applyFill="1"/>
    <xf numFmtId="168" fontId="50" fillId="59" borderId="0" xfId="0" applyNumberFormat="1" applyFont="1" applyFill="1"/>
    <xf numFmtId="168" fontId="50" fillId="60" borderId="0" xfId="0" applyNumberFormat="1" applyFont="1" applyFill="1"/>
    <xf numFmtId="168" fontId="49" fillId="59" borderId="0" xfId="0" applyNumberFormat="1" applyFont="1" applyFill="1"/>
    <xf numFmtId="168" fontId="51" fillId="60" borderId="0" xfId="0" applyNumberFormat="1" applyFont="1" applyFill="1"/>
    <xf numFmtId="168" fontId="51" fillId="59" borderId="0" xfId="0" applyNumberFormat="1" applyFont="1" applyFill="1"/>
    <xf numFmtId="168" fontId="48" fillId="59" borderId="0" xfId="0" applyNumberFormat="1" applyFont="1" applyFill="1"/>
    <xf numFmtId="168" fontId="48" fillId="60" borderId="0" xfId="0" applyNumberFormat="1" applyFont="1" applyFill="1"/>
    <xf numFmtId="168" fontId="52" fillId="59" borderId="0" xfId="0" applyNumberFormat="1" applyFont="1" applyFill="1"/>
    <xf numFmtId="168" fontId="53" fillId="60" borderId="0" xfId="0" applyNumberFormat="1" applyFont="1" applyFill="1"/>
    <xf numFmtId="168" fontId="53" fillId="59" borderId="0" xfId="0" applyNumberFormat="1" applyFont="1" applyFill="1"/>
    <xf numFmtId="168" fontId="50" fillId="60" borderId="62" xfId="0" applyNumberFormat="1" applyFont="1" applyFill="1" applyBorder="1"/>
    <xf numFmtId="168" fontId="50" fillId="59" borderId="62" xfId="0" applyNumberFormat="1" applyFont="1" applyFill="1" applyBorder="1"/>
    <xf numFmtId="168" fontId="48" fillId="59" borderId="62" xfId="0" applyNumberFormat="1" applyFont="1" applyFill="1" applyBorder="1"/>
    <xf numFmtId="168" fontId="51" fillId="59" borderId="62" xfId="0" applyNumberFormat="1" applyFont="1" applyFill="1" applyBorder="1"/>
    <xf numFmtId="168" fontId="17" fillId="36" borderId="36" xfId="0" applyNumberFormat="1" applyFont="1" applyFill="1" applyBorder="1"/>
    <xf numFmtId="168" fontId="17" fillId="37" borderId="36" xfId="0" applyNumberFormat="1" applyFont="1" applyFill="1" applyBorder="1"/>
    <xf numFmtId="168" fontId="17" fillId="11" borderId="36" xfId="0" applyNumberFormat="1" applyFont="1" applyFill="1" applyBorder="1"/>
    <xf numFmtId="1" fontId="24" fillId="37" borderId="0" xfId="0" applyNumberFormat="1" applyFont="1" applyFill="1"/>
    <xf numFmtId="0" fontId="17" fillId="37" borderId="0" xfId="0" applyFont="1" applyFill="1"/>
    <xf numFmtId="0" fontId="23" fillId="37" borderId="0" xfId="0" applyFont="1" applyFill="1" applyAlignment="1">
      <alignment horizontal="left" vertical="center"/>
    </xf>
    <xf numFmtId="0" fontId="23" fillId="36" borderId="0" xfId="0" applyFont="1" applyFill="1" applyAlignment="1">
      <alignment horizontal="left" vertical="center"/>
    </xf>
    <xf numFmtId="0" fontId="23" fillId="36" borderId="50" xfId="0" applyFont="1" applyFill="1" applyBorder="1" applyAlignment="1">
      <alignment horizontal="left" vertical="center"/>
    </xf>
    <xf numFmtId="0" fontId="17" fillId="37" borderId="0" xfId="0" applyFont="1" applyFill="1" applyAlignment="1">
      <alignment horizontal="right"/>
    </xf>
    <xf numFmtId="0" fontId="17" fillId="36" borderId="0" xfId="0" applyFont="1" applyFill="1" applyAlignment="1">
      <alignment horizontal="right"/>
    </xf>
    <xf numFmtId="4" fontId="23" fillId="36" borderId="50" xfId="0" applyNumberFormat="1" applyFont="1" applyFill="1" applyBorder="1" applyAlignment="1">
      <alignment horizontal="right"/>
    </xf>
    <xf numFmtId="4" fontId="23" fillId="36" borderId="0" xfId="0" applyNumberFormat="1" applyFont="1" applyFill="1" applyAlignment="1">
      <alignment horizontal="right"/>
    </xf>
    <xf numFmtId="4" fontId="23" fillId="37" borderId="0" xfId="0" applyNumberFormat="1" applyFont="1" applyFill="1" applyAlignment="1">
      <alignment horizontal="right"/>
    </xf>
    <xf numFmtId="0" fontId="23" fillId="36" borderId="50" xfId="0" applyFont="1" applyFill="1" applyBorder="1" applyAlignment="1">
      <alignment horizontal="left"/>
    </xf>
    <xf numFmtId="0" fontId="23" fillId="36" borderId="0" xfId="0" applyFont="1" applyFill="1" applyAlignment="1">
      <alignment horizontal="left"/>
    </xf>
    <xf numFmtId="0" fontId="23" fillId="37" borderId="0" xfId="0" applyFont="1" applyFill="1" applyAlignment="1">
      <alignment horizontal="left"/>
    </xf>
    <xf numFmtId="0" fontId="26" fillId="36" borderId="0" xfId="0" applyFont="1" applyFill="1" applyAlignment="1">
      <alignment horizontal="left"/>
    </xf>
    <xf numFmtId="0" fontId="23" fillId="36" borderId="51" xfId="0" applyFont="1" applyFill="1" applyBorder="1" applyAlignment="1">
      <alignment horizontal="left"/>
    </xf>
    <xf numFmtId="0" fontId="26" fillId="37" borderId="0" xfId="0" applyFont="1" applyFill="1" applyAlignment="1">
      <alignment horizontal="left"/>
    </xf>
    <xf numFmtId="168" fontId="50" fillId="60" borderId="34" xfId="0" applyNumberFormat="1" applyFont="1" applyFill="1" applyBorder="1"/>
    <xf numFmtId="168" fontId="51" fillId="60" borderId="62" xfId="0" applyNumberFormat="1" applyFont="1" applyFill="1" applyBorder="1"/>
    <xf numFmtId="4" fontId="23" fillId="37" borderId="49" xfId="0" applyNumberFormat="1" applyFont="1" applyFill="1" applyBorder="1" applyAlignment="1">
      <alignment horizontal="right"/>
    </xf>
    <xf numFmtId="4" fontId="23" fillId="37" borderId="57" xfId="0" applyNumberFormat="1" applyFont="1" applyFill="1" applyBorder="1" applyAlignment="1">
      <alignment horizontal="left"/>
    </xf>
    <xf numFmtId="0" fontId="23" fillId="37" borderId="34" xfId="0" applyFont="1" applyFill="1" applyBorder="1"/>
    <xf numFmtId="168" fontId="17" fillId="37" borderId="0" xfId="0" applyNumberFormat="1" applyFont="1" applyFill="1"/>
    <xf numFmtId="1" fontId="17" fillId="11" borderId="0" xfId="0" applyNumberFormat="1" applyFont="1" applyFill="1"/>
    <xf numFmtId="0" fontId="24" fillId="16" borderId="0" xfId="0" applyFont="1" applyFill="1"/>
    <xf numFmtId="0" fontId="17" fillId="36" borderId="0" xfId="0" applyFont="1" applyFill="1" applyAlignment="1">
      <alignment horizontal="left"/>
    </xf>
    <xf numFmtId="168" fontId="17" fillId="36" borderId="0" xfId="0" applyNumberFormat="1" applyFont="1" applyFill="1"/>
    <xf numFmtId="168" fontId="48" fillId="60" borderId="62" xfId="0" applyNumberFormat="1" applyFont="1" applyFill="1" applyBorder="1"/>
    <xf numFmtId="168" fontId="51" fillId="60" borderId="61" xfId="0" applyNumberFormat="1" applyFont="1" applyFill="1" applyBorder="1"/>
    <xf numFmtId="0" fontId="24" fillId="16" borderId="24" xfId="0" applyFont="1" applyFill="1" applyBorder="1"/>
    <xf numFmtId="0" fontId="0" fillId="43" borderId="0" xfId="0" applyFill="1" applyAlignment="1">
      <alignment horizontal="center" wrapText="1"/>
    </xf>
    <xf numFmtId="0" fontId="8" fillId="53" borderId="0" xfId="0" applyFont="1" applyFill="1" applyAlignment="1">
      <alignment horizontal="left"/>
    </xf>
    <xf numFmtId="0" fontId="8" fillId="54" borderId="0" xfId="0" applyFont="1" applyFill="1" applyAlignment="1">
      <alignment horizontal="left"/>
    </xf>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17" fillId="22" borderId="0" xfId="0" applyFont="1" applyFill="1" applyAlignment="1">
      <alignment horizontal="left"/>
    </xf>
    <xf numFmtId="0" fontId="24" fillId="22" borderId="0" xfId="0" applyFont="1" applyFill="1" applyAlignment="1">
      <alignment horizontal="left" wrapText="1"/>
    </xf>
    <xf numFmtId="0" fontId="1" fillId="3" borderId="9" xfId="0" applyFont="1" applyFill="1" applyBorder="1" applyAlignment="1">
      <alignment horizontal="center"/>
    </xf>
    <xf numFmtId="0" fontId="1" fillId="3" borderId="23" xfId="0" applyFont="1" applyFill="1" applyBorder="1" applyAlignment="1">
      <alignment horizontal="center"/>
    </xf>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167">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ont>
        <color rgb="FF4EA72E"/>
      </font>
    </dxf>
    <dxf>
      <font>
        <color rgb="FFFF0000"/>
      </font>
    </dxf>
    <dxf>
      <font>
        <color rgb="FF4EA72E"/>
      </font>
    </dxf>
    <dxf>
      <font>
        <color rgb="FFFF0000"/>
      </font>
    </dxf>
    <dxf>
      <font>
        <color rgb="FF4EA72E"/>
      </font>
    </dxf>
    <dxf>
      <font>
        <color rgb="FFFF0000"/>
      </font>
    </dxf>
    <dxf>
      <font>
        <color rgb="FF4EA72E"/>
      </font>
    </dxf>
    <dxf>
      <font>
        <color rgb="FFFF0000"/>
      </font>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FF0000"/>
      </font>
    </dxf>
    <dxf>
      <font>
        <color theme="9"/>
      </font>
    </dxf>
    <dxf>
      <font>
        <color rgb="FFFF0000"/>
      </font>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ont>
        <color rgb="FFFF0000"/>
      </font>
      <fill>
        <patternFill>
          <bgColor rgb="FFFF0000"/>
        </patternFill>
      </fill>
    </dxf>
    <dxf>
      <font>
        <color theme="9"/>
      </font>
    </dxf>
    <dxf>
      <font>
        <color rgb="FFFF0000"/>
      </font>
    </dxf>
    <dxf>
      <font>
        <color theme="9"/>
      </font>
    </dxf>
    <dxf>
      <font>
        <color rgb="FFFF0000"/>
      </font>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ont>
        <color rgb="FF4EA72E"/>
      </font>
    </dxf>
    <dxf>
      <fill>
        <patternFill>
          <bgColor rgb="FFF2F2F2"/>
        </patternFill>
      </fill>
    </dxf>
    <dxf>
      <fill>
        <patternFill>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1/relationships/FeaturePropertyBag" Target="featurePropertyBag/featurePropertyBag.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1:BE11"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45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164">
      <pivotArea outline="0" fieldPosition="0">
        <references count="1">
          <reference field="4294967294" count="1" selected="0">
            <x v="2"/>
          </reference>
        </references>
      </pivotArea>
    </format>
    <format dxfId="165">
      <pivotArea field="15" type="button" dataOnly="0" labelOnly="1" outline="0" axis="axisRow" fieldPosition="0"/>
    </format>
    <format dxfId="166">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45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60">
      <pivotArea outline="0" fieldPosition="0">
        <references count="1">
          <reference field="4294967294" count="1" selected="0">
            <x v="2"/>
          </reference>
        </references>
      </pivotArea>
    </format>
    <format dxfId="161">
      <pivotArea dataOnly="0" labelOnly="1" outline="0" fieldPosition="0">
        <references count="1">
          <reference field="4294967294" count="1">
            <x v="2"/>
          </reference>
        </references>
      </pivotArea>
    </format>
    <format dxfId="162">
      <pivotArea field="15" type="button" dataOnly="0" labelOnly="1" outline="0" axis="axisRow" fieldPosition="0"/>
    </format>
    <format dxfId="163">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450"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56">
      <pivotArea outline="0" fieldPosition="0">
        <references count="1">
          <reference field="4294967294" count="1" selected="0">
            <x v="2"/>
          </reference>
        </references>
      </pivotArea>
    </format>
    <format dxfId="157">
      <pivotArea dataOnly="0" labelOnly="1" outline="0" fieldPosition="0">
        <references count="1">
          <reference field="4294967294" count="1">
            <x v="2"/>
          </reference>
        </references>
      </pivotArea>
    </format>
    <format dxfId="158">
      <pivotArea field="15" type="button" dataOnly="0" labelOnly="1" outline="0" axis="axisRow" fieldPosition="0"/>
    </format>
    <format dxfId="159">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45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152">
      <pivotArea outline="0" fieldPosition="0">
        <references count="1">
          <reference field="4294967294" count="1" selected="0">
            <x v="2"/>
          </reference>
        </references>
      </pivotArea>
    </format>
    <format dxfId="153">
      <pivotArea dataOnly="0" labelOnly="1" outline="0" fieldPosition="0">
        <references count="1">
          <reference field="4294967294" count="1">
            <x v="2"/>
          </reference>
        </references>
      </pivotArea>
    </format>
    <format dxfId="154">
      <pivotArea field="15" type="button" dataOnly="0" labelOnly="1" outline="0" axis="axisRow" fieldPosition="1"/>
    </format>
    <format dxfId="155">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124" tableBorderDxfId="123">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122"/>
    <tableColumn id="4" xr3:uid="{9A374E54-219E-4BD0-915C-4F98C303AC44}" name="SMB"/>
    <tableColumn id="5" xr3:uid="{E354BF05-7DBD-4944-9AA0-7D297C82E6D7}" name="% SMB" dataDxfId="121"/>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120">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119" dataDxfId="118" tableBorderDxfId="117">
  <autoFilter ref="AX18:BC24" xr:uid="{7DB81ACB-0050-4F54-BE4C-5C7BA007F361}"/>
  <tableColumns count="6">
    <tableColumn id="1" xr3:uid="{F2647E7A-7125-487D-A59A-9944BF3BABFF}" name="# Productos" dataDxfId="116"/>
    <tableColumn id="2" xr3:uid="{BB19AC5F-D6E1-4E54-96CA-1E56E71E3922}" name="Dafne de la Rosa" dataDxfId="115"/>
    <tableColumn id="3" xr3:uid="{91489469-E6DA-46C6-AA3A-D69BC4542B2A}" name="Karla Patiño" dataDxfId="114"/>
    <tableColumn id="4" xr3:uid="{F88B0DB7-59ED-45BD-AF6A-16F4D6559E97}" name="Raúl Campos" dataDxfId="113"/>
    <tableColumn id="5" xr3:uid="{48ABFE68-A1F7-42D6-A724-E403446AC48B}" name="No Asignado" dataDxfId="112"/>
    <tableColumn id="6" xr3:uid="{6B266AC9-F21B-412E-ACD4-0153FC463F4E}" name="TOTAL" dataDxfId="111"/>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110" tableBorderDxfId="109">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108"/>
    <tableColumn id="4" xr3:uid="{F8ED30DF-BF26-4F67-A2F4-6440F7009AFE}" name="SMB"/>
    <tableColumn id="5" xr3:uid="{427FB0DF-24DF-454C-8688-E3CC41F9D4D8}" name="% SMB" dataDxfId="107"/>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106" dataDxfId="105">
  <autoFilter ref="AP32:AV38" xr:uid="{03E573A6-45A7-49F3-BCEE-3FE37EE80112}"/>
  <tableColumns count="7">
    <tableColumn id="1" xr3:uid="{7C8BCD5B-8F2B-4C34-9E55-E9A6137A95C0}" name="# Productos" dataDxfId="104"/>
    <tableColumn id="2" xr3:uid="{17EEC619-BA1B-4F3C-A3DE-5EE469693E4A}" name="Dafne de la Rosa" dataDxfId="103"/>
    <tableColumn id="3" xr3:uid="{20517A74-BE54-40B9-9AE7-60488768BA58}" name="Karla Patiño" dataDxfId="102"/>
    <tableColumn id="4" xr3:uid="{029119CD-0D1A-457C-91A1-ACC797D2A221}" name="Raúl Campos" dataDxfId="101"/>
    <tableColumn id="5" xr3:uid="{CFCE6A51-3F94-4783-8099-24BC0D0B924F}" name="No Asignado" dataDxfId="100"/>
    <tableColumn id="6" xr3:uid="{A9A08D76-CB05-4440-B35B-17EE66077975}" name="Implementando" dataDxfId="99"/>
    <tableColumn id="7" xr3:uid="{0D2813CA-B2A6-4B5E-9A23-41624E5189BE}" name="TOTAL" dataDxfId="98"/>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97" dataDxfId="96" tableBorderDxfId="95">
  <autoFilter ref="AX32:BC38" xr:uid="{16C5AC62-C16F-440B-BB4C-494CACD13A65}"/>
  <tableColumns count="6">
    <tableColumn id="1" xr3:uid="{E3D218FD-20FD-4FEC-883F-31F82AC3FA68}" name="# Productos" dataDxfId="94"/>
    <tableColumn id="2" xr3:uid="{84350D1A-8D91-4726-8FAC-8B67E7867B65}" name="Dafne de la Rosa" dataDxfId="93"/>
    <tableColumn id="3" xr3:uid="{C3EB37D7-8B25-4AD3-9AD4-3C2BC5DEDC97}" name="Karla Patiño" dataDxfId="92"/>
    <tableColumn id="4" xr3:uid="{7A5415F5-09E2-4AF8-A2B8-7AF7063E6970}" name="Raúl Campos" dataDxfId="91"/>
    <tableColumn id="5" xr3:uid="{A8B2E06F-42A0-48FC-97EC-769BC5C88BCD}" name="No Asignado" dataDxfId="90"/>
    <tableColumn id="6" xr3:uid="{CF6BF9AE-CE08-438F-ADBD-9D9C8752D832}" name="TOTAL" dataDxfId="89"/>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7" headerRowBorderDxfId="5" tableBorderDxfId="6" totalsRowBorderDxfId="4">
  <autoFilter ref="A1:D12" xr:uid="{00000000-0009-0000-0100-000002000000}"/>
  <tableColumns count="4">
    <tableColumn id="1" xr3:uid="{00000000-0010-0000-0100-000001000000}" name="Acción" dataDxfId="3"/>
    <tableColumn id="3" xr3:uid="{00000000-0010-0000-0100-000003000000}" name="Periodicidad" dataDxfId="2"/>
    <tableColumn id="4" xr3:uid="{00000000-0010-0000-0100-000004000000}" name="Inicio" dataDxfId="1"/>
    <tableColumn id="2" xr3:uid="{00000000-0010-0000-0100-000002000000}" name="Responsable" dataDxfId="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6-05-11T22:14:51.31" personId="{3F88114D-2A78-449A-ADC0-0C321448AD5E}" id="{64BF6F3B-4A77-47EC-BFB9-A7BA19993EBF}">
    <text xml:space="preserve">Rellenar bien la industria
</text>
  </threadedComment>
  <threadedComment ref="AL90" dT="2026-04-28T18:17:41.03" personId="{3F88114D-2A78-449A-ADC0-0C321448AD5E}" id="{D3FD0C23-551D-407A-9F90-3FB4CEE8F29D}">
    <text>Definir número de usuarios y precio por usuario</text>
  </threadedComment>
  <threadedComment ref="AL90" dT="2026-04-28T19:16:41.58" personId="{3F88114D-2A78-449A-ADC0-0C321448AD5E}" id="{0C88B364-E916-4AA4-9085-91305DE4B9B7}" parentId="{D3FD0C23-551D-407A-9F90-3FB4CEE8F29D}">
    <text>Se le vendió app de supervisor</text>
  </threadedComment>
  <threadedComment ref="AM90"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P189" dT="2026-04-29T17:24:57.89" personId="{3F88114D-2A78-449A-ADC0-0C321448AD5E}" id="{6095F2E9-0F4E-4894-AB0F-078B850BD970}">
    <text xml:space="preserve">Aprox, se vio factura del partner y se traspasó con valor dolar de 17.52
</text>
  </threadedComment>
  <threadedComment ref="F191" dT="2026-04-28T19:51:58.62" personId="{3F88114D-2A78-449A-ADC0-0C321448AD5E}" id="{506938D7-E0BF-40EF-9D90-1FB75D6933F3}">
    <text>Pidió no facturar, se factura a público general</text>
  </threadedComment>
  <threadedComment ref="F192" dT="2026-04-28T18:42:15.84" personId="{3F88114D-2A78-449A-ADC0-0C321448AD5E}" id="{426257ED-E381-4574-9C06-5F31CE59E1E5}">
    <text>No están usando el servicio, no quieren pagar facturas adeudadas, se está buscando reunión con ellos para entender sus problemas</text>
  </threadedComment>
  <threadedComment ref="P380"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 Type="http://schemas.openxmlformats.org/officeDocument/2006/relationships/hyperlink" Target="https://crm.zoho.com/crm/org685875245/tab/Accounts/3525045000269312009"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vmlDrawing" Target="../drawings/vmlDrawing1.vml"/><Relationship Id="rId7" Type="http://schemas.openxmlformats.org/officeDocument/2006/relationships/hyperlink" Target="https://crm.zoho.com/crm/org685875245/tab/Accounts/3525045000108826075"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0" Type="http://schemas.openxmlformats.org/officeDocument/2006/relationships/hyperlink" Target="https://crm.zoho.com/crm/org685875245/tab/Accounts/3525045000300440282?pfrom=gsearch" TargetMode="External"/><Relationship Id="rId29" Type="http://schemas.openxmlformats.org/officeDocument/2006/relationships/hyperlink" Target="https://crm.zoho.com/crm/org685875245/tab/Accounts/3525045000555859681?pfrom=gsearch"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5" Type="http://schemas.openxmlformats.org/officeDocument/2006/relationships/hyperlink" Target="https://crm.zoho.com/crm/org685875245/tab/Accounts/352504500019986322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microsoft.com/office/2017/10/relationships/threadedComment" Target="../threadedComments/threadedComment1.xml"/><Relationship Id="rId10" Type="http://schemas.openxmlformats.org/officeDocument/2006/relationships/hyperlink" Target="https://crm.zoho.com/crm/org685875245/tab/Accounts/3525045000244055039?pfrom=gsearch" TargetMode="External"/><Relationship Id="rId19" Type="http://schemas.openxmlformats.org/officeDocument/2006/relationships/hyperlink" Target="https://crm.zoho.com/crm/org685875245/tab/Accounts/3525045000366468194?pfrom=gsearch" TargetMode="External"/><Relationship Id="rId31" Type="http://schemas.openxmlformats.org/officeDocument/2006/relationships/hyperlink" Target="https://crm.zoho.com/crm/org685875245/tab/Accounts/3525045000068536437" TargetMode="Externa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comments" Target="../comments1.xml"/><Relationship Id="rId8" Type="http://schemas.openxmlformats.org/officeDocument/2006/relationships/hyperlink" Target="https://crm.zoho.com/crm/org685875245/tab/Accounts/3525045000446689264" TargetMode="External"/></Relationships>
</file>

<file path=xl/worksheets/_rels/sheet4.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5.xml.rels><?xml version="1.0" encoding="UTF-8" standalone="yes"?>
<Relationships xmlns="http://schemas.openxmlformats.org/package/2006/relationships"><Relationship Id="rId26" Type="http://schemas.openxmlformats.org/officeDocument/2006/relationships/hyperlink" Target="https://crm.zoho.com/crm/org685875245/tab/Potentials/3525045000625765113" TargetMode="Externa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47" Type="http://schemas.openxmlformats.org/officeDocument/2006/relationships/hyperlink" Target="https://crm.zoho.com/crm/org685875245/tab/Accounts/3525045000260992026" TargetMode="External"/><Relationship Id="rId63" Type="http://schemas.openxmlformats.org/officeDocument/2006/relationships/hyperlink" Target="https://crm.zoho.com/crm/org685875245/tab/Potentials/3525045000626778002" TargetMode="External"/><Relationship Id="rId68" Type="http://schemas.openxmlformats.org/officeDocument/2006/relationships/hyperlink" Target="https://crm.zoho.com/crm/org685875245/tab/Potentials/3525045000626778002" TargetMode="External"/><Relationship Id="rId84" Type="http://schemas.openxmlformats.org/officeDocument/2006/relationships/hyperlink" Target="https://one.zoho.com/zohoone/geovictoria/home/cxapp/crm/org685875245/tab/Potentials/3525045000627572053" TargetMode="External"/><Relationship Id="rId89" Type="http://schemas.openxmlformats.org/officeDocument/2006/relationships/hyperlink" Target="https://one.zoho.com/zohoone/geovictoria/home/cxapp/crm/org685875245/tab/Potentials/3525045000630888031" TargetMode="External"/><Relationship Id="rId16" Type="http://schemas.openxmlformats.org/officeDocument/2006/relationships/hyperlink" Target="https://crm.zoho.com/crm/org685875245/tab/Potentials/3525045000558763013" TargetMode="External"/><Relationship Id="rId107" Type="http://schemas.openxmlformats.org/officeDocument/2006/relationships/hyperlink" Target="https://crm.zoho.com/crm/org685875245/tab/Potentials/3525045000640693036"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37" Type="http://schemas.openxmlformats.org/officeDocument/2006/relationships/hyperlink" Target="https://crm.zoho.com/crm/org685875245/tab/Potentials/3525045000587062977" TargetMode="External"/><Relationship Id="rId53" Type="http://schemas.openxmlformats.org/officeDocument/2006/relationships/hyperlink" Target="https://one.zoho.com/zohoone/geovictoria/home/cxapp/crm/org685875245/tab/Potentials/3525045000627572001" TargetMode="External"/><Relationship Id="rId58" Type="http://schemas.openxmlformats.org/officeDocument/2006/relationships/hyperlink" Target="https://one.zoho.com/zohoone/geovictoria/home/cxapp/crm/org685875245/tab/Potentials/3525045000628639012" TargetMode="External"/><Relationship Id="rId74" Type="http://schemas.openxmlformats.org/officeDocument/2006/relationships/hyperlink" Target="https://crm.zoho.com/crm/org685875245/tab/Potentials/3525045000629854040" TargetMode="External"/><Relationship Id="rId79" Type="http://schemas.openxmlformats.org/officeDocument/2006/relationships/hyperlink" Target="https://crm.zoho.com/crm/org685875245/tab/Potentials/3525045000573675667" TargetMode="External"/><Relationship Id="rId102" Type="http://schemas.openxmlformats.org/officeDocument/2006/relationships/hyperlink" Target="https://one.zoho.com/zohoone/geovictoria/home/cxapp/crm/org685875245/tab/Potentials/3525045000639910076" TargetMode="External"/><Relationship Id="rId5" Type="http://schemas.openxmlformats.org/officeDocument/2006/relationships/hyperlink" Target="https://one.zoho.com/zohoone/geovictoria/home/cxapp/crm/org685875245/tab/Potentials/3525045000593453013" TargetMode="External"/><Relationship Id="rId90" Type="http://schemas.openxmlformats.org/officeDocument/2006/relationships/hyperlink" Target="https://one.zoho.com/zohoone/geovictoria/home/cxapp/crm/org685875245/tab/Potentials/3525045000630888063" TargetMode="External"/><Relationship Id="rId95" Type="http://schemas.openxmlformats.org/officeDocument/2006/relationships/hyperlink" Target="https://crm.zoho.com/crm/org685875245/tab/Potentials/3525045000632324107" TargetMode="External"/><Relationship Id="rId22" Type="http://schemas.openxmlformats.org/officeDocument/2006/relationships/hyperlink" Target="https://one.zoho.com/zohoone/geovictoria/home/cxapp/crm/org685875245/tab/Potentials/3525045000600118157" TargetMode="External"/><Relationship Id="rId27" Type="http://schemas.openxmlformats.org/officeDocument/2006/relationships/hyperlink" Target="https://crm.zoho.com/crm/org685875245/tab/Potentials/3525045000583797058" TargetMode="External"/><Relationship Id="rId43" Type="http://schemas.openxmlformats.org/officeDocument/2006/relationships/hyperlink" Target="https://one.zoho.com/zohoone/geovictoria/home/cxapp/crm/org685875245/tab/Potentials/3525045000626305452" TargetMode="External"/><Relationship Id="rId48" Type="http://schemas.openxmlformats.org/officeDocument/2006/relationships/hyperlink" Target="https://crm.zoho.com/crm/org685875245/tab/Potentials/3525045000593463334" TargetMode="External"/><Relationship Id="rId64" Type="http://schemas.openxmlformats.org/officeDocument/2006/relationships/hyperlink" Target="https://crm.zoho.com/crm/org685875245/tab/Potentials/3525045000626778002" TargetMode="External"/><Relationship Id="rId69" Type="http://schemas.openxmlformats.org/officeDocument/2006/relationships/hyperlink" Target="https://crm.zoho.com/crm/org685875245/tab/Potentials/3525045000629256121" TargetMode="External"/><Relationship Id="rId80" Type="http://schemas.openxmlformats.org/officeDocument/2006/relationships/hyperlink" Target="https://crm.zoho.com/crm/org685875245/tab/Potentials/3525045000573675642" TargetMode="External"/><Relationship Id="rId85" Type="http://schemas.openxmlformats.org/officeDocument/2006/relationships/hyperlink" Target="https://one.zoho.com/zohoone/geovictoria/home/cxapp/crm/org685875245/tab/Potentials/3525045000629837148" TargetMode="Externa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crm.zoho.com/crm/org685875245/tab/Accounts/3525045000348478718?pfrom=gsearch" TargetMode="External"/><Relationship Id="rId103" Type="http://schemas.openxmlformats.org/officeDocument/2006/relationships/hyperlink" Target="https://one.zoho.com/zohoone/geovictoria/home/cxapp/crm/org685875245/tab/Potentials/3525045000640263241" TargetMode="External"/><Relationship Id="rId108" Type="http://schemas.openxmlformats.org/officeDocument/2006/relationships/vmlDrawing" Target="../drawings/vmlDrawing2.vml"/><Relationship Id="rId54" Type="http://schemas.openxmlformats.org/officeDocument/2006/relationships/hyperlink" Target="https://one.zoho.com/zohoone/geovictoria/home/cxapp/crm/org685875245/tab/Accounts/3525045000118304484?pfrom=gsearch" TargetMode="External"/><Relationship Id="rId70" Type="http://schemas.openxmlformats.org/officeDocument/2006/relationships/hyperlink" Target="https://crm.zoho.com/crm/org685875245/tab/Potentials/3525045000627459302" TargetMode="External"/><Relationship Id="rId75" Type="http://schemas.openxmlformats.org/officeDocument/2006/relationships/hyperlink" Target="https://crm.zoho.com/crm/org685875245/tab/Potentials/3525045000629854045" TargetMode="External"/><Relationship Id="rId91" Type="http://schemas.openxmlformats.org/officeDocument/2006/relationships/hyperlink" Target="https://one.zoho.com/zohoone/geovictoria/home/cxapp/crm/org685875245/tab/Potentials/3525045000630888068" TargetMode="External"/><Relationship Id="rId96" Type="http://schemas.openxmlformats.org/officeDocument/2006/relationships/hyperlink" Target="https://crm.zoho.com/crm/org685875245/tab/Potentials/3525045000630721337"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15" Type="http://schemas.openxmlformats.org/officeDocument/2006/relationships/hyperlink" Target="https://crm.zoho.com/crm/org685875245/tab/Potentials/3525045000529301024"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36" Type="http://schemas.openxmlformats.org/officeDocument/2006/relationships/hyperlink" Target="https://crm.zoho.com/crm/org685875245/tab/Potentials/3525045000621513237" TargetMode="External"/><Relationship Id="rId49" Type="http://schemas.openxmlformats.org/officeDocument/2006/relationships/hyperlink" Target="https://crm.zoho.com/crm/org685875245/tab/Potentials/3525045000572032346" TargetMode="External"/><Relationship Id="rId57" Type="http://schemas.openxmlformats.org/officeDocument/2006/relationships/hyperlink" Target="https://one.zoho.com/zohoone/geovictoria/home/cxapp/crm/org685875245/tab/Potentials/3525045000628197173" TargetMode="External"/><Relationship Id="rId106" Type="http://schemas.openxmlformats.org/officeDocument/2006/relationships/hyperlink" Target="https://one.zoho.com/zohoone/geovictoria/home/cxapp/crm/org685875245/tab/Potentials/3525045000640711143" TargetMode="Externa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44" Type="http://schemas.openxmlformats.org/officeDocument/2006/relationships/hyperlink" Target="https://crm.zoho.com/crm/org685875245/tab/Potentials/3525045000617230553" TargetMode="External"/><Relationship Id="rId52" Type="http://schemas.openxmlformats.org/officeDocument/2006/relationships/hyperlink" Target="https://crm.zoho.com/crm/org685875245/tab/Potentials/3525045000621513285" TargetMode="External"/><Relationship Id="rId60" Type="http://schemas.openxmlformats.org/officeDocument/2006/relationships/hyperlink" Target="https://crm.zoho.com/crm/org685875245/tab/Potentials/3525045000531173001" TargetMode="External"/><Relationship Id="rId65" Type="http://schemas.openxmlformats.org/officeDocument/2006/relationships/hyperlink" Target="https://crm.zoho.com/crm/org685875245/tab/Potentials/3525045000626778002" TargetMode="External"/><Relationship Id="rId73" Type="http://schemas.openxmlformats.org/officeDocument/2006/relationships/hyperlink" Target="https://crm.zoho.com/crm/org685875245/tab/Potentials/3525045000621513434" TargetMode="External"/><Relationship Id="rId78" Type="http://schemas.openxmlformats.org/officeDocument/2006/relationships/hyperlink" Target="https://crm.zoho.com/crm/org685875245/tab/Potentials/3525045000600118001" TargetMode="External"/><Relationship Id="rId81" Type="http://schemas.openxmlformats.org/officeDocument/2006/relationships/hyperlink" Target="https://one.zoho.com/zohoone/geovictoria/home/cxapp/crm/org685875245/tab/Potentials/3525045000600073103" TargetMode="External"/><Relationship Id="rId86" Type="http://schemas.openxmlformats.org/officeDocument/2006/relationships/hyperlink" Target="https://one.zoho.com/zohoone/geovictoria/home/cxapp/crm/org685875245/tab/Potentials/3525045000630888005" TargetMode="External"/><Relationship Id="rId94" Type="http://schemas.openxmlformats.org/officeDocument/2006/relationships/hyperlink" Target="https://one.zoho.com/zohoone/geovictoria/home/cxapp/crm/org685875245/tab/Potentials/3525045000632446183" TargetMode="External"/><Relationship Id="rId99" Type="http://schemas.openxmlformats.org/officeDocument/2006/relationships/hyperlink" Target="https://crm.zoho.com/crm/org685875245/tab/Potentials/3525045000627075125" TargetMode="External"/><Relationship Id="rId101" Type="http://schemas.openxmlformats.org/officeDocument/2006/relationships/hyperlink" Target="https://crm.zoho.com/crm/org685875245/tab/Potentials/3525045000636661622" TargetMode="Externa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comments" Target="../comments2.xm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626778012" TargetMode="External"/><Relationship Id="rId55" Type="http://schemas.openxmlformats.org/officeDocument/2006/relationships/hyperlink" Target="https://one.zoho.com/zohoone/geovictoria/home/cxapp/crm/org685875245/tab/Potentials/3525045000627572262" TargetMode="External"/><Relationship Id="rId76" Type="http://schemas.openxmlformats.org/officeDocument/2006/relationships/hyperlink" Target="https://crm.zoho.com/crm/org685875245/tab/Potentials/3525045000621513339" TargetMode="External"/><Relationship Id="rId97" Type="http://schemas.openxmlformats.org/officeDocument/2006/relationships/hyperlink" Target="https://one.zoho.com/zohoone/geovictoria/home/cxapp/crm/org685875245/tab/Potentials/3525045000634463014" TargetMode="External"/><Relationship Id="rId104" Type="http://schemas.openxmlformats.org/officeDocument/2006/relationships/hyperlink" Target="https://one.zoho.com/zohoone/geovictoria/home/cxapp/crm/org685875245/tab/Potentials/3525045000640263246" TargetMode="Externa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9365190" TargetMode="External"/><Relationship Id="rId92" Type="http://schemas.openxmlformats.org/officeDocument/2006/relationships/hyperlink" Target="https://crm.zoho.com/crm/org685875245/tab/Potentials/3525045000630427535"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6778002" TargetMode="External"/><Relationship Id="rId87" Type="http://schemas.openxmlformats.org/officeDocument/2006/relationships/hyperlink" Target="https://one.zoho.com/zohoone/geovictoria/home/cxapp/crm/org685875245/tab/Potentials/3525045000630888010" TargetMode="External"/><Relationship Id="rId110" Type="http://schemas.microsoft.com/office/2017/10/relationships/threadedComment" Target="../threadedComments/threadedComment2.xml"/><Relationship Id="rId61" Type="http://schemas.openxmlformats.org/officeDocument/2006/relationships/hyperlink" Target="https://crm.zoho.com/crm/org685875245/tab/Accounts/3525045000354852479?pfrom=gsearch" TargetMode="External"/><Relationship Id="rId82" Type="http://schemas.openxmlformats.org/officeDocument/2006/relationships/hyperlink" Target="https://one.zoho.com/zohoone/geovictoria/home/cxapp/crm/org685875245/tab/Potentials/3525045000583773080"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7572267" TargetMode="External"/><Relationship Id="rId77" Type="http://schemas.openxmlformats.org/officeDocument/2006/relationships/hyperlink" Target="https://crm.zoho.com/crm/org685875245/tab/Potentials/3525045000630124155" TargetMode="External"/><Relationship Id="rId100" Type="http://schemas.openxmlformats.org/officeDocument/2006/relationships/hyperlink" Target="https://crm.zoho.com/crm/org685875245/tab/Potentials/3525045000626778007" TargetMode="External"/><Relationship Id="rId105" Type="http://schemas.openxmlformats.org/officeDocument/2006/relationships/hyperlink" Target="https://one.zoho.com/zohoone/geovictoria/home/cxapp/crm/org685875245/tab/Potentials/3525045000640711138"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1513309" TargetMode="External"/><Relationship Id="rId72" Type="http://schemas.openxmlformats.org/officeDocument/2006/relationships/hyperlink" Target="https://crm.zoho.com/crm/org685875245/tab/Potentials/3525045000626778002" TargetMode="External"/><Relationship Id="rId93" Type="http://schemas.openxmlformats.org/officeDocument/2006/relationships/hyperlink" Target="https://crm.zoho.com/crm/org685875245/tab/Potentials/3525045000630207042" TargetMode="External"/><Relationship Id="rId98" Type="http://schemas.openxmlformats.org/officeDocument/2006/relationships/hyperlink" Target="https://crm.zoho.com/crm/org685875245/tab/Potentials/3525045000636381028"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6778002" TargetMode="Externa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Potentials/3525045000628571148" TargetMode="External"/><Relationship Id="rId83" Type="http://schemas.openxmlformats.org/officeDocument/2006/relationships/hyperlink" Target="https://one.zoho.com/zohoone/geovictoria/home/cxapp/crm/org685875245/tab/Potentials/3525045000627572048" TargetMode="External"/><Relationship Id="rId88" Type="http://schemas.openxmlformats.org/officeDocument/2006/relationships/hyperlink" Target="https://one.zoho.com/zohoone/geovictoria/home/cxapp/crm/org685875245/tab/Potentials/3525045000630888026" TargetMode="External"/><Relationship Id="rId111" Type="http://schemas.microsoft.com/office/2019/04/relationships/documenttask" Target="../documenttasks/documenttask1.xml"/></Relationships>
</file>

<file path=xl/worksheets/_rels/sheet7.xml.rels><?xml version="1.0" encoding="UTF-8" standalone="yes"?>
<Relationships xmlns="http://schemas.openxmlformats.org/package/2006/relationships"><Relationship Id="rId3" Type="http://schemas.openxmlformats.org/officeDocument/2006/relationships/hyperlink" Target="https://crm.zoho.com/crm/org685875245/tab/Accounts/3525045000566038619?pfrom=gsearch" TargetMode="External"/><Relationship Id="rId2" Type="http://schemas.openxmlformats.org/officeDocument/2006/relationships/hyperlink" Target="https://crm.zoho.com/crm/org685875245/tab/Accounts/3525045000307252290?pfrom=gsearch" TargetMode="External"/><Relationship Id="rId1" Type="http://schemas.openxmlformats.org/officeDocument/2006/relationships/hyperlink" Target="https://crm.zoho.com/crm/org685875245/tab/Accounts/3525045000326709486" TargetMode="External"/><Relationship Id="rId4" Type="http://schemas.openxmlformats.org/officeDocument/2006/relationships/hyperlink" Target="https://crm.zoho.com/crm/org685875245/tab/Accounts/3525045000315267510?pfrom=gsearch" TargetMode="External"/></Relationships>
</file>

<file path=xl/worksheets/_rels/sheet1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6.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CC703"/>
  <sheetViews>
    <sheetView tabSelected="1" workbookViewId="0">
      <pane xSplit="6" ySplit="2" topLeftCell="G102" activePane="bottomRight" state="frozen"/>
      <selection pane="bottomRight" activeCell="H300" sqref="H300"/>
      <selection pane="bottomLeft" activeCell="A3" sqref="A3"/>
      <selection pane="topRight"/>
    </sheetView>
  </sheetViews>
  <sheetFormatPr defaultColWidth="9.140625" defaultRowHeight="15" customHeight="1" zeroHeight="1"/>
  <cols>
    <col min="1" max="1" width="11.42578125" style="127" customWidth="1"/>
    <col min="2" max="2" width="11.42578125" style="121" customWidth="1"/>
    <col min="3" max="3" width="14.85546875" style="473" customWidth="1"/>
    <col min="4" max="5" width="12.7109375" style="122" customWidth="1"/>
    <col min="6" max="6" width="42" style="121" customWidth="1"/>
    <col min="7" max="7" width="22" style="121" customWidth="1"/>
    <col min="8" max="9" width="11.42578125" style="130" customWidth="1"/>
    <col min="10" max="10" width="11.140625" style="121" bestFit="1" customWidth="1"/>
    <col min="11" max="11" width="13.28515625" style="123" customWidth="1"/>
    <col min="12" max="12" width="14.85546875" style="121" bestFit="1" customWidth="1"/>
    <col min="13" max="13" width="11.140625" style="121" customWidth="1"/>
    <col min="14" max="14" width="13.42578125" style="121" customWidth="1"/>
    <col min="15" max="15" width="13.140625" style="124" customWidth="1"/>
    <col min="16" max="17" width="13.140625" style="125" customWidth="1"/>
    <col min="18" max="18" width="13.140625" style="126" customWidth="1"/>
    <col min="19" max="19" width="17.42578125" style="464" customWidth="1"/>
    <col min="20" max="20" width="14.5703125" style="507" bestFit="1" customWidth="1"/>
    <col min="21" max="21" width="8.7109375" style="127" customWidth="1"/>
    <col min="22" max="22" width="9.7109375" style="127" customWidth="1"/>
    <col min="23" max="23" width="13.7109375" style="121" customWidth="1"/>
    <col min="24" max="25" width="13.7109375" style="123" customWidth="1"/>
    <col min="26" max="26" width="13.7109375" style="121" customWidth="1"/>
    <col min="27" max="28" width="14.42578125" style="121" customWidth="1"/>
    <col min="29" max="29" width="11.42578125" style="130" customWidth="1"/>
    <col min="30" max="30" width="16" style="122" customWidth="1"/>
    <col min="31" max="31" width="13.140625" style="122" customWidth="1"/>
    <col min="32" max="32" width="11.5703125" style="122" customWidth="1"/>
    <col min="33" max="33" width="16" style="122" customWidth="1"/>
    <col min="34" max="35" width="14.42578125" style="122" customWidth="1"/>
    <col min="36" max="51" width="10.42578125" style="122" customWidth="1"/>
    <col min="52" max="52" width="10.42578125" style="121" customWidth="1"/>
    <col min="53" max="53" width="12.7109375" style="122" customWidth="1"/>
    <col min="54" max="54" width="17.28515625" style="122" customWidth="1"/>
    <col min="55" max="56" width="20.140625" style="122" customWidth="1"/>
    <col min="57" max="57" width="11.42578125" style="122" hidden="1" customWidth="1"/>
    <col min="58" max="77" width="11.42578125" style="122" customWidth="1"/>
    <col min="78" max="78" width="9.140625" style="122" customWidth="1"/>
    <col min="79" max="16384" width="9.140625" style="122"/>
  </cols>
  <sheetData>
    <row r="1" spans="1:81" ht="15" customHeight="1">
      <c r="V1" s="589"/>
      <c r="X1" s="128"/>
      <c r="Y1" s="128"/>
      <c r="Z1" s="129"/>
      <c r="AA1" s="129"/>
      <c r="AB1" s="129">
        <f>COUNTA(B3:B581)</f>
        <v>107</v>
      </c>
      <c r="AJ1" s="122">
        <f>COUNTIF(AJ$3:AJ$575,"*OK*")</f>
        <v>2</v>
      </c>
      <c r="AK1" s="122">
        <f>COUNTIF(AK$3:AK$575,"*OK*")</f>
        <v>1</v>
      </c>
      <c r="AL1" s="122">
        <f>COUNTIF(AL$3:AL$575,"*OK*")</f>
        <v>23</v>
      </c>
      <c r="AM1" s="122">
        <f>COUNTIF(AM$3:AM$575,"*OK*")</f>
        <v>4</v>
      </c>
      <c r="AN1" s="122">
        <f>COUNTIF(AN$3:AN$575,"*OK*")</f>
        <v>10</v>
      </c>
      <c r="AO1" s="122">
        <f>COUNTIF(AO$3:AO$575,"*OK*")</f>
        <v>8</v>
      </c>
      <c r="AP1" s="122">
        <f>COUNTIF(AP$3:AP$575,"*OK*")</f>
        <v>14</v>
      </c>
      <c r="AQ1" s="122">
        <f>COUNTIF(AQ$3:AQ$575,"*OK*")</f>
        <v>13</v>
      </c>
      <c r="AR1" s="122">
        <f>COUNTIF(AR$3:AR$575,"*OK*")</f>
        <v>0</v>
      </c>
      <c r="AS1" s="122">
        <f>COUNTIF(AS$3:AS$575,"*OK*")</f>
        <v>0</v>
      </c>
      <c r="AT1" s="122">
        <f>COUNTIF(AT$3:AT$575,"*OK*")</f>
        <v>3</v>
      </c>
      <c r="AU1" s="122">
        <f>COUNTIF(AU$3:AU$575,"*OK*")</f>
        <v>1</v>
      </c>
      <c r="AV1" s="122">
        <f>COUNTIF(AV$3:AV$575,"*OK*")</f>
        <v>0</v>
      </c>
      <c r="AW1" s="122">
        <f>COUNTIF(AW$3:AW$575,"*OK*")</f>
        <v>0</v>
      </c>
      <c r="AX1" s="122">
        <f>COUNTIF(AX$3:AX$575,"*OK*")</f>
        <v>1</v>
      </c>
      <c r="AY1" s="122">
        <f>COUNTIF(AY$3:AY$575,"*OK*")</f>
        <v>2</v>
      </c>
    </row>
    <row r="2" spans="1:81" s="159" customFormat="1" ht="27.95" customHeight="1">
      <c r="A2" s="131" t="s">
        <v>0</v>
      </c>
      <c r="B2" s="131" t="s">
        <v>1</v>
      </c>
      <c r="C2" s="132" t="s">
        <v>2</v>
      </c>
      <c r="D2" s="132" t="s">
        <v>3</v>
      </c>
      <c r="E2" s="132" t="s">
        <v>4</v>
      </c>
      <c r="F2" s="131" t="s">
        <v>5</v>
      </c>
      <c r="G2" s="131" t="s">
        <v>6</v>
      </c>
      <c r="H2" s="142" t="s">
        <v>7</v>
      </c>
      <c r="I2" s="142" t="s">
        <v>8</v>
      </c>
      <c r="J2" s="131" t="s">
        <v>9</v>
      </c>
      <c r="K2" s="133" t="s">
        <v>10</v>
      </c>
      <c r="L2" s="131" t="s">
        <v>11</v>
      </c>
      <c r="M2" s="131" t="s">
        <v>12</v>
      </c>
      <c r="N2" s="131" t="s">
        <v>13</v>
      </c>
      <c r="O2" s="134" t="s">
        <v>14</v>
      </c>
      <c r="P2" s="134" t="s">
        <v>15</v>
      </c>
      <c r="Q2" s="135" t="s">
        <v>16</v>
      </c>
      <c r="R2" s="136" t="s">
        <v>17</v>
      </c>
      <c r="S2" s="508" t="s">
        <v>18</v>
      </c>
      <c r="T2" s="141" t="s">
        <v>19</v>
      </c>
      <c r="U2" s="137" t="s">
        <v>20</v>
      </c>
      <c r="V2" s="136" t="s">
        <v>21</v>
      </c>
      <c r="W2" s="138" t="s">
        <v>22</v>
      </c>
      <c r="X2" s="139" t="s">
        <v>23</v>
      </c>
      <c r="Y2" s="139" t="s">
        <v>24</v>
      </c>
      <c r="Z2" s="140" t="s">
        <v>25</v>
      </c>
      <c r="AA2" s="136" t="s">
        <v>26</v>
      </c>
      <c r="AB2" s="141" t="s">
        <v>27</v>
      </c>
      <c r="AC2" s="142" t="s">
        <v>28</v>
      </c>
      <c r="AD2" s="143" t="s">
        <v>29</v>
      </c>
      <c r="AE2" s="143" t="s">
        <v>30</v>
      </c>
      <c r="AF2" s="143" t="s">
        <v>31</v>
      </c>
      <c r="AG2" s="143" t="s">
        <v>32</v>
      </c>
      <c r="AH2" s="144" t="s">
        <v>33</v>
      </c>
      <c r="AI2" s="144" t="s">
        <v>34</v>
      </c>
      <c r="AJ2" s="145" t="s">
        <v>35</v>
      </c>
      <c r="AK2" s="145" t="s">
        <v>36</v>
      </c>
      <c r="AL2" s="146" t="s">
        <v>37</v>
      </c>
      <c r="AM2" s="147" t="s">
        <v>38</v>
      </c>
      <c r="AN2" s="148" t="s">
        <v>39</v>
      </c>
      <c r="AO2" s="149" t="s">
        <v>40</v>
      </c>
      <c r="AP2" s="150" t="s">
        <v>41</v>
      </c>
      <c r="AQ2" s="151" t="s">
        <v>42</v>
      </c>
      <c r="AR2" s="152" t="s">
        <v>43</v>
      </c>
      <c r="AS2" s="153" t="s">
        <v>44</v>
      </c>
      <c r="AT2" s="145" t="s">
        <v>45</v>
      </c>
      <c r="AU2" s="145" t="s">
        <v>46</v>
      </c>
      <c r="AV2" s="154" t="s">
        <v>47</v>
      </c>
      <c r="AW2" s="154" t="s">
        <v>48</v>
      </c>
      <c r="AX2" s="154" t="s">
        <v>49</v>
      </c>
      <c r="AY2" s="154" t="s">
        <v>50</v>
      </c>
      <c r="AZ2" s="155" t="s">
        <v>51</v>
      </c>
      <c r="BA2" s="144" t="s">
        <v>52</v>
      </c>
      <c r="BB2" s="144" t="s">
        <v>53</v>
      </c>
      <c r="BC2" s="156" t="s">
        <v>54</v>
      </c>
      <c r="BD2" s="156"/>
      <c r="BE2" s="157" t="s">
        <v>55</v>
      </c>
      <c r="BF2" s="157"/>
      <c r="BG2" s="157"/>
      <c r="BH2" s="157"/>
      <c r="BI2" s="157"/>
      <c r="BJ2" s="157"/>
      <c r="BK2" s="157"/>
      <c r="BL2" s="157"/>
      <c r="BM2" s="157"/>
      <c r="BN2" s="157"/>
      <c r="BO2" s="157"/>
      <c r="BP2" s="157"/>
      <c r="BQ2" s="157"/>
      <c r="BR2" s="157"/>
      <c r="BS2" s="157"/>
      <c r="BT2" s="157"/>
      <c r="BU2" s="157"/>
      <c r="BV2" s="157"/>
      <c r="BW2" s="157"/>
      <c r="BX2" s="157"/>
      <c r="BY2" s="157"/>
      <c r="BZ2" s="157"/>
      <c r="CA2" s="158" t="s">
        <v>56</v>
      </c>
      <c r="CC2" s="158" t="s">
        <v>57</v>
      </c>
    </row>
    <row r="3" spans="1:81" ht="14.25" hidden="1" customHeight="1">
      <c r="A3" s="240">
        <v>3009</v>
      </c>
      <c r="B3" s="171"/>
      <c r="C3" s="468">
        <f>T3</f>
        <v>0</v>
      </c>
      <c r="D3" s="171">
        <f>COUNTIF(AN3:AY3,"OK")</f>
        <v>0</v>
      </c>
      <c r="E3" s="171"/>
      <c r="F3" s="173" t="s">
        <v>58</v>
      </c>
      <c r="G3" s="173" t="s">
        <v>59</v>
      </c>
      <c r="H3" s="179" t="s">
        <v>60</v>
      </c>
      <c r="I3" s="179"/>
      <c r="J3" s="173" t="s">
        <v>59</v>
      </c>
      <c r="K3" s="173" t="s">
        <v>59</v>
      </c>
      <c r="L3" s="173" t="s">
        <v>59</v>
      </c>
      <c r="M3" s="173" t="s">
        <v>59</v>
      </c>
      <c r="N3" s="173" t="s">
        <v>59</v>
      </c>
      <c r="O3" s="466" t="s">
        <v>59</v>
      </c>
      <c r="P3" s="466" t="s">
        <v>59</v>
      </c>
      <c r="Q3" s="466" t="s">
        <v>59</v>
      </c>
      <c r="R3" s="467">
        <v>450.33</v>
      </c>
      <c r="S3" s="509"/>
      <c r="T3" s="548"/>
      <c r="U3" s="175"/>
      <c r="V3" s="176" t="s">
        <v>59</v>
      </c>
      <c r="W3" s="416"/>
      <c r="X3" s="420"/>
      <c r="Y3" s="420"/>
      <c r="Z3" s="421"/>
      <c r="AA3" s="210" t="s">
        <v>59</v>
      </c>
      <c r="AB3" s="178" t="s">
        <v>61</v>
      </c>
      <c r="AC3" s="179"/>
      <c r="AD3" s="171"/>
      <c r="AE3" s="171"/>
      <c r="AF3" s="171"/>
      <c r="AG3" s="171"/>
      <c r="AH3" s="171"/>
      <c r="AI3" s="178" t="s">
        <v>59</v>
      </c>
      <c r="AJ3" s="170"/>
      <c r="AK3" s="170"/>
      <c r="AL3" s="170"/>
      <c r="AM3" s="170"/>
      <c r="AN3" s="170"/>
      <c r="AO3" s="170"/>
      <c r="AP3" s="170"/>
      <c r="AQ3" s="170"/>
      <c r="AR3" s="170"/>
      <c r="AS3" s="170"/>
      <c r="AT3" s="170"/>
      <c r="AU3" s="170"/>
      <c r="AV3" s="170"/>
      <c r="AW3" s="170"/>
      <c r="AX3" s="170"/>
      <c r="AY3" s="170"/>
      <c r="AZ3" s="180" t="s">
        <v>59</v>
      </c>
      <c r="BA3" s="171">
        <f>(COUNTIF(AJ3:AL3,"*OK*")*3) + (COUNTIF(AM3:AO3,"*OK*")*2) + COUNTIF(AP3:AR3,"*OK*")+COUNTIF(AZ3:AZ3,"SI")*0.5</f>
        <v>0</v>
      </c>
      <c r="BB3" s="171" t="str">
        <f>IF(BA3&lt;0.6,"Demasiado Riesgo",IF(BA3&lt;=5,"Riesgo Medio",IF(BA3&lt;=11,"Riesgo Bajo","Cliente Blindado")))</f>
        <v>Demasiado Riesgo</v>
      </c>
      <c r="BC3" s="171"/>
      <c r="BD3" s="171"/>
      <c r="BE3" s="171">
        <v>0</v>
      </c>
      <c r="BF3" s="171"/>
      <c r="BG3" s="171"/>
      <c r="BH3" s="171"/>
      <c r="BI3" s="171"/>
      <c r="BJ3" s="171"/>
      <c r="BK3" s="171"/>
      <c r="BL3" s="171"/>
      <c r="BM3" s="171"/>
      <c r="BN3" s="171"/>
      <c r="BO3" s="171"/>
      <c r="BP3" s="171"/>
      <c r="BQ3" s="171"/>
      <c r="BR3" s="171"/>
      <c r="BS3" s="171"/>
      <c r="BT3" s="171"/>
      <c r="BU3" s="171"/>
      <c r="BV3" s="171"/>
      <c r="BW3" s="171"/>
      <c r="BX3" s="171"/>
      <c r="BY3" s="171"/>
      <c r="BZ3" s="171"/>
      <c r="CA3" s="171">
        <f>COUNTIF(AJ3:AX3,"*OK*")</f>
        <v>0</v>
      </c>
      <c r="CB3" s="171"/>
      <c r="CC3" s="171">
        <f>COUNTIF(AJ3:AX3,"*OP*")</f>
        <v>0</v>
      </c>
    </row>
    <row r="4" spans="1:81" ht="14.25" hidden="1" customHeight="1">
      <c r="A4" s="240"/>
      <c r="B4" s="171"/>
      <c r="C4" s="468">
        <f>T4</f>
        <v>2.1608999999999998</v>
      </c>
      <c r="D4" s="171">
        <f>COUNTIF(AN4:AY4,"OK")</f>
        <v>0</v>
      </c>
      <c r="E4" s="171"/>
      <c r="F4" s="173" t="s">
        <v>62</v>
      </c>
      <c r="G4" s="183" t="s">
        <v>63</v>
      </c>
      <c r="H4" s="168" t="s">
        <v>64</v>
      </c>
      <c r="I4" s="168"/>
      <c r="J4" s="173" t="s">
        <v>59</v>
      </c>
      <c r="K4" s="173" t="s">
        <v>59</v>
      </c>
      <c r="L4" s="173" t="s">
        <v>59</v>
      </c>
      <c r="M4" s="173" t="s">
        <v>59</v>
      </c>
      <c r="N4" s="173" t="s">
        <v>59</v>
      </c>
      <c r="O4" s="466" t="s">
        <v>59</v>
      </c>
      <c r="P4" s="466" t="s">
        <v>59</v>
      </c>
      <c r="Q4" s="466" t="s">
        <v>59</v>
      </c>
      <c r="R4" s="467">
        <v>2.17</v>
      </c>
      <c r="S4" s="509">
        <v>8.7395999999999994</v>
      </c>
      <c r="T4" s="552">
        <v>2.1608999999999998</v>
      </c>
      <c r="U4" s="175"/>
      <c r="V4" s="176" t="s">
        <v>59</v>
      </c>
      <c r="W4" s="416"/>
      <c r="X4" s="420"/>
      <c r="Y4" s="420"/>
      <c r="Z4" s="421"/>
      <c r="AA4" s="210" t="s">
        <v>59</v>
      </c>
      <c r="AB4" s="178" t="s">
        <v>65</v>
      </c>
      <c r="AC4" s="179"/>
      <c r="AD4" s="171"/>
      <c r="AE4" s="171"/>
      <c r="AF4" s="171"/>
      <c r="AG4" s="171"/>
      <c r="AH4" s="171"/>
      <c r="AI4" s="178" t="s">
        <v>59</v>
      </c>
      <c r="AJ4" s="170"/>
      <c r="AK4" s="170"/>
      <c r="AL4" s="170"/>
      <c r="AM4" s="170"/>
      <c r="AN4" s="170"/>
      <c r="AO4" s="170"/>
      <c r="AP4" s="170"/>
      <c r="AQ4" s="170"/>
      <c r="AR4" s="170"/>
      <c r="AS4" s="170"/>
      <c r="AT4" s="170"/>
      <c r="AU4" s="170"/>
      <c r="AV4" s="170"/>
      <c r="AW4" s="170"/>
      <c r="AX4" s="170"/>
      <c r="AY4" s="170"/>
      <c r="AZ4" s="178" t="s">
        <v>59</v>
      </c>
      <c r="BA4" s="171">
        <f>(COUNTIF(AJ4:AL4,"*OK*")*3) + (COUNTIF(AM4:AO4,"*OK*")*2) + COUNTIF(AP4:AR4,"*OK*")+COUNTIF(AZ4:AZ4,"SI")*0.5</f>
        <v>0</v>
      </c>
      <c r="BB4" s="171" t="str">
        <f>IF(BA4&lt;0.6,"Demasiado Riesgo",IF(BA4&lt;=5,"Riesgo Medio",IF(BA4&lt;=11,"Riesgo Bajo","Cliente Blindado")))</f>
        <v>Demasiado Riesgo</v>
      </c>
      <c r="BC4" s="171"/>
      <c r="BD4" s="171"/>
      <c r="BE4" s="171">
        <v>0</v>
      </c>
      <c r="BF4" s="171"/>
      <c r="BG4" s="171"/>
      <c r="BH4" s="171"/>
      <c r="BI4" s="171"/>
      <c r="BJ4" s="171"/>
      <c r="BK4" s="171"/>
      <c r="BL4" s="171"/>
      <c r="BM4" s="171"/>
      <c r="BN4" s="171"/>
      <c r="BO4" s="171"/>
      <c r="BP4" s="171"/>
      <c r="BQ4" s="171"/>
      <c r="BR4" s="171"/>
      <c r="BS4" s="171"/>
      <c r="BT4" s="171"/>
      <c r="BU4" s="171"/>
      <c r="BV4" s="171"/>
      <c r="BW4" s="171"/>
      <c r="BX4" s="171"/>
      <c r="BY4" s="171"/>
      <c r="BZ4" s="171"/>
      <c r="CA4" s="171">
        <f>COUNTIF(AJ4:AX4,"*OK*")</f>
        <v>0</v>
      </c>
      <c r="CB4" s="171"/>
      <c r="CC4" s="171">
        <f>COUNTIF(AJ4:AX4,"*OP*")</f>
        <v>0</v>
      </c>
    </row>
    <row r="5" spans="1:81" ht="14.25" hidden="1" customHeight="1">
      <c r="A5" s="241">
        <v>23839</v>
      </c>
      <c r="B5" s="160"/>
      <c r="C5" s="468">
        <f>T5</f>
        <v>4.3219000000000003</v>
      </c>
      <c r="D5" s="160">
        <f>COUNTIF(AN5:AY5,"OK")</f>
        <v>0</v>
      </c>
      <c r="E5" s="160"/>
      <c r="F5" s="162" t="s">
        <v>66</v>
      </c>
      <c r="G5" s="182" t="s">
        <v>63</v>
      </c>
      <c r="H5" s="168" t="s">
        <v>64</v>
      </c>
      <c r="I5" s="168"/>
      <c r="J5" s="162" t="s">
        <v>59</v>
      </c>
      <c r="K5" s="162" t="s">
        <v>59</v>
      </c>
      <c r="L5" s="162" t="s">
        <v>59</v>
      </c>
      <c r="M5" s="162" t="s">
        <v>59</v>
      </c>
      <c r="N5" s="162" t="s">
        <v>59</v>
      </c>
      <c r="O5" s="465" t="s">
        <v>59</v>
      </c>
      <c r="P5" s="465" t="s">
        <v>59</v>
      </c>
      <c r="Q5" s="465" t="s">
        <v>59</v>
      </c>
      <c r="R5" s="224">
        <v>4.33</v>
      </c>
      <c r="S5" s="509">
        <v>4.3697999999999997</v>
      </c>
      <c r="T5" s="549">
        <v>4.3219000000000003</v>
      </c>
      <c r="U5" s="164"/>
      <c r="V5" s="165" t="s">
        <v>59</v>
      </c>
      <c r="W5" s="415"/>
      <c r="X5" s="418"/>
      <c r="Y5" s="418"/>
      <c r="Z5" s="419"/>
      <c r="AA5" s="417" t="s">
        <v>59</v>
      </c>
      <c r="AB5" s="167" t="s">
        <v>65</v>
      </c>
      <c r="AC5" s="168"/>
      <c r="AD5" s="160"/>
      <c r="AE5" s="160"/>
      <c r="AF5" s="160"/>
      <c r="AG5" s="160"/>
      <c r="AH5" s="160"/>
      <c r="AI5" s="167" t="s">
        <v>59</v>
      </c>
      <c r="AJ5" s="170"/>
      <c r="AK5" s="170"/>
      <c r="AL5" s="170"/>
      <c r="AM5" s="170"/>
      <c r="AN5" s="170"/>
      <c r="AO5" s="170"/>
      <c r="AP5" s="170"/>
      <c r="AQ5" s="170"/>
      <c r="AR5" s="170"/>
      <c r="AS5" s="170"/>
      <c r="AT5" s="170"/>
      <c r="AU5" s="170"/>
      <c r="AV5" s="170"/>
      <c r="AW5" s="170"/>
      <c r="AX5" s="170"/>
      <c r="AY5" s="170"/>
      <c r="AZ5" s="169" t="s">
        <v>59</v>
      </c>
      <c r="BA5" s="160">
        <f>(COUNTIF(AJ5:AL5,"*OK*")*3) + (COUNTIF(AM5:AO5,"*OK*")*2) + COUNTIF(AP5:AR5,"*OK*")+COUNTIF(AZ5:AZ5,"SI")*0.5</f>
        <v>0</v>
      </c>
      <c r="BB5" s="160" t="str">
        <f>IF(BA5&lt;0.6,"Demasiado Riesgo",IF(BA5&lt;=5,"Riesgo Medio",IF(BA5&lt;=11,"Riesgo Bajo","Cliente Blindado")))</f>
        <v>Demasiado Riesgo</v>
      </c>
      <c r="BC5" s="160"/>
      <c r="BD5" s="160"/>
      <c r="BE5" s="160">
        <v>0</v>
      </c>
      <c r="BF5" s="160"/>
      <c r="BG5" s="160"/>
      <c r="BH5" s="160"/>
      <c r="BI5" s="160"/>
      <c r="BJ5" s="160"/>
      <c r="BK5" s="160"/>
      <c r="BL5" s="160"/>
      <c r="BM5" s="160"/>
      <c r="BN5" s="160"/>
      <c r="BO5" s="160"/>
      <c r="BP5" s="160"/>
      <c r="BQ5" s="160"/>
      <c r="BR5" s="160"/>
      <c r="BS5" s="160"/>
      <c r="BT5" s="160"/>
      <c r="BU5" s="160"/>
      <c r="BV5" s="160"/>
      <c r="BW5" s="160"/>
      <c r="BX5" s="160"/>
      <c r="BY5" s="160"/>
      <c r="BZ5" s="160"/>
      <c r="CA5" s="160">
        <f>COUNTIF(AJ5:AX5,"*OK*")</f>
        <v>0</v>
      </c>
      <c r="CB5" s="160"/>
      <c r="CC5" s="160">
        <f>COUNTIF(AJ5:AX5,"*OP*")</f>
        <v>0</v>
      </c>
    </row>
    <row r="6" spans="1:81" ht="14.25" hidden="1" customHeight="1">
      <c r="A6" s="241"/>
      <c r="B6" s="160"/>
      <c r="C6" s="468">
        <f>T6</f>
        <v>6.48</v>
      </c>
      <c r="D6" s="160">
        <f>COUNTIF(AJ6:AX6,"*OK*")</f>
        <v>0</v>
      </c>
      <c r="E6" s="160"/>
      <c r="F6" s="182" t="s">
        <v>67</v>
      </c>
      <c r="G6" s="182" t="s">
        <v>63</v>
      </c>
      <c r="H6" s="168"/>
      <c r="I6" s="168"/>
      <c r="J6" s="182"/>
      <c r="K6" s="196" t="s">
        <v>68</v>
      </c>
      <c r="L6" s="182" t="s">
        <v>69</v>
      </c>
      <c r="M6" s="182"/>
      <c r="N6" s="182"/>
      <c r="O6" s="161"/>
      <c r="P6" s="161">
        <v>13.15</v>
      </c>
      <c r="Q6" s="161">
        <v>22.98</v>
      </c>
      <c r="R6" s="186">
        <v>23.71</v>
      </c>
      <c r="S6" s="510">
        <v>15.2943</v>
      </c>
      <c r="T6" s="551">
        <v>6.48</v>
      </c>
      <c r="U6" s="164"/>
      <c r="V6" s="165">
        <v>50</v>
      </c>
      <c r="W6" s="536"/>
      <c r="X6" s="537" t="s">
        <v>70</v>
      </c>
      <c r="Y6" s="418" t="s">
        <v>71</v>
      </c>
      <c r="Z6" s="419" t="s">
        <v>72</v>
      </c>
      <c r="AA6" s="538" t="s">
        <v>59</v>
      </c>
      <c r="AB6" s="188" t="s">
        <v>65</v>
      </c>
      <c r="AC6" s="168"/>
      <c r="AD6" s="160"/>
      <c r="AE6" s="160"/>
      <c r="AF6" s="160"/>
      <c r="AG6" s="160"/>
      <c r="AH6" s="160"/>
      <c r="AI6" s="167" t="s">
        <v>59</v>
      </c>
      <c r="AJ6" s="214"/>
      <c r="AK6" s="214"/>
      <c r="AL6" s="214"/>
      <c r="AM6" s="214"/>
      <c r="AN6" s="217"/>
      <c r="AO6" s="214"/>
      <c r="AP6" s="214"/>
      <c r="AQ6" s="214"/>
      <c r="AR6" s="214"/>
      <c r="AS6" s="214"/>
      <c r="AT6" s="214"/>
      <c r="AU6" s="214"/>
      <c r="AV6" s="214"/>
      <c r="AW6" s="214"/>
      <c r="AX6" s="214"/>
      <c r="AY6" s="214"/>
      <c r="AZ6" s="167" t="s">
        <v>59</v>
      </c>
      <c r="BA6" s="160">
        <f>(COUNTIF(AJ6:AL6,"*OK*")*3) + (COUNTIF(AM6:AO6,"*OK*")*2) + COUNTIF(AP6:AR6,"*OK*")+COUNTIF(AZ6:AZ6,"SI")*0.5</f>
        <v>0</v>
      </c>
      <c r="BB6" s="160" t="str">
        <f>IF(BA6&lt;0.6,"Demasiado Riesgo",IF(BA6&lt;=5,"Riesgo Medio",IF(BA6&lt;=11,"Riesgo Bajo","Cliente Blindado")))</f>
        <v>Demasiado Riesgo</v>
      </c>
      <c r="BC6" s="160"/>
      <c r="BD6" s="160"/>
      <c r="BE6" s="160">
        <v>0</v>
      </c>
      <c r="BF6" s="160"/>
      <c r="BG6" s="160"/>
      <c r="BH6" s="160"/>
      <c r="BI6" s="160"/>
      <c r="BJ6" s="160"/>
      <c r="BK6" s="160"/>
      <c r="BL6" s="160"/>
      <c r="BM6" s="160"/>
      <c r="BN6" s="160"/>
      <c r="BO6" s="160"/>
      <c r="BP6" s="160"/>
      <c r="BQ6" s="160"/>
      <c r="BR6" s="160"/>
      <c r="BS6" s="160"/>
      <c r="BT6" s="160"/>
      <c r="BU6" s="160"/>
      <c r="BV6" s="160"/>
      <c r="BW6" s="160"/>
      <c r="BX6" s="160"/>
      <c r="BY6" s="160"/>
      <c r="BZ6" s="160"/>
      <c r="CA6" s="160">
        <f>COUNTIF(AJ6:AX6,"*OK*")</f>
        <v>0</v>
      </c>
      <c r="CB6" s="160"/>
      <c r="CC6" s="160">
        <f>COUNTIF(AJ6:AX6,"*OP*")</f>
        <v>0</v>
      </c>
    </row>
    <row r="7" spans="1:81" ht="14.25" hidden="1" customHeight="1">
      <c r="A7" s="240"/>
      <c r="B7" s="171"/>
      <c r="C7" s="468">
        <f>T7</f>
        <v>8.64</v>
      </c>
      <c r="D7" s="171">
        <f>COUNTIF(AJ7:AX7,"*OK*")</f>
        <v>0</v>
      </c>
      <c r="E7" s="171"/>
      <c r="F7" s="183" t="s">
        <v>73</v>
      </c>
      <c r="G7" s="183" t="s">
        <v>63</v>
      </c>
      <c r="H7" s="179"/>
      <c r="I7" s="179"/>
      <c r="J7" s="183"/>
      <c r="K7" s="198" t="s">
        <v>68</v>
      </c>
      <c r="L7" s="183" t="s">
        <v>69</v>
      </c>
      <c r="M7" s="183"/>
      <c r="N7" s="183"/>
      <c r="O7" s="172">
        <v>10.97</v>
      </c>
      <c r="P7" s="172">
        <v>10.96</v>
      </c>
      <c r="Q7" s="172">
        <v>10.44</v>
      </c>
      <c r="R7" s="193">
        <v>10.78</v>
      </c>
      <c r="S7" s="510">
        <v>15.2943</v>
      </c>
      <c r="T7" s="550">
        <v>8.64</v>
      </c>
      <c r="U7" s="175"/>
      <c r="V7" s="176">
        <v>50</v>
      </c>
      <c r="W7" s="585"/>
      <c r="X7" s="586" t="s">
        <v>70</v>
      </c>
      <c r="Y7" s="420" t="s">
        <v>71</v>
      </c>
      <c r="Z7" s="421" t="s">
        <v>74</v>
      </c>
      <c r="AA7" s="587" t="s">
        <v>59</v>
      </c>
      <c r="AB7" s="195" t="s">
        <v>65</v>
      </c>
      <c r="AC7" s="179"/>
      <c r="AD7" s="171"/>
      <c r="AE7" s="171"/>
      <c r="AF7" s="171"/>
      <c r="AG7" s="171"/>
      <c r="AH7" s="171"/>
      <c r="AI7" s="178" t="s">
        <v>59</v>
      </c>
      <c r="AJ7" s="214"/>
      <c r="AK7" s="214"/>
      <c r="AL7" s="214"/>
      <c r="AM7" s="214"/>
      <c r="AN7" s="214"/>
      <c r="AO7" s="214"/>
      <c r="AP7" s="217"/>
      <c r="AQ7" s="214"/>
      <c r="AR7" s="214"/>
      <c r="AS7" s="214"/>
      <c r="AT7" s="214"/>
      <c r="AU7" s="214"/>
      <c r="AV7" s="214"/>
      <c r="AW7" s="214"/>
      <c r="AX7" s="214"/>
      <c r="AY7" s="214"/>
      <c r="AZ7" s="180" t="s">
        <v>59</v>
      </c>
      <c r="BA7" s="171">
        <f>(COUNTIF(AJ7:AL7,"*OK*")*3) + (COUNTIF(AM7:AO7,"*OK*")*2) + COUNTIF(AP7:AR7,"*OK*")+COUNTIF(AZ7:AZ7,"SI")*0.5</f>
        <v>0</v>
      </c>
      <c r="BB7" s="171" t="str">
        <f>IF(BA7&lt;0.6,"Demasiado Riesgo",IF(BA7&lt;=5,"Riesgo Medio",IF(BA7&lt;=11,"Riesgo Bajo","Cliente Blindado")))</f>
        <v>Demasiado Riesgo</v>
      </c>
      <c r="BC7" s="171"/>
      <c r="BD7" s="171"/>
      <c r="BE7" s="171">
        <v>0</v>
      </c>
      <c r="BF7" s="171"/>
      <c r="BG7" s="171"/>
      <c r="BH7" s="171"/>
      <c r="BI7" s="171"/>
      <c r="BJ7" s="171"/>
      <c r="BK7" s="171"/>
      <c r="BL7" s="171"/>
      <c r="BM7" s="171"/>
      <c r="BN7" s="171"/>
      <c r="BO7" s="171"/>
      <c r="BP7" s="171"/>
      <c r="BQ7" s="171"/>
      <c r="BR7" s="171"/>
      <c r="BS7" s="171"/>
      <c r="BT7" s="171"/>
      <c r="BU7" s="171"/>
      <c r="BV7" s="171"/>
      <c r="BW7" s="171"/>
      <c r="BX7" s="171"/>
      <c r="BY7" s="171"/>
      <c r="BZ7" s="171"/>
      <c r="CA7" s="171">
        <f>COUNTIF(AJ7:AX7,"*OK*")</f>
        <v>0</v>
      </c>
      <c r="CB7" s="171"/>
      <c r="CC7" s="171">
        <f>COUNTIF(AJ7:AX7,"*OP*")</f>
        <v>0</v>
      </c>
    </row>
    <row r="8" spans="1:81" ht="14.25" hidden="1" customHeight="1">
      <c r="A8" s="240"/>
      <c r="B8" s="171"/>
      <c r="C8" s="468">
        <f>T8</f>
        <v>28.09</v>
      </c>
      <c r="D8" s="171">
        <f>COUNTIF(AJ8:AX8,"*OK*")</f>
        <v>0</v>
      </c>
      <c r="E8" s="171"/>
      <c r="F8" s="183" t="s">
        <v>75</v>
      </c>
      <c r="G8" s="183" t="s">
        <v>63</v>
      </c>
      <c r="H8" s="179"/>
      <c r="I8" s="179"/>
      <c r="J8" s="183"/>
      <c r="K8" s="198" t="s">
        <v>68</v>
      </c>
      <c r="L8" s="183" t="s">
        <v>69</v>
      </c>
      <c r="M8" s="183"/>
      <c r="N8" s="183"/>
      <c r="O8" s="172">
        <v>24.13</v>
      </c>
      <c r="P8" s="172">
        <v>21.92</v>
      </c>
      <c r="Q8" s="172">
        <v>20.89</v>
      </c>
      <c r="R8" s="193">
        <v>23.71</v>
      </c>
      <c r="S8" s="510">
        <v>28.403700000000001</v>
      </c>
      <c r="T8" s="550">
        <v>28.09</v>
      </c>
      <c r="U8" s="175"/>
      <c r="V8" s="176">
        <v>50</v>
      </c>
      <c r="W8" s="585"/>
      <c r="X8" s="586" t="s">
        <v>70</v>
      </c>
      <c r="Y8" s="420" t="s">
        <v>71</v>
      </c>
      <c r="Z8" s="421" t="s">
        <v>76</v>
      </c>
      <c r="AA8" s="587" t="s">
        <v>59</v>
      </c>
      <c r="AB8" s="195" t="s">
        <v>65</v>
      </c>
      <c r="AC8" s="179"/>
      <c r="AD8" s="171"/>
      <c r="AE8" s="171"/>
      <c r="AF8" s="171"/>
      <c r="AG8" s="171"/>
      <c r="AH8" s="171"/>
      <c r="AI8" s="178" t="s">
        <v>59</v>
      </c>
      <c r="AJ8" s="214"/>
      <c r="AK8" s="214"/>
      <c r="AL8" s="214"/>
      <c r="AM8" s="214"/>
      <c r="AN8" s="217"/>
      <c r="AO8" s="214"/>
      <c r="AP8" s="214"/>
      <c r="AQ8" s="214"/>
      <c r="AR8" s="214"/>
      <c r="AS8" s="214"/>
      <c r="AT8" s="214"/>
      <c r="AU8" s="214"/>
      <c r="AV8" s="214"/>
      <c r="AW8" s="214"/>
      <c r="AX8" s="214"/>
      <c r="AY8" s="214"/>
      <c r="AZ8" s="178" t="s">
        <v>59</v>
      </c>
      <c r="BA8" s="171">
        <f>(COUNTIF(AJ8:AL8,"*OK*")*3) + (COUNTIF(AM8:AO8,"*OK*")*2) + COUNTIF(AP8:AR8,"*OK*")+COUNTIF(AZ8:AZ8,"SI")*0.5</f>
        <v>0</v>
      </c>
      <c r="BB8" s="171" t="str">
        <f>IF(BA8&lt;0.6,"Demasiado Riesgo",IF(BA8&lt;=5,"Riesgo Medio",IF(BA8&lt;=11,"Riesgo Bajo","Cliente Blindado")))</f>
        <v>Demasiado Riesgo</v>
      </c>
      <c r="BC8" s="171"/>
      <c r="BD8" s="171"/>
      <c r="BE8" s="171">
        <v>0</v>
      </c>
      <c r="BF8" s="171"/>
      <c r="BG8" s="171"/>
      <c r="BH8" s="171"/>
      <c r="BI8" s="171"/>
      <c r="BJ8" s="171"/>
      <c r="BK8" s="171"/>
      <c r="BL8" s="171"/>
      <c r="BM8" s="171"/>
      <c r="BN8" s="171"/>
      <c r="BO8" s="171"/>
      <c r="BP8" s="171"/>
      <c r="BQ8" s="171"/>
      <c r="BR8" s="171"/>
      <c r="BS8" s="171"/>
      <c r="BT8" s="171"/>
      <c r="BU8" s="171"/>
      <c r="BV8" s="171"/>
      <c r="BW8" s="171"/>
      <c r="BX8" s="171"/>
      <c r="BY8" s="171"/>
      <c r="BZ8" s="171"/>
      <c r="CA8" s="171">
        <f>COUNTIF(AJ8:AX8,"*OK*")</f>
        <v>0</v>
      </c>
      <c r="CB8" s="171"/>
      <c r="CC8" s="171">
        <f>COUNTIF(AJ8:AX8,"*OP*")</f>
        <v>0</v>
      </c>
    </row>
    <row r="9" spans="1:81" ht="14.25" hidden="1" customHeight="1">
      <c r="A9" s="240"/>
      <c r="B9" s="171"/>
      <c r="C9" s="468">
        <f>T9</f>
        <v>28.34</v>
      </c>
      <c r="D9" s="171">
        <f>COUNTIF(AJ9:AX9,"*OK*")</f>
        <v>0</v>
      </c>
      <c r="E9" s="171"/>
      <c r="F9" s="183" t="s">
        <v>77</v>
      </c>
      <c r="G9" s="183" t="s">
        <v>78</v>
      </c>
      <c r="H9" s="179"/>
      <c r="I9" s="179"/>
      <c r="J9" s="183"/>
      <c r="K9" s="212" t="s">
        <v>79</v>
      </c>
      <c r="L9" s="183" t="s">
        <v>69</v>
      </c>
      <c r="M9" s="183"/>
      <c r="N9" s="183"/>
      <c r="O9" s="172">
        <v>28.77</v>
      </c>
      <c r="P9" s="172">
        <v>28.74</v>
      </c>
      <c r="Q9" s="172">
        <v>27.39</v>
      </c>
      <c r="R9" s="193">
        <v>28.27</v>
      </c>
      <c r="S9" s="510">
        <v>28.6539</v>
      </c>
      <c r="T9" s="550">
        <v>28.34</v>
      </c>
      <c r="U9" s="175"/>
      <c r="V9" s="176">
        <v>100</v>
      </c>
      <c r="W9" s="585"/>
      <c r="X9" s="586" t="s">
        <v>70</v>
      </c>
      <c r="Y9" s="420" t="s">
        <v>80</v>
      </c>
      <c r="Z9" s="421" t="s">
        <v>81</v>
      </c>
      <c r="AA9" s="587" t="s">
        <v>59</v>
      </c>
      <c r="AB9" s="195" t="s">
        <v>65</v>
      </c>
      <c r="AC9" s="179"/>
      <c r="AD9" s="171"/>
      <c r="AE9" s="171"/>
      <c r="AF9" s="171"/>
      <c r="AG9" s="171"/>
      <c r="AH9" s="171"/>
      <c r="AI9" s="180" t="s">
        <v>59</v>
      </c>
      <c r="AJ9" s="170"/>
      <c r="AK9" s="170"/>
      <c r="AL9" s="170"/>
      <c r="AM9" s="170"/>
      <c r="AN9" s="170"/>
      <c r="AO9" s="170"/>
      <c r="AP9" s="170"/>
      <c r="AQ9" s="170"/>
      <c r="AR9" s="170"/>
      <c r="AS9" s="170"/>
      <c r="AT9" s="170"/>
      <c r="AU9" s="170"/>
      <c r="AV9" s="170"/>
      <c r="AW9" s="170"/>
      <c r="AX9" s="170"/>
      <c r="AY9" s="170"/>
      <c r="AZ9" s="180" t="s">
        <v>59</v>
      </c>
      <c r="BA9" s="171">
        <f>(COUNTIF(AJ9:AL9,"*OK*")*3) + (COUNTIF(AM9:AO9,"*OK*")*2) + COUNTIF(AP9:AR9,"*OK*")+COUNTIF(AZ9:AZ9,"SI")*0.5</f>
        <v>0</v>
      </c>
      <c r="BB9" s="171" t="str">
        <f>IF(BA9&lt;0.6,"Demasiado Riesgo",IF(BA9&lt;=5,"Riesgo Medio",IF(BA9&lt;=11,"Riesgo Bajo","Cliente Blindado")))</f>
        <v>Demasiado Riesgo</v>
      </c>
      <c r="BC9" s="171"/>
      <c r="BD9" s="171"/>
      <c r="BE9" s="171">
        <v>0</v>
      </c>
      <c r="BF9" s="171"/>
      <c r="BG9" s="171"/>
      <c r="BH9" s="171"/>
      <c r="BI9" s="171"/>
      <c r="BJ9" s="171"/>
      <c r="BK9" s="171"/>
      <c r="BL9" s="171"/>
      <c r="BM9" s="171"/>
      <c r="BN9" s="171"/>
      <c r="BO9" s="171"/>
      <c r="BP9" s="171"/>
      <c r="BQ9" s="171"/>
      <c r="BR9" s="171"/>
      <c r="BS9" s="171"/>
      <c r="BT9" s="171"/>
      <c r="BU9" s="171"/>
      <c r="BV9" s="171"/>
      <c r="BW9" s="171"/>
      <c r="BX9" s="171"/>
      <c r="BY9" s="171"/>
      <c r="BZ9" s="171"/>
      <c r="CA9" s="171">
        <f>COUNTIF(AJ9:AX9,"*OK*")</f>
        <v>0</v>
      </c>
      <c r="CB9" s="171"/>
      <c r="CC9" s="171">
        <f>COUNTIF(AJ9:AX9,"*OP*")</f>
        <v>0</v>
      </c>
    </row>
    <row r="10" spans="1:81" ht="14.25" hidden="1" customHeight="1">
      <c r="A10" s="501"/>
      <c r="B10" s="162"/>
      <c r="C10" s="468">
        <f>T10</f>
        <v>31.49</v>
      </c>
      <c r="D10" s="160">
        <f>COUNTIF(AJ10:AX10,"*OK*")</f>
        <v>0</v>
      </c>
      <c r="E10" s="160"/>
      <c r="F10" s="182" t="s">
        <v>82</v>
      </c>
      <c r="G10" s="182" t="s">
        <v>78</v>
      </c>
      <c r="H10" s="168"/>
      <c r="I10" s="168"/>
      <c r="J10" s="182"/>
      <c r="K10" s="215" t="s">
        <v>79</v>
      </c>
      <c r="L10" s="182" t="s">
        <v>69</v>
      </c>
      <c r="M10" s="182"/>
      <c r="N10" s="182"/>
      <c r="O10" s="161">
        <v>33.03</v>
      </c>
      <c r="P10" s="161">
        <v>35.130000000000003</v>
      </c>
      <c r="Q10" s="161">
        <v>30.44</v>
      </c>
      <c r="R10" s="186">
        <v>31.41</v>
      </c>
      <c r="S10" s="510">
        <v>31.837599999999998</v>
      </c>
      <c r="T10" s="551">
        <v>31.49</v>
      </c>
      <c r="U10" s="164"/>
      <c r="V10" s="165">
        <v>100</v>
      </c>
      <c r="W10" s="187"/>
      <c r="X10" s="207" t="s">
        <v>70</v>
      </c>
      <c r="Y10" s="166" t="s">
        <v>71</v>
      </c>
      <c r="Z10" s="167" t="s">
        <v>83</v>
      </c>
      <c r="AA10" s="165" t="s">
        <v>59</v>
      </c>
      <c r="AB10" s="188" t="s">
        <v>65</v>
      </c>
      <c r="AC10" s="168" t="s">
        <v>84</v>
      </c>
      <c r="AD10" s="160"/>
      <c r="AE10" s="160"/>
      <c r="AF10" s="160"/>
      <c r="AG10" s="160"/>
      <c r="AH10" s="160"/>
      <c r="AI10" s="169" t="s">
        <v>59</v>
      </c>
      <c r="AJ10" s="170"/>
      <c r="AK10" s="170"/>
      <c r="AL10" s="170"/>
      <c r="AM10" s="170"/>
      <c r="AN10" s="170"/>
      <c r="AO10" s="170"/>
      <c r="AP10" s="170"/>
      <c r="AQ10" s="170"/>
      <c r="AR10" s="170"/>
      <c r="AS10" s="170"/>
      <c r="AT10" s="170"/>
      <c r="AU10" s="170"/>
      <c r="AV10" s="170"/>
      <c r="AW10" s="170"/>
      <c r="AX10" s="170"/>
      <c r="AY10" s="170"/>
      <c r="AZ10" s="169" t="s">
        <v>59</v>
      </c>
      <c r="BA10" s="160">
        <f>(COUNTIF(AJ10:AL10,"*OK*")*3) + (COUNTIF(AM10:AO10,"*OK*")*2) + COUNTIF(AP10:AR10,"*OK*")+COUNTIF(AZ10:AZ10,"SI")*0.5</f>
        <v>0</v>
      </c>
      <c r="BB10" s="160" t="str">
        <f>IF(BA10&lt;0.6,"Demasiado Riesgo",IF(BA10&lt;=5,"Riesgo Medio",IF(BA10&lt;=11,"Riesgo Bajo","Cliente Blindado")))</f>
        <v>Demasiado Riesgo</v>
      </c>
      <c r="BC10" s="160"/>
      <c r="BD10" s="160"/>
      <c r="BE10" s="160">
        <v>0</v>
      </c>
      <c r="BF10" s="160"/>
      <c r="BG10" s="160"/>
      <c r="BH10" s="160"/>
      <c r="BI10" s="160"/>
      <c r="BJ10" s="160"/>
      <c r="BK10" s="160"/>
      <c r="BL10" s="160"/>
      <c r="BM10" s="160"/>
      <c r="BN10" s="160"/>
      <c r="BO10" s="160"/>
      <c r="BP10" s="160"/>
      <c r="BQ10" s="160"/>
      <c r="BR10" s="160"/>
      <c r="BS10" s="160"/>
      <c r="BT10" s="160"/>
      <c r="BU10" s="160"/>
      <c r="BV10" s="160"/>
      <c r="BW10" s="160"/>
      <c r="BX10" s="160"/>
      <c r="BY10" s="160"/>
      <c r="BZ10" s="160"/>
      <c r="CA10" s="160">
        <f>COUNTIF(AJ10:AX10,"*OK*")</f>
        <v>0</v>
      </c>
      <c r="CB10" s="160"/>
      <c r="CC10" s="160">
        <f>COUNTIF(AJ10:AX10,"*OP*")</f>
        <v>0</v>
      </c>
    </row>
    <row r="11" spans="1:81" ht="14.25" hidden="1" customHeight="1">
      <c r="A11" s="241">
        <v>24506</v>
      </c>
      <c r="B11" s="160" t="s">
        <v>85</v>
      </c>
      <c r="C11" s="468">
        <f>T11</f>
        <v>32.409999999999997</v>
      </c>
      <c r="D11" s="160">
        <f>COUNTIF(AJ11:AX11,"*OK*")</f>
        <v>0</v>
      </c>
      <c r="E11" s="160"/>
      <c r="F11" s="182" t="s">
        <v>86</v>
      </c>
      <c r="G11" s="182" t="s">
        <v>63</v>
      </c>
      <c r="H11" s="168"/>
      <c r="I11" s="168"/>
      <c r="J11" s="182"/>
      <c r="K11" s="196" t="s">
        <v>68</v>
      </c>
      <c r="L11" s="182" t="s">
        <v>69</v>
      </c>
      <c r="M11" s="182"/>
      <c r="N11" s="182"/>
      <c r="O11" s="161">
        <v>83.36</v>
      </c>
      <c r="P11" s="161">
        <v>85.48</v>
      </c>
      <c r="Q11" s="161">
        <v>71.010000000000005</v>
      </c>
      <c r="R11" s="186">
        <v>73.3</v>
      </c>
      <c r="S11" s="510">
        <v>56.807499999999997</v>
      </c>
      <c r="T11" s="551">
        <v>32.409999999999997</v>
      </c>
      <c r="U11" s="164"/>
      <c r="V11" s="165" t="s">
        <v>87</v>
      </c>
      <c r="W11" s="187" t="s">
        <v>88</v>
      </c>
      <c r="X11" s="207" t="s">
        <v>70</v>
      </c>
      <c r="Y11" s="166" t="s">
        <v>89</v>
      </c>
      <c r="Z11" s="167" t="s">
        <v>90</v>
      </c>
      <c r="AA11" s="165" t="s">
        <v>91</v>
      </c>
      <c r="AB11" s="188" t="s">
        <v>61</v>
      </c>
      <c r="AC11" s="168" t="s">
        <v>92</v>
      </c>
      <c r="AD11" s="160"/>
      <c r="AE11" s="160"/>
      <c r="AF11" s="160"/>
      <c r="AG11" s="160"/>
      <c r="AH11" s="160"/>
      <c r="AI11" s="169" t="s">
        <v>59</v>
      </c>
      <c r="AJ11" s="214"/>
      <c r="AK11" s="214"/>
      <c r="AL11" s="214"/>
      <c r="AM11" s="214"/>
      <c r="AN11" s="214"/>
      <c r="AO11" s="214"/>
      <c r="AP11" s="214"/>
      <c r="AQ11" s="214"/>
      <c r="AR11" s="214"/>
      <c r="AS11" s="214"/>
      <c r="AT11" s="214"/>
      <c r="AU11" s="214"/>
      <c r="AV11" s="214"/>
      <c r="AW11" s="214"/>
      <c r="AX11" s="214"/>
      <c r="AY11" s="214"/>
      <c r="AZ11" s="169" t="s">
        <v>59</v>
      </c>
      <c r="BA11" s="160">
        <f>(COUNTIF(AJ11:AL11,"*OK*")*3) + (COUNTIF(AM11:AO11,"*OK*")*2) + COUNTIF(AP11:AR11,"*OK*")+COUNTIF(AZ11:AZ11,"SI")*0.5</f>
        <v>0</v>
      </c>
      <c r="BB11" s="160" t="str">
        <f>IF(BA11&lt;0.6,"Demasiado Riesgo",IF(BA11&lt;=5,"Riesgo Medio",IF(BA11&lt;=11,"Riesgo Bajo","Cliente Blindado")))</f>
        <v>Demasiado Riesgo</v>
      </c>
      <c r="BC11" s="160"/>
      <c r="BD11" s="160"/>
      <c r="BE11" s="160">
        <v>0</v>
      </c>
      <c r="BF11" s="160"/>
      <c r="BG11" s="160"/>
      <c r="BH11" s="160"/>
      <c r="BI11" s="160"/>
      <c r="BJ11" s="160"/>
      <c r="BK11" s="160"/>
      <c r="BL11" s="160"/>
      <c r="BM11" s="160"/>
      <c r="BN11" s="160"/>
      <c r="BO11" s="160"/>
      <c r="BP11" s="160"/>
      <c r="BQ11" s="160"/>
      <c r="BR11" s="160"/>
      <c r="BS11" s="160"/>
      <c r="BT11" s="160"/>
      <c r="BU11" s="160"/>
      <c r="BV11" s="160"/>
      <c r="BW11" s="160"/>
      <c r="BX11" s="160"/>
      <c r="BY11" s="160"/>
      <c r="BZ11" s="160"/>
      <c r="CA11" s="160">
        <f>COUNTIF(AJ11:AX11,"*OK*")</f>
        <v>0</v>
      </c>
      <c r="CB11" s="160"/>
      <c r="CC11" s="160">
        <f>COUNTIF(AJ11:AX11,"*OP*")</f>
        <v>0</v>
      </c>
    </row>
    <row r="12" spans="1:81" ht="14.25" hidden="1" customHeight="1">
      <c r="A12" s="240"/>
      <c r="B12" s="171"/>
      <c r="C12" s="468">
        <f>T12</f>
        <v>39.99</v>
      </c>
      <c r="D12" s="171">
        <f>COUNTIF(AJ12:AX12,"*OK*")</f>
        <v>0</v>
      </c>
      <c r="E12" s="171"/>
      <c r="F12" s="183" t="s">
        <v>93</v>
      </c>
      <c r="G12" s="183" t="s">
        <v>94</v>
      </c>
      <c r="H12" s="179"/>
      <c r="I12" s="179"/>
      <c r="J12" s="183"/>
      <c r="K12" s="198" t="s">
        <v>68</v>
      </c>
      <c r="L12" s="183" t="s">
        <v>69</v>
      </c>
      <c r="M12" s="183"/>
      <c r="N12" s="183"/>
      <c r="O12" s="172">
        <v>35.18</v>
      </c>
      <c r="P12" s="172">
        <v>43.26</v>
      </c>
      <c r="Q12" s="172">
        <v>36.08</v>
      </c>
      <c r="R12" s="193">
        <v>37.24</v>
      </c>
      <c r="S12" s="510">
        <v>40.433999999999997</v>
      </c>
      <c r="T12" s="550">
        <v>39.99</v>
      </c>
      <c r="U12" s="175"/>
      <c r="V12" s="176">
        <v>100</v>
      </c>
      <c r="W12" s="194"/>
      <c r="X12" s="211" t="s">
        <v>70</v>
      </c>
      <c r="Y12" s="177" t="s">
        <v>95</v>
      </c>
      <c r="Z12" s="178" t="s">
        <v>96</v>
      </c>
      <c r="AA12" s="176" t="s">
        <v>59</v>
      </c>
      <c r="AB12" s="195" t="s">
        <v>65</v>
      </c>
      <c r="AC12" s="179" t="s">
        <v>97</v>
      </c>
      <c r="AD12" s="171"/>
      <c r="AE12" s="171"/>
      <c r="AF12" s="171"/>
      <c r="AG12" s="171"/>
      <c r="AH12" s="171"/>
      <c r="AI12" s="174" t="s">
        <v>59</v>
      </c>
      <c r="AJ12" s="170"/>
      <c r="AK12" s="170"/>
      <c r="AL12" s="170"/>
      <c r="AM12" s="170"/>
      <c r="AN12" s="170"/>
      <c r="AO12" s="170"/>
      <c r="AP12" s="170"/>
      <c r="AQ12" s="170"/>
      <c r="AR12" s="170"/>
      <c r="AS12" s="170"/>
      <c r="AT12" s="170"/>
      <c r="AU12" s="170"/>
      <c r="AV12" s="170"/>
      <c r="AW12" s="170"/>
      <c r="AX12" s="170"/>
      <c r="AY12" s="170"/>
      <c r="AZ12" s="180" t="s">
        <v>59</v>
      </c>
      <c r="BA12" s="171">
        <f>(COUNTIF(AJ12:AL12,"*OK*")*3) + (COUNTIF(AM12:AO12,"*OK*")*2) + COUNTIF(AP12:AR12,"*OK*")+COUNTIF(AZ12:AZ12,"SI")*0.5</f>
        <v>0</v>
      </c>
      <c r="BB12" s="171" t="str">
        <f>IF(BA12&lt;0.6,"Demasiado Riesgo",IF(BA12&lt;=5,"Riesgo Medio",IF(BA12&lt;=11,"Riesgo Bajo","Cliente Blindado")))</f>
        <v>Demasiado Riesgo</v>
      </c>
      <c r="BC12" s="171"/>
      <c r="BD12" s="171"/>
      <c r="BE12" s="171">
        <v>0</v>
      </c>
      <c r="BF12" s="171"/>
      <c r="BG12" s="171"/>
      <c r="BH12" s="171"/>
      <c r="BI12" s="171"/>
      <c r="BJ12" s="171"/>
      <c r="BK12" s="171"/>
      <c r="BL12" s="171"/>
      <c r="BM12" s="171"/>
      <c r="BN12" s="171"/>
      <c r="BO12" s="171"/>
      <c r="BP12" s="171"/>
      <c r="BQ12" s="171"/>
      <c r="BR12" s="171"/>
      <c r="BS12" s="171"/>
      <c r="BT12" s="171"/>
      <c r="BU12" s="171"/>
      <c r="BV12" s="171"/>
      <c r="BW12" s="171"/>
      <c r="BX12" s="171"/>
      <c r="BY12" s="171"/>
      <c r="BZ12" s="171"/>
      <c r="CA12" s="171">
        <f>COUNTIF(AJ12:AX12,"*OK*")</f>
        <v>0</v>
      </c>
      <c r="CB12" s="171"/>
      <c r="CC12" s="171">
        <f>COUNTIF(AJ12:AX12,"*OP*")</f>
        <v>0</v>
      </c>
    </row>
    <row r="13" spans="1:81" ht="14.25" hidden="1" customHeight="1">
      <c r="A13" s="240"/>
      <c r="B13" s="171"/>
      <c r="C13" s="468">
        <f>T13</f>
        <v>42.23</v>
      </c>
      <c r="D13" s="171">
        <f>COUNTIF(AJ13:AX13,"*OK*")</f>
        <v>0</v>
      </c>
      <c r="E13" s="171"/>
      <c r="F13" s="183" t="s">
        <v>98</v>
      </c>
      <c r="G13" s="183" t="s">
        <v>99</v>
      </c>
      <c r="H13" s="179"/>
      <c r="I13" s="179"/>
      <c r="J13" s="183"/>
      <c r="K13" s="192" t="s">
        <v>68</v>
      </c>
      <c r="L13" s="183" t="s">
        <v>69</v>
      </c>
      <c r="M13" s="183"/>
      <c r="N13" s="183"/>
      <c r="O13" s="172">
        <v>133.37</v>
      </c>
      <c r="P13" s="172">
        <v>42.83</v>
      </c>
      <c r="Q13" s="172">
        <v>40.82</v>
      </c>
      <c r="R13" s="193">
        <v>0</v>
      </c>
      <c r="S13" s="510">
        <v>42.697400000000002</v>
      </c>
      <c r="T13" s="550">
        <v>42.23</v>
      </c>
      <c r="U13" s="175"/>
      <c r="V13" s="176">
        <v>50</v>
      </c>
      <c r="W13" s="194"/>
      <c r="X13" s="177" t="s">
        <v>100</v>
      </c>
      <c r="Y13" s="177" t="s">
        <v>80</v>
      </c>
      <c r="Z13" s="178" t="s">
        <v>101</v>
      </c>
      <c r="AA13" s="176" t="s">
        <v>59</v>
      </c>
      <c r="AB13" s="195" t="s">
        <v>65</v>
      </c>
      <c r="AC13" s="179"/>
      <c r="AD13" s="171"/>
      <c r="AE13" s="171"/>
      <c r="AF13" s="171"/>
      <c r="AG13" s="171"/>
      <c r="AH13" s="171"/>
      <c r="AI13" s="178" t="s">
        <v>59</v>
      </c>
      <c r="AJ13" s="170"/>
      <c r="AK13" s="170"/>
      <c r="AL13" s="170"/>
      <c r="AM13" s="170"/>
      <c r="AN13" s="170"/>
      <c r="AO13" s="170"/>
      <c r="AP13" s="170"/>
      <c r="AQ13" s="170"/>
      <c r="AR13" s="170"/>
      <c r="AS13" s="170"/>
      <c r="AT13" s="170"/>
      <c r="AU13" s="170"/>
      <c r="AV13" s="170"/>
      <c r="AW13" s="170"/>
      <c r="AX13" s="170"/>
      <c r="AY13" s="170"/>
      <c r="AZ13" s="180" t="s">
        <v>59</v>
      </c>
      <c r="BA13" s="171">
        <f>(COUNTIF(AJ13:AL13,"*OK*")*3) + (COUNTIF(AM13:AO13,"*OK*")*2) + COUNTIF(AP13:AR13,"*OK*")+COUNTIF(AZ13:AZ13,"SI")*0.5</f>
        <v>0</v>
      </c>
      <c r="BB13" s="171" t="str">
        <f>IF(BA13&lt;0.6,"Demasiado Riesgo",IF(BA13&lt;=5,"Riesgo Medio",IF(BA13&lt;=11,"Riesgo Bajo","Cliente Blindado")))</f>
        <v>Demasiado Riesgo</v>
      </c>
      <c r="BC13" s="171"/>
      <c r="BD13" s="171"/>
      <c r="BE13" s="171">
        <v>0</v>
      </c>
      <c r="BF13" s="171"/>
      <c r="BG13" s="171"/>
      <c r="BH13" s="171"/>
      <c r="BI13" s="171"/>
      <c r="BJ13" s="171"/>
      <c r="BK13" s="171"/>
      <c r="BL13" s="171"/>
      <c r="BM13" s="171"/>
      <c r="BN13" s="171"/>
      <c r="BO13" s="171"/>
      <c r="BP13" s="171"/>
      <c r="BQ13" s="171"/>
      <c r="BR13" s="171"/>
      <c r="BS13" s="171"/>
      <c r="BT13" s="171"/>
      <c r="BU13" s="171"/>
      <c r="BV13" s="171"/>
      <c r="BW13" s="171"/>
      <c r="BX13" s="171"/>
      <c r="BY13" s="171"/>
      <c r="BZ13" s="171"/>
      <c r="CA13" s="171">
        <f>COUNTIF(AJ13:AX13,"*OK*")</f>
        <v>0</v>
      </c>
      <c r="CB13" s="171"/>
      <c r="CC13" s="171">
        <f>COUNTIF(AJ13:AX13,"*OP*")</f>
        <v>0</v>
      </c>
    </row>
    <row r="14" spans="1:81" ht="14.25" hidden="1" customHeight="1">
      <c r="A14" s="240"/>
      <c r="B14" s="171"/>
      <c r="C14" s="468">
        <f>T14</f>
        <v>43.22</v>
      </c>
      <c r="D14" s="171">
        <f>COUNTIF(AJ14:AX14,"*OK*")</f>
        <v>0</v>
      </c>
      <c r="E14" s="171"/>
      <c r="F14" s="183" t="s">
        <v>102</v>
      </c>
      <c r="G14" s="183" t="s">
        <v>63</v>
      </c>
      <c r="H14" s="179"/>
      <c r="I14" s="179"/>
      <c r="J14" s="183"/>
      <c r="K14" s="198" t="s">
        <v>68</v>
      </c>
      <c r="L14" s="183" t="s">
        <v>69</v>
      </c>
      <c r="M14" s="183"/>
      <c r="N14" s="183"/>
      <c r="O14" s="172">
        <v>15.36</v>
      </c>
      <c r="P14" s="172">
        <v>17.53</v>
      </c>
      <c r="Q14" s="172">
        <v>12.53</v>
      </c>
      <c r="R14" s="193">
        <v>12.94</v>
      </c>
      <c r="S14" s="510">
        <v>63.362200000000001</v>
      </c>
      <c r="T14" s="550">
        <v>43.22</v>
      </c>
      <c r="U14" s="175"/>
      <c r="V14" s="176">
        <v>100</v>
      </c>
      <c r="W14" s="194"/>
      <c r="X14" s="211" t="s">
        <v>70</v>
      </c>
      <c r="Y14" s="177" t="s">
        <v>89</v>
      </c>
      <c r="Z14" s="178" t="s">
        <v>103</v>
      </c>
      <c r="AA14" s="176" t="s">
        <v>59</v>
      </c>
      <c r="AB14" s="195" t="s">
        <v>104</v>
      </c>
      <c r="AC14" s="179" t="s">
        <v>92</v>
      </c>
      <c r="AD14" s="171"/>
      <c r="AE14" s="171"/>
      <c r="AF14" s="171"/>
      <c r="AG14" s="171"/>
      <c r="AH14" s="171"/>
      <c r="AI14" s="180" t="s">
        <v>59</v>
      </c>
      <c r="AJ14" s="214"/>
      <c r="AK14" s="214"/>
      <c r="AL14" s="214"/>
      <c r="AM14" s="214"/>
      <c r="AN14" s="214"/>
      <c r="AO14" s="214"/>
      <c r="AP14" s="214"/>
      <c r="AQ14" s="214"/>
      <c r="AR14" s="214"/>
      <c r="AS14" s="214"/>
      <c r="AT14" s="214"/>
      <c r="AU14" s="214"/>
      <c r="AV14" s="214"/>
      <c r="AW14" s="214"/>
      <c r="AX14" s="214"/>
      <c r="AY14" s="214"/>
      <c r="AZ14" s="180" t="s">
        <v>59</v>
      </c>
      <c r="BA14" s="171">
        <f>(COUNTIF(AJ14:AL14,"*OK*")*3) + (COUNTIF(AM14:AO14,"*OK*")*2) + COUNTIF(AP14:AR14,"*OK*")+COUNTIF(AZ14:AZ14,"SI")*0.5</f>
        <v>0</v>
      </c>
      <c r="BB14" s="171" t="str">
        <f>IF(BA14&lt;0.6,"Demasiado Riesgo",IF(BA14&lt;=5,"Riesgo Medio",IF(BA14&lt;=11,"Riesgo Bajo","Cliente Blindado")))</f>
        <v>Demasiado Riesgo</v>
      </c>
      <c r="BC14" s="171"/>
      <c r="BD14" s="171"/>
      <c r="BE14" s="171">
        <v>0</v>
      </c>
      <c r="BF14" s="171"/>
      <c r="BG14" s="171"/>
      <c r="BH14" s="171"/>
      <c r="BI14" s="171"/>
      <c r="BJ14" s="171"/>
      <c r="BK14" s="171"/>
      <c r="BL14" s="171"/>
      <c r="BM14" s="171"/>
      <c r="BN14" s="171"/>
      <c r="BO14" s="171"/>
      <c r="BP14" s="171"/>
      <c r="BQ14" s="171"/>
      <c r="BR14" s="171"/>
      <c r="BS14" s="171"/>
      <c r="BT14" s="171"/>
      <c r="BU14" s="171"/>
      <c r="BV14" s="171"/>
      <c r="BW14" s="171"/>
      <c r="BX14" s="171"/>
      <c r="BY14" s="171"/>
      <c r="BZ14" s="171"/>
      <c r="CA14" s="171">
        <f>COUNTIF(AJ14:AX14,"*OK*")</f>
        <v>0</v>
      </c>
      <c r="CB14" s="171"/>
      <c r="CC14" s="171">
        <f>COUNTIF(AJ14:AX14,"*OP*")</f>
        <v>0</v>
      </c>
    </row>
    <row r="15" spans="1:81" s="121" customFormat="1" ht="14.25" hidden="1" customHeight="1">
      <c r="A15" s="500">
        <v>25478</v>
      </c>
      <c r="B15" s="173" t="s">
        <v>105</v>
      </c>
      <c r="C15" s="468">
        <f>T15</f>
        <v>51.59</v>
      </c>
      <c r="D15" s="171">
        <f>COUNTIF(AJ15:AX15,"*OK*")</f>
        <v>1</v>
      </c>
      <c r="E15" s="171"/>
      <c r="F15" s="191" t="s">
        <v>106</v>
      </c>
      <c r="G15" s="183"/>
      <c r="H15" s="179" t="s">
        <v>107</v>
      </c>
      <c r="I15" s="179"/>
      <c r="J15" s="183"/>
      <c r="K15" s="202" t="s">
        <v>68</v>
      </c>
      <c r="L15" s="183" t="s">
        <v>69</v>
      </c>
      <c r="M15" s="183"/>
      <c r="N15" s="183"/>
      <c r="O15" s="172">
        <v>40.369999999999997</v>
      </c>
      <c r="P15" s="172">
        <v>40.33</v>
      </c>
      <c r="Q15" s="172">
        <v>38.44</v>
      </c>
      <c r="R15" s="193">
        <v>39.67</v>
      </c>
      <c r="S15" s="510">
        <v>54.4343</v>
      </c>
      <c r="T15" s="550">
        <v>51.59</v>
      </c>
      <c r="U15" s="175"/>
      <c r="V15" s="176">
        <v>100</v>
      </c>
      <c r="W15" s="194"/>
      <c r="X15" s="211" t="s">
        <v>70</v>
      </c>
      <c r="Y15" s="177" t="s">
        <v>108</v>
      </c>
      <c r="Z15" s="178" t="s">
        <v>109</v>
      </c>
      <c r="AA15" s="176" t="s">
        <v>110</v>
      </c>
      <c r="AB15" s="195" t="s">
        <v>65</v>
      </c>
      <c r="AC15" s="179" t="s">
        <v>92</v>
      </c>
      <c r="AD15" s="171"/>
      <c r="AE15" s="171"/>
      <c r="AF15" s="171"/>
      <c r="AG15" s="171"/>
      <c r="AH15" s="171"/>
      <c r="AI15" s="174" t="s">
        <v>59</v>
      </c>
      <c r="AJ15" s="170"/>
      <c r="AK15" s="170"/>
      <c r="AL15" s="189" t="s">
        <v>111</v>
      </c>
      <c r="AM15" s="170"/>
      <c r="AN15" s="170"/>
      <c r="AO15" s="170"/>
      <c r="AP15" s="170"/>
      <c r="AQ15" s="170"/>
      <c r="AR15" s="170"/>
      <c r="AS15" s="170"/>
      <c r="AT15" s="170"/>
      <c r="AU15" s="170"/>
      <c r="AV15" s="170"/>
      <c r="AW15" s="170"/>
      <c r="AX15" s="170"/>
      <c r="AY15" s="170"/>
      <c r="AZ15" s="180" t="s">
        <v>59</v>
      </c>
      <c r="BA15" s="171">
        <f>(COUNTIF(AJ15:AL15,"*OK*")*3) + (COUNTIF(AM15:AO15,"*OK*")*2) + COUNTIF(AP15:AR15,"*OK*")+COUNTIF(AZ15:AZ15,"SI")*0.5</f>
        <v>3</v>
      </c>
      <c r="BB15" s="171" t="str">
        <f>IF(BA15&lt;0.6,"Demasiado Riesgo",IF(BA15&lt;=5,"Riesgo Medio",IF(BA15&lt;=11,"Riesgo Bajo","Cliente Blindado")))</f>
        <v>Riesgo Medio</v>
      </c>
      <c r="BC15" s="171"/>
      <c r="BD15" s="171"/>
      <c r="BE15" s="171">
        <v>0</v>
      </c>
      <c r="BF15" s="171"/>
      <c r="BG15" s="171"/>
      <c r="BH15" s="171"/>
      <c r="BI15" s="171"/>
      <c r="BJ15" s="171"/>
      <c r="BK15" s="171"/>
      <c r="BL15" s="171"/>
      <c r="BM15" s="171"/>
      <c r="BN15" s="171"/>
      <c r="BO15" s="171"/>
      <c r="BP15" s="171"/>
      <c r="BQ15" s="171"/>
      <c r="BR15" s="171"/>
      <c r="BS15" s="171"/>
      <c r="BT15" s="171"/>
      <c r="BU15" s="171"/>
      <c r="BV15" s="171"/>
      <c r="BW15" s="171"/>
      <c r="BX15" s="171"/>
      <c r="BY15" s="171"/>
      <c r="BZ15" s="171"/>
      <c r="CA15" s="171">
        <f>COUNTIF(AJ15:AX15,"*OK*")</f>
        <v>1</v>
      </c>
      <c r="CB15" s="171"/>
      <c r="CC15" s="171">
        <f>COUNTIF(AJ15:AX15,"*OP*")</f>
        <v>0</v>
      </c>
    </row>
    <row r="16" spans="1:81" ht="14.25" hidden="1" customHeight="1">
      <c r="A16" s="501"/>
      <c r="B16" s="162"/>
      <c r="C16" s="468">
        <f>T16</f>
        <v>52.48</v>
      </c>
      <c r="D16" s="160">
        <f>COUNTIF(AJ16:AX16,"*OK*")</f>
        <v>0</v>
      </c>
      <c r="E16" s="160"/>
      <c r="F16" s="182" t="s">
        <v>112</v>
      </c>
      <c r="G16" s="182" t="s">
        <v>78</v>
      </c>
      <c r="H16" s="168"/>
      <c r="I16" s="168"/>
      <c r="J16" s="182"/>
      <c r="K16" s="215" t="s">
        <v>79</v>
      </c>
      <c r="L16" s="182" t="s">
        <v>69</v>
      </c>
      <c r="M16" s="182"/>
      <c r="N16" s="182"/>
      <c r="O16" s="161">
        <v>70.33</v>
      </c>
      <c r="P16" s="161">
        <v>56.42</v>
      </c>
      <c r="Q16" s="161">
        <v>54.78</v>
      </c>
      <c r="R16" s="186">
        <v>56.55</v>
      </c>
      <c r="S16" s="510">
        <v>57.3078</v>
      </c>
      <c r="T16" s="551">
        <v>52.48</v>
      </c>
      <c r="U16" s="164"/>
      <c r="V16" s="165">
        <v>50</v>
      </c>
      <c r="W16" s="187"/>
      <c r="X16" s="166" t="s">
        <v>113</v>
      </c>
      <c r="Y16" s="166" t="s">
        <v>89</v>
      </c>
      <c r="Z16" s="167" t="s">
        <v>114</v>
      </c>
      <c r="AA16" s="165" t="s">
        <v>59</v>
      </c>
      <c r="AB16" s="188" t="s">
        <v>65</v>
      </c>
      <c r="AC16" s="168" t="s">
        <v>92</v>
      </c>
      <c r="AD16" s="160"/>
      <c r="AE16" s="160"/>
      <c r="AF16" s="160"/>
      <c r="AG16" s="160"/>
      <c r="AH16" s="160"/>
      <c r="AI16" s="167" t="s">
        <v>59</v>
      </c>
      <c r="AJ16" s="170"/>
      <c r="AK16" s="170"/>
      <c r="AL16" s="170"/>
      <c r="AM16" s="170"/>
      <c r="AN16" s="170"/>
      <c r="AO16" s="170"/>
      <c r="AP16" s="170"/>
      <c r="AQ16" s="170"/>
      <c r="AR16" s="170"/>
      <c r="AS16" s="170"/>
      <c r="AT16" s="170"/>
      <c r="AU16" s="170"/>
      <c r="AV16" s="170"/>
      <c r="AW16" s="170"/>
      <c r="AX16" s="170"/>
      <c r="AY16" s="170"/>
      <c r="AZ16" s="169" t="s">
        <v>59</v>
      </c>
      <c r="BA16" s="160">
        <f>(COUNTIF(AJ16:AL16,"*OK*")*3) + (COUNTIF(AM16:AO16,"*OK*")*2) + COUNTIF(AP16:AR16,"*OK*")+COUNTIF(AZ16:AZ16,"SI")*0.5</f>
        <v>0</v>
      </c>
      <c r="BB16" s="160" t="str">
        <f>IF(BA16&lt;0.6,"Demasiado Riesgo",IF(BA16&lt;=5,"Riesgo Medio",IF(BA16&lt;=11,"Riesgo Bajo","Cliente Blindado")))</f>
        <v>Demasiado Riesgo</v>
      </c>
      <c r="BC16" s="160"/>
      <c r="BD16" s="160"/>
      <c r="BE16" s="160">
        <v>0</v>
      </c>
      <c r="BF16" s="160"/>
      <c r="BG16" s="160"/>
      <c r="BH16" s="160"/>
      <c r="BI16" s="160"/>
      <c r="BJ16" s="160"/>
      <c r="BK16" s="160"/>
      <c r="BL16" s="160"/>
      <c r="BM16" s="160"/>
      <c r="BN16" s="160"/>
      <c r="BO16" s="160"/>
      <c r="BP16" s="160"/>
      <c r="BQ16" s="160"/>
      <c r="BR16" s="160"/>
      <c r="BS16" s="160"/>
      <c r="BT16" s="160"/>
      <c r="BU16" s="160"/>
      <c r="BV16" s="160"/>
      <c r="BW16" s="160"/>
      <c r="BX16" s="160"/>
      <c r="BY16" s="160"/>
      <c r="BZ16" s="160"/>
      <c r="CA16" s="160">
        <f>COUNTIF(AJ16:AX16,"*OK*")</f>
        <v>0</v>
      </c>
      <c r="CB16" s="160"/>
      <c r="CC16" s="160">
        <f>COUNTIF(AJ16:AX16,"*OP*")</f>
        <v>0</v>
      </c>
    </row>
    <row r="17" spans="1:81" ht="14.25" hidden="1" customHeight="1">
      <c r="A17" s="500"/>
      <c r="B17" s="173"/>
      <c r="C17" s="468">
        <f>T17</f>
        <v>70.31</v>
      </c>
      <c r="D17" s="171">
        <f>COUNTIF(AJ17:AX17,"*OK*")</f>
        <v>0</v>
      </c>
      <c r="E17" s="171"/>
      <c r="F17" s="191" t="s">
        <v>115</v>
      </c>
      <c r="G17" s="183" t="s">
        <v>116</v>
      </c>
      <c r="H17" s="179"/>
      <c r="I17" s="179"/>
      <c r="J17" s="183"/>
      <c r="K17" s="198" t="s">
        <v>79</v>
      </c>
      <c r="L17" s="183" t="s">
        <v>69</v>
      </c>
      <c r="M17" s="183"/>
      <c r="N17" s="183"/>
      <c r="O17" s="172">
        <v>101.82</v>
      </c>
      <c r="P17" s="172">
        <v>77.069999999999993</v>
      </c>
      <c r="Q17" s="172">
        <v>67.95</v>
      </c>
      <c r="R17" s="193">
        <v>72.14</v>
      </c>
      <c r="S17" s="510">
        <v>71.084999999999994</v>
      </c>
      <c r="T17" s="550">
        <v>70.31</v>
      </c>
      <c r="U17" s="175"/>
      <c r="V17" s="176">
        <v>100</v>
      </c>
      <c r="W17" s="194"/>
      <c r="X17" s="211" t="s">
        <v>70</v>
      </c>
      <c r="Y17" s="177" t="s">
        <v>108</v>
      </c>
      <c r="Z17" s="178" t="s">
        <v>117</v>
      </c>
      <c r="AA17" s="176" t="s">
        <v>118</v>
      </c>
      <c r="AB17" s="195" t="s">
        <v>119</v>
      </c>
      <c r="AC17" s="179" t="s">
        <v>92</v>
      </c>
      <c r="AD17" s="171"/>
      <c r="AE17" s="171"/>
      <c r="AF17" s="171"/>
      <c r="AG17" s="171"/>
      <c r="AH17" s="171"/>
      <c r="AI17" s="180" t="s">
        <v>59</v>
      </c>
      <c r="AJ17" s="170"/>
      <c r="AK17" s="170"/>
      <c r="AL17" s="170"/>
      <c r="AM17" s="170"/>
      <c r="AN17" s="170"/>
      <c r="AO17" s="170"/>
      <c r="AP17" s="170"/>
      <c r="AQ17" s="170"/>
      <c r="AR17" s="170"/>
      <c r="AS17" s="170"/>
      <c r="AT17" s="170"/>
      <c r="AU17" s="170"/>
      <c r="AV17" s="170"/>
      <c r="AW17" s="170"/>
      <c r="AX17" s="170"/>
      <c r="AY17" s="170"/>
      <c r="AZ17" s="180" t="s">
        <v>59</v>
      </c>
      <c r="BA17" s="171">
        <f>(COUNTIF(AJ17:AL17,"*OK*")*3) + (COUNTIF(AM17:AO17,"*OK*")*2) + COUNTIF(AP17:AR17,"*OK*")+COUNTIF(AZ17:AZ17,"SI")*0.5</f>
        <v>0</v>
      </c>
      <c r="BB17" s="171" t="str">
        <f>IF(BA17&lt;0.6,"Demasiado Riesgo",IF(BA17&lt;=5,"Riesgo Medio",IF(BA17&lt;=11,"Riesgo Bajo","Cliente Blindado")))</f>
        <v>Demasiado Riesgo</v>
      </c>
      <c r="BC17" s="171"/>
      <c r="BD17" s="171"/>
      <c r="BE17" s="171">
        <v>0</v>
      </c>
      <c r="BF17" s="171"/>
      <c r="BG17" s="171"/>
      <c r="BH17" s="171"/>
      <c r="BI17" s="171"/>
      <c r="BJ17" s="171"/>
      <c r="BK17" s="171"/>
      <c r="BL17" s="171"/>
      <c r="BM17" s="171"/>
      <c r="BN17" s="171"/>
      <c r="BO17" s="171"/>
      <c r="BP17" s="171"/>
      <c r="BQ17" s="171"/>
      <c r="BR17" s="171"/>
      <c r="BS17" s="171"/>
      <c r="BT17" s="171"/>
      <c r="BU17" s="171"/>
      <c r="BV17" s="171"/>
      <c r="BW17" s="171"/>
      <c r="BX17" s="171"/>
      <c r="BY17" s="171"/>
      <c r="BZ17" s="171"/>
      <c r="CA17" s="171">
        <f>COUNTIF(AJ17:AX17,"*OK*")</f>
        <v>0</v>
      </c>
      <c r="CB17" s="171"/>
      <c r="CC17" s="171">
        <f>COUNTIF(AJ17:AX17,"*OP*")</f>
        <v>0</v>
      </c>
    </row>
    <row r="18" spans="1:81" ht="14.25" hidden="1" customHeight="1">
      <c r="A18" s="501"/>
      <c r="B18" s="162"/>
      <c r="C18" s="468">
        <f>T18</f>
        <v>74.52</v>
      </c>
      <c r="D18" s="160">
        <f>COUNTIF(AJ18:AX18,"*OK*")</f>
        <v>0</v>
      </c>
      <c r="E18" s="160"/>
      <c r="F18" s="182" t="s">
        <v>120</v>
      </c>
      <c r="G18" s="182" t="s">
        <v>78</v>
      </c>
      <c r="H18" s="168"/>
      <c r="I18" s="168"/>
      <c r="J18" s="182"/>
      <c r="K18" s="215" t="s">
        <v>79</v>
      </c>
      <c r="L18" s="182" t="s">
        <v>69</v>
      </c>
      <c r="M18" s="182"/>
      <c r="N18" s="182"/>
      <c r="O18" s="161">
        <v>58.6</v>
      </c>
      <c r="P18" s="161">
        <v>56.42</v>
      </c>
      <c r="Q18" s="161">
        <v>65.94</v>
      </c>
      <c r="R18" s="186">
        <v>72.25</v>
      </c>
      <c r="S18" s="510">
        <v>73.226600000000005</v>
      </c>
      <c r="T18" s="553">
        <v>74.52</v>
      </c>
      <c r="U18" s="164"/>
      <c r="V18" s="165">
        <v>100</v>
      </c>
      <c r="W18" s="187"/>
      <c r="X18" s="207" t="s">
        <v>70</v>
      </c>
      <c r="Y18" s="166" t="s">
        <v>71</v>
      </c>
      <c r="Z18" s="167" t="s">
        <v>121</v>
      </c>
      <c r="AA18" s="165" t="s">
        <v>59</v>
      </c>
      <c r="AB18" s="188" t="s">
        <v>65</v>
      </c>
      <c r="AC18" s="168" t="s">
        <v>84</v>
      </c>
      <c r="AD18" s="160"/>
      <c r="AE18" s="160"/>
      <c r="AF18" s="160"/>
      <c r="AG18" s="160"/>
      <c r="AH18" s="160"/>
      <c r="AI18" s="167" t="s">
        <v>59</v>
      </c>
      <c r="AJ18" s="170"/>
      <c r="AK18" s="170"/>
      <c r="AL18" s="545"/>
      <c r="AM18" s="170"/>
      <c r="AN18" s="170"/>
      <c r="AO18" s="170"/>
      <c r="AP18" s="170"/>
      <c r="AQ18" s="170"/>
      <c r="AR18" s="170"/>
      <c r="AS18" s="170"/>
      <c r="AT18" s="170"/>
      <c r="AU18" s="170"/>
      <c r="AV18" s="170"/>
      <c r="AW18" s="170"/>
      <c r="AX18" s="170"/>
      <c r="AY18" s="170"/>
      <c r="AZ18" s="167" t="s">
        <v>59</v>
      </c>
      <c r="BA18" s="160">
        <f>(COUNTIF(AJ18:AL18,"*OK*")*3) + (COUNTIF(AM18:AO18,"*OK*")*2) + COUNTIF(AP18:AR18,"*OK*")+COUNTIF(AZ18:AZ18,"SI")*0.5</f>
        <v>0</v>
      </c>
      <c r="BB18" s="160" t="str">
        <f>IF(BA18&lt;0.6,"Demasiado Riesgo",IF(BA18&lt;=5,"Riesgo Medio",IF(BA18&lt;=11,"Riesgo Bajo","Cliente Blindado")))</f>
        <v>Demasiado Riesgo</v>
      </c>
      <c r="BC18" s="160"/>
      <c r="BD18" s="160"/>
      <c r="BE18" s="160">
        <v>0</v>
      </c>
      <c r="BF18" s="160"/>
      <c r="BG18" s="160"/>
      <c r="BH18" s="160"/>
      <c r="BI18" s="160"/>
      <c r="BJ18" s="160"/>
      <c r="BK18" s="160"/>
      <c r="BL18" s="160"/>
      <c r="BM18" s="160"/>
      <c r="BN18" s="160"/>
      <c r="BO18" s="160"/>
      <c r="BP18" s="160"/>
      <c r="BQ18" s="160"/>
      <c r="BR18" s="160"/>
      <c r="BS18" s="160"/>
      <c r="BT18" s="160"/>
      <c r="BU18" s="160"/>
      <c r="BV18" s="160"/>
      <c r="BW18" s="160"/>
      <c r="BX18" s="160"/>
      <c r="BY18" s="160"/>
      <c r="BZ18" s="160"/>
      <c r="CA18" s="160">
        <f>COUNTIF(AJ18:AX18,"*OK*")</f>
        <v>0</v>
      </c>
      <c r="CB18" s="160"/>
      <c r="CC18" s="160">
        <f>COUNTIF(AJ18:AX18,"*OP*")</f>
        <v>0</v>
      </c>
    </row>
    <row r="19" spans="1:81" ht="14.25" hidden="1" customHeight="1">
      <c r="A19" s="501"/>
      <c r="B19" s="162"/>
      <c r="C19" s="468">
        <f>T19</f>
        <v>122.56</v>
      </c>
      <c r="D19" s="160">
        <f>COUNTIF(AJ19:AX19,"*OK*")</f>
        <v>0</v>
      </c>
      <c r="E19" s="160"/>
      <c r="F19" s="182" t="s">
        <v>122</v>
      </c>
      <c r="G19" s="182" t="s">
        <v>123</v>
      </c>
      <c r="H19" s="168"/>
      <c r="I19" s="168"/>
      <c r="J19" s="182"/>
      <c r="K19" s="215" t="s">
        <v>79</v>
      </c>
      <c r="L19" s="182" t="s">
        <v>69</v>
      </c>
      <c r="M19" s="182"/>
      <c r="N19" s="182"/>
      <c r="O19" s="161">
        <v>116.59</v>
      </c>
      <c r="P19" s="161">
        <v>119.09</v>
      </c>
      <c r="Q19" s="161">
        <v>117.63</v>
      </c>
      <c r="R19" s="186">
        <v>125.69</v>
      </c>
      <c r="S19" s="510">
        <v>125.6521</v>
      </c>
      <c r="T19" s="551">
        <v>122.56</v>
      </c>
      <c r="U19" s="164"/>
      <c r="V19" s="165">
        <v>100</v>
      </c>
      <c r="W19" s="187"/>
      <c r="X19" s="166" t="s">
        <v>124</v>
      </c>
      <c r="Y19" s="166" t="s">
        <v>125</v>
      </c>
      <c r="Z19" s="167" t="s">
        <v>126</v>
      </c>
      <c r="AA19" s="165" t="s">
        <v>59</v>
      </c>
      <c r="AB19" s="188" t="s">
        <v>65</v>
      </c>
      <c r="AC19" s="168" t="s">
        <v>97</v>
      </c>
      <c r="AD19" s="160"/>
      <c r="AE19" s="160"/>
      <c r="AF19" s="160"/>
      <c r="AG19" s="160"/>
      <c r="AH19" s="160"/>
      <c r="AI19" s="167" t="s">
        <v>127</v>
      </c>
      <c r="AJ19" s="170"/>
      <c r="AK19" s="170"/>
      <c r="AL19" s="545"/>
      <c r="AM19" s="170"/>
      <c r="AN19" s="170"/>
      <c r="AO19" s="170"/>
      <c r="AP19" s="170"/>
      <c r="AQ19" s="170"/>
      <c r="AR19" s="170"/>
      <c r="AS19" s="170"/>
      <c r="AT19" s="170"/>
      <c r="AU19" s="170"/>
      <c r="AV19" s="170"/>
      <c r="AW19" s="170"/>
      <c r="AX19" s="170"/>
      <c r="AY19" s="170"/>
      <c r="AZ19" s="167" t="s">
        <v>59</v>
      </c>
      <c r="BA19" s="160">
        <f>(COUNTIF(AJ19:AL19,"*OK*")*3) + (COUNTIF(AM19:AO19,"*OK*")*2) + COUNTIF(AP19:AR19,"*OK*")+COUNTIF(AZ19:AZ19,"SI")*0.5</f>
        <v>0</v>
      </c>
      <c r="BB19" s="160" t="str">
        <f>IF(BA19&lt;0.6,"Demasiado Riesgo",IF(BA19&lt;=5,"Riesgo Medio",IF(BA19&lt;=11,"Riesgo Bajo","Cliente Blindado")))</f>
        <v>Demasiado Riesgo</v>
      </c>
      <c r="BC19" s="160"/>
      <c r="BD19" s="160"/>
      <c r="BE19" s="160">
        <v>0</v>
      </c>
      <c r="BF19" s="160"/>
      <c r="BG19" s="160"/>
      <c r="BH19" s="160"/>
      <c r="BI19" s="160"/>
      <c r="BJ19" s="160"/>
      <c r="BK19" s="160"/>
      <c r="BL19" s="160"/>
      <c r="BM19" s="160"/>
      <c r="BN19" s="160"/>
      <c r="BO19" s="160"/>
      <c r="BP19" s="160"/>
      <c r="BQ19" s="160"/>
      <c r="BR19" s="160"/>
      <c r="BS19" s="160"/>
      <c r="BT19" s="160"/>
      <c r="BU19" s="160"/>
      <c r="BV19" s="160"/>
      <c r="BW19" s="160"/>
      <c r="BX19" s="160"/>
      <c r="BY19" s="160"/>
      <c r="BZ19" s="160"/>
      <c r="CA19" s="160">
        <f>COUNTIF(AJ19:AX19,"*OK*")</f>
        <v>0</v>
      </c>
      <c r="CB19" s="160"/>
      <c r="CC19" s="160">
        <f>COUNTIF(AJ19:AX19,"*OP*")</f>
        <v>0</v>
      </c>
    </row>
    <row r="20" spans="1:81" ht="14.25" hidden="1" customHeight="1">
      <c r="A20" s="240">
        <v>21657</v>
      </c>
      <c r="B20" s="171" t="s">
        <v>128</v>
      </c>
      <c r="C20" s="468">
        <f>T20</f>
        <v>123.46</v>
      </c>
      <c r="D20" s="171">
        <f>COUNTIF(AJ20:AX20,"*OK*")</f>
        <v>0</v>
      </c>
      <c r="E20" s="171"/>
      <c r="F20" s="183" t="s">
        <v>129</v>
      </c>
      <c r="G20" s="183"/>
      <c r="H20" s="179"/>
      <c r="I20" s="179"/>
      <c r="J20" s="183"/>
      <c r="K20" s="198" t="s">
        <v>68</v>
      </c>
      <c r="L20" s="183" t="s">
        <v>69</v>
      </c>
      <c r="M20" s="183"/>
      <c r="N20" s="183"/>
      <c r="O20" s="172">
        <v>142.57</v>
      </c>
      <c r="P20" s="172">
        <v>136.18</v>
      </c>
      <c r="Q20" s="172">
        <v>132.76</v>
      </c>
      <c r="R20" s="193">
        <v>124.71</v>
      </c>
      <c r="S20" s="510">
        <v>124.8317</v>
      </c>
      <c r="T20" s="550">
        <v>123.46</v>
      </c>
      <c r="U20" s="175"/>
      <c r="V20" s="176">
        <v>100</v>
      </c>
      <c r="W20" s="194" t="s">
        <v>130</v>
      </c>
      <c r="X20" s="211" t="s">
        <v>70</v>
      </c>
      <c r="Y20" s="177" t="s">
        <v>125</v>
      </c>
      <c r="Z20" s="178" t="s">
        <v>131</v>
      </c>
      <c r="AA20" s="176" t="s">
        <v>132</v>
      </c>
      <c r="AB20" s="195" t="s">
        <v>65</v>
      </c>
      <c r="AC20" s="179"/>
      <c r="AD20" s="171"/>
      <c r="AE20" s="171"/>
      <c r="AF20" s="171"/>
      <c r="AG20" s="171"/>
      <c r="AH20" s="171"/>
      <c r="AI20" s="178" t="s">
        <v>59</v>
      </c>
      <c r="AJ20" s="170"/>
      <c r="AK20" s="170"/>
      <c r="AL20" s="170"/>
      <c r="AM20" s="170"/>
      <c r="AN20" s="170"/>
      <c r="AO20" s="170"/>
      <c r="AP20" s="170"/>
      <c r="AQ20" s="170"/>
      <c r="AR20" s="170"/>
      <c r="AS20" s="170"/>
      <c r="AT20" s="170"/>
      <c r="AU20" s="170"/>
      <c r="AV20" s="170"/>
      <c r="AW20" s="170"/>
      <c r="AX20" s="170"/>
      <c r="AY20" s="170"/>
      <c r="AZ20" s="178" t="s">
        <v>59</v>
      </c>
      <c r="BA20" s="171">
        <f>(COUNTIF(AJ20:AL20,"*OK*")*3) + (COUNTIF(AM20:AO20,"*OK*")*2) + COUNTIF(AP20:AR20,"*OK*")+COUNTIF(AZ20:AZ20,"SI")*0.5</f>
        <v>0</v>
      </c>
      <c r="BB20" s="171" t="str">
        <f>IF(BA20&lt;0.6,"Demasiado Riesgo",IF(BA20&lt;=5,"Riesgo Medio",IF(BA20&lt;=11,"Riesgo Bajo","Cliente Blindado")))</f>
        <v>Demasiado Riesgo</v>
      </c>
      <c r="BC20" s="171"/>
      <c r="BD20" s="171"/>
      <c r="BE20" s="171">
        <v>0</v>
      </c>
      <c r="BF20" s="171"/>
      <c r="BG20" s="171"/>
      <c r="BH20" s="171"/>
      <c r="BI20" s="171"/>
      <c r="BJ20" s="171"/>
      <c r="BK20" s="171"/>
      <c r="BL20" s="171"/>
      <c r="BM20" s="171"/>
      <c r="BN20" s="171"/>
      <c r="BO20" s="171"/>
      <c r="BP20" s="171"/>
      <c r="BQ20" s="171"/>
      <c r="BR20" s="171"/>
      <c r="BS20" s="171"/>
      <c r="BT20" s="171"/>
      <c r="BU20" s="171"/>
      <c r="BV20" s="171"/>
      <c r="BW20" s="171"/>
      <c r="BX20" s="171"/>
      <c r="BY20" s="171"/>
      <c r="BZ20" s="171"/>
      <c r="CA20" s="171">
        <f>COUNTIF(AJ20:AX20,"*OK*")</f>
        <v>0</v>
      </c>
      <c r="CB20" s="171"/>
      <c r="CC20" s="171">
        <f>COUNTIF(AJ20:AX20,"*OP*")</f>
        <v>0</v>
      </c>
    </row>
    <row r="21" spans="1:81" ht="14.25" hidden="1" customHeight="1">
      <c r="A21" s="500">
        <v>24113</v>
      </c>
      <c r="B21" s="173" t="s">
        <v>133</v>
      </c>
      <c r="C21" s="468">
        <f>T21</f>
        <v>136.83000000000001</v>
      </c>
      <c r="D21" s="171">
        <f>COUNTIF(AJ21:AX21,"*OK*")</f>
        <v>0</v>
      </c>
      <c r="E21" s="171"/>
      <c r="F21" s="183" t="s">
        <v>134</v>
      </c>
      <c r="G21" s="183" t="s">
        <v>134</v>
      </c>
      <c r="H21" s="179"/>
      <c r="I21" s="179"/>
      <c r="J21" s="183"/>
      <c r="K21" s="192" t="s">
        <v>68</v>
      </c>
      <c r="L21" s="183" t="s">
        <v>69</v>
      </c>
      <c r="M21" s="183" t="s">
        <v>135</v>
      </c>
      <c r="N21" s="183" t="s">
        <v>136</v>
      </c>
      <c r="O21" s="172">
        <v>232.71</v>
      </c>
      <c r="P21" s="172">
        <v>170.86</v>
      </c>
      <c r="Q21" s="172">
        <v>176.91</v>
      </c>
      <c r="R21" s="193">
        <v>178.17</v>
      </c>
      <c r="S21" s="510">
        <v>156.31120000000001</v>
      </c>
      <c r="T21" s="550">
        <v>136.83000000000001</v>
      </c>
      <c r="U21" s="175"/>
      <c r="V21" s="176">
        <v>200</v>
      </c>
      <c r="W21" s="194" t="s">
        <v>70</v>
      </c>
      <c r="X21" s="211" t="s">
        <v>70</v>
      </c>
      <c r="Y21" s="177" t="s">
        <v>108</v>
      </c>
      <c r="Z21" s="178" t="s">
        <v>137</v>
      </c>
      <c r="AA21" s="176" t="s">
        <v>108</v>
      </c>
      <c r="AB21" s="195" t="s">
        <v>138</v>
      </c>
      <c r="AC21" s="179" t="s">
        <v>139</v>
      </c>
      <c r="AD21" s="171"/>
      <c r="AE21" s="171"/>
      <c r="AF21" s="171"/>
      <c r="AG21" s="171"/>
      <c r="AH21" s="171"/>
      <c r="AI21" s="180" t="s">
        <v>127</v>
      </c>
      <c r="AJ21" s="170"/>
      <c r="AK21" s="170"/>
      <c r="AL21" s="170"/>
      <c r="AM21" s="170"/>
      <c r="AN21" s="170"/>
      <c r="AO21" s="170"/>
      <c r="AP21" s="170"/>
      <c r="AQ21" s="170"/>
      <c r="AR21" s="170"/>
      <c r="AS21" s="170"/>
      <c r="AT21" s="170"/>
      <c r="AU21" s="170"/>
      <c r="AV21" s="170"/>
      <c r="AW21" s="170"/>
      <c r="AX21" s="170"/>
      <c r="AY21" s="170"/>
      <c r="AZ21" s="180" t="s">
        <v>59</v>
      </c>
      <c r="BA21" s="171">
        <f>(COUNTIF(AJ21:AL21,"*OK*")*3) + (COUNTIF(AM21:AO21,"*OK*")*2) + COUNTIF(AP21:AR21,"*OK*")+COUNTIF(AZ21:AZ21,"SI")*0.5</f>
        <v>0</v>
      </c>
      <c r="BB21" s="171" t="str">
        <f>IF(BA21&lt;0.6,"Demasiado Riesgo",IF(BA21&lt;=5,"Riesgo Medio",IF(BA21&lt;=11,"Riesgo Bajo","Cliente Blindado")))</f>
        <v>Demasiado Riesgo</v>
      </c>
      <c r="BC21" s="171"/>
      <c r="BD21" s="171"/>
      <c r="BE21" s="171">
        <v>0</v>
      </c>
      <c r="BF21" s="171"/>
      <c r="BG21" s="171"/>
      <c r="BH21" s="171"/>
      <c r="BI21" s="171"/>
      <c r="BJ21" s="171"/>
      <c r="BK21" s="171"/>
      <c r="BL21" s="171"/>
      <c r="BM21" s="171"/>
      <c r="BN21" s="171"/>
      <c r="BO21" s="171"/>
      <c r="BP21" s="171"/>
      <c r="BQ21" s="171"/>
      <c r="BR21" s="171"/>
      <c r="BS21" s="171"/>
      <c r="BT21" s="171"/>
      <c r="BU21" s="171"/>
      <c r="BV21" s="171"/>
      <c r="BW21" s="171"/>
      <c r="BX21" s="171"/>
      <c r="BY21" s="171"/>
      <c r="BZ21" s="171"/>
      <c r="CA21" s="171">
        <f>COUNTIF(AJ21:AX21,"*OK*")</f>
        <v>0</v>
      </c>
      <c r="CB21" s="171"/>
      <c r="CC21" s="171">
        <f>COUNTIF(AJ21:AX21,"*OP*")</f>
        <v>0</v>
      </c>
    </row>
    <row r="22" spans="1:81" ht="14.25" hidden="1" customHeight="1">
      <c r="A22" s="501"/>
      <c r="B22" s="162"/>
      <c r="C22" s="468">
        <f>T22</f>
        <v>140.09</v>
      </c>
      <c r="D22" s="160">
        <f>COUNTIF(AJ22:AX22,"*OK*")</f>
        <v>0</v>
      </c>
      <c r="E22" s="160"/>
      <c r="F22" s="182" t="s">
        <v>140</v>
      </c>
      <c r="G22" s="182" t="s">
        <v>116</v>
      </c>
      <c r="H22" s="168"/>
      <c r="I22" s="168"/>
      <c r="J22" s="182"/>
      <c r="K22" s="196" t="s">
        <v>79</v>
      </c>
      <c r="L22" s="182" t="s">
        <v>69</v>
      </c>
      <c r="M22" s="182"/>
      <c r="N22" s="182"/>
      <c r="O22" s="161">
        <v>156.43</v>
      </c>
      <c r="P22" s="161">
        <v>150.09</v>
      </c>
      <c r="Q22" s="161">
        <v>150.87</v>
      </c>
      <c r="R22" s="186">
        <v>159.72</v>
      </c>
      <c r="S22" s="510">
        <v>159.84219999999999</v>
      </c>
      <c r="T22" s="550">
        <v>140.09</v>
      </c>
      <c r="U22" s="164"/>
      <c r="V22" s="165">
        <v>100</v>
      </c>
      <c r="W22" s="187"/>
      <c r="X22" s="207" t="s">
        <v>70</v>
      </c>
      <c r="Y22" s="166" t="s">
        <v>141</v>
      </c>
      <c r="Z22" s="167" t="s">
        <v>142</v>
      </c>
      <c r="AA22" s="165" t="s">
        <v>59</v>
      </c>
      <c r="AB22" s="188" t="s">
        <v>119</v>
      </c>
      <c r="AC22" s="168" t="s">
        <v>92</v>
      </c>
      <c r="AD22" s="160"/>
      <c r="AE22" s="160"/>
      <c r="AF22" s="160"/>
      <c r="AG22" s="160"/>
      <c r="AH22" s="160"/>
      <c r="AI22" s="163" t="s">
        <v>59</v>
      </c>
      <c r="AJ22" s="170"/>
      <c r="AK22" s="170"/>
      <c r="AL22" s="170"/>
      <c r="AM22" s="170"/>
      <c r="AN22" s="170"/>
      <c r="AO22" s="170"/>
      <c r="AP22" s="170"/>
      <c r="AQ22" s="170"/>
      <c r="AR22" s="170"/>
      <c r="AS22" s="170"/>
      <c r="AT22" s="170"/>
      <c r="AU22" s="170"/>
      <c r="AV22" s="170"/>
      <c r="AW22" s="170"/>
      <c r="AX22" s="170"/>
      <c r="AY22" s="170"/>
      <c r="AZ22" s="169" t="s">
        <v>59</v>
      </c>
      <c r="BA22" s="160">
        <f>(COUNTIF(AJ22:AL22,"*OK*")*3) + (COUNTIF(AM22:AO22,"*OK*")*2) + COUNTIF(AP22:AR22,"*OK*")+COUNTIF(AZ22:AZ22,"SI")*0.5</f>
        <v>0</v>
      </c>
      <c r="BB22" s="160" t="str">
        <f>IF(BA22&lt;0.6,"Demasiado Riesgo",IF(BA22&lt;=5,"Riesgo Medio",IF(BA22&lt;=11,"Riesgo Bajo","Cliente Blindado")))</f>
        <v>Demasiado Riesgo</v>
      </c>
      <c r="BC22" s="160"/>
      <c r="BD22" s="160"/>
      <c r="BE22" s="160">
        <v>0</v>
      </c>
      <c r="BF22" s="160"/>
      <c r="BG22" s="160"/>
      <c r="BH22" s="160"/>
      <c r="BI22" s="160"/>
      <c r="BJ22" s="160"/>
      <c r="BK22" s="160"/>
      <c r="BL22" s="160"/>
      <c r="BM22" s="160"/>
      <c r="BN22" s="160"/>
      <c r="BO22" s="160"/>
      <c r="BP22" s="160"/>
      <c r="BQ22" s="160"/>
      <c r="BR22" s="160"/>
      <c r="BS22" s="160"/>
      <c r="BT22" s="160"/>
      <c r="BU22" s="160"/>
      <c r="BV22" s="160"/>
      <c r="BW22" s="160"/>
      <c r="BX22" s="160"/>
      <c r="BY22" s="160"/>
      <c r="BZ22" s="160"/>
      <c r="CA22" s="160">
        <f>COUNTIF(AJ22:AX22,"*OK*")</f>
        <v>0</v>
      </c>
      <c r="CB22" s="160"/>
      <c r="CC22" s="160">
        <f>COUNTIF(AJ22:AX22,"*OP*")</f>
        <v>0</v>
      </c>
    </row>
    <row r="23" spans="1:81" ht="14.25" hidden="1" customHeight="1">
      <c r="A23" s="500">
        <v>25875</v>
      </c>
      <c r="B23" s="173" t="s">
        <v>143</v>
      </c>
      <c r="C23" s="468">
        <f>T23</f>
        <v>153.43</v>
      </c>
      <c r="D23" s="171">
        <f>COUNTIF(AJ23:AX23,"*OK*")</f>
        <v>0</v>
      </c>
      <c r="E23" s="171"/>
      <c r="F23" s="183" t="s">
        <v>144</v>
      </c>
      <c r="G23" s="183"/>
      <c r="H23" s="179"/>
      <c r="I23" s="179"/>
      <c r="J23" s="183"/>
      <c r="K23" s="192" t="s">
        <v>68</v>
      </c>
      <c r="L23" s="183" t="s">
        <v>69</v>
      </c>
      <c r="M23" s="183"/>
      <c r="N23" s="183"/>
      <c r="O23" s="172">
        <v>163.43</v>
      </c>
      <c r="P23" s="172">
        <v>162.19</v>
      </c>
      <c r="Q23" s="172">
        <v>154.56</v>
      </c>
      <c r="R23" s="193">
        <v>160.61000000000001</v>
      </c>
      <c r="S23" s="510">
        <v>158.40539999999999</v>
      </c>
      <c r="T23" s="550">
        <v>153.43</v>
      </c>
      <c r="U23" s="175"/>
      <c r="V23" s="176">
        <v>150</v>
      </c>
      <c r="W23" s="194" t="s">
        <v>145</v>
      </c>
      <c r="X23" s="211" t="s">
        <v>70</v>
      </c>
      <c r="Y23" s="177" t="s">
        <v>125</v>
      </c>
      <c r="Z23" s="178" t="s">
        <v>146</v>
      </c>
      <c r="AA23" s="176" t="s">
        <v>147</v>
      </c>
      <c r="AB23" s="195" t="s">
        <v>65</v>
      </c>
      <c r="AC23" s="179" t="s">
        <v>84</v>
      </c>
      <c r="AD23" s="171"/>
      <c r="AE23" s="171"/>
      <c r="AF23" s="171"/>
      <c r="AG23" s="171"/>
      <c r="AH23" s="171"/>
      <c r="AI23" s="174" t="s">
        <v>59</v>
      </c>
      <c r="AJ23" s="170"/>
      <c r="AK23" s="170"/>
      <c r="AL23" s="170"/>
      <c r="AM23" s="170"/>
      <c r="AN23" s="170"/>
      <c r="AO23" s="170"/>
      <c r="AP23" s="170"/>
      <c r="AQ23" s="170"/>
      <c r="AR23" s="170"/>
      <c r="AS23" s="170"/>
      <c r="AT23" s="170"/>
      <c r="AU23" s="170"/>
      <c r="AV23" s="170"/>
      <c r="AW23" s="170"/>
      <c r="AX23" s="170"/>
      <c r="AY23" s="170"/>
      <c r="AZ23" s="180" t="s">
        <v>59</v>
      </c>
      <c r="BA23" s="171">
        <f>(COUNTIF(AJ23:AL23,"*OK*")*3) + (COUNTIF(AM23:AO23,"*OK*")*2) + COUNTIF(AP23:AR23,"*OK*")+COUNTIF(AZ23:AZ23,"SI")*0.5</f>
        <v>0</v>
      </c>
      <c r="BB23" s="171" t="str">
        <f>IF(BA23&lt;0.6,"Demasiado Riesgo",IF(BA23&lt;=5,"Riesgo Medio",IF(BA23&lt;=11,"Riesgo Bajo","Cliente Blindado")))</f>
        <v>Demasiado Riesgo</v>
      </c>
      <c r="BC23" s="171"/>
      <c r="BD23" s="160"/>
      <c r="BE23" s="160">
        <v>0</v>
      </c>
      <c r="BF23" s="160"/>
      <c r="BG23" s="160"/>
      <c r="BH23" s="160"/>
      <c r="BI23" s="160"/>
      <c r="BJ23" s="160"/>
      <c r="BK23" s="160"/>
      <c r="BL23" s="160"/>
      <c r="BM23" s="160"/>
      <c r="BN23" s="160"/>
      <c r="BO23" s="160"/>
      <c r="BP23" s="160"/>
      <c r="BQ23" s="160"/>
      <c r="BR23" s="160"/>
      <c r="BS23" s="160"/>
      <c r="BT23" s="160"/>
      <c r="BU23" s="160"/>
      <c r="BV23" s="160"/>
      <c r="BW23" s="160"/>
      <c r="BX23" s="160"/>
      <c r="BY23" s="160"/>
      <c r="BZ23" s="160"/>
      <c r="CA23" s="160">
        <f>COUNTIF(AJ23:AX23,"*OK*")</f>
        <v>0</v>
      </c>
      <c r="CB23" s="160"/>
      <c r="CC23" s="160">
        <f>COUNTIF(AJ23:AX23,"*OP*")</f>
        <v>0</v>
      </c>
    </row>
    <row r="24" spans="1:81" ht="14.25" hidden="1" customHeight="1">
      <c r="A24" s="240"/>
      <c r="B24" s="171"/>
      <c r="C24" s="468">
        <f>T24</f>
        <v>155.59</v>
      </c>
      <c r="D24" s="171">
        <f>COUNTIF(AJ24:AX24,"*OK*")</f>
        <v>0</v>
      </c>
      <c r="E24" s="171"/>
      <c r="F24" s="183" t="s">
        <v>148</v>
      </c>
      <c r="G24" s="183" t="s">
        <v>63</v>
      </c>
      <c r="H24" s="179"/>
      <c r="I24" s="179"/>
      <c r="J24" s="183"/>
      <c r="K24" s="198" t="s">
        <v>68</v>
      </c>
      <c r="L24" s="183" t="s">
        <v>69</v>
      </c>
      <c r="M24" s="183"/>
      <c r="N24" s="183"/>
      <c r="O24" s="172">
        <v>74.59</v>
      </c>
      <c r="P24" s="172">
        <v>72.33</v>
      </c>
      <c r="Q24" s="172">
        <v>64.75</v>
      </c>
      <c r="R24" s="193">
        <v>60.37</v>
      </c>
      <c r="S24" s="510">
        <v>58.992400000000004</v>
      </c>
      <c r="T24" s="553">
        <v>155.59</v>
      </c>
      <c r="U24" s="175"/>
      <c r="V24" s="176">
        <v>100</v>
      </c>
      <c r="W24" s="194"/>
      <c r="X24" s="177" t="s">
        <v>149</v>
      </c>
      <c r="Y24" s="177" t="s">
        <v>89</v>
      </c>
      <c r="Z24" s="178" t="s">
        <v>150</v>
      </c>
      <c r="AA24" s="176" t="s">
        <v>59</v>
      </c>
      <c r="AB24" s="195" t="s">
        <v>65</v>
      </c>
      <c r="AC24" s="179"/>
      <c r="AD24" s="171"/>
      <c r="AE24" s="171"/>
      <c r="AF24" s="171"/>
      <c r="AG24" s="171"/>
      <c r="AH24" s="171"/>
      <c r="AI24" s="174" t="s">
        <v>59</v>
      </c>
      <c r="AJ24" s="214"/>
      <c r="AK24" s="214"/>
      <c r="AL24" s="214"/>
      <c r="AM24" s="214"/>
      <c r="AN24" s="214"/>
      <c r="AO24" s="214"/>
      <c r="AP24" s="214"/>
      <c r="AQ24" s="214"/>
      <c r="AR24" s="214"/>
      <c r="AS24" s="214"/>
      <c r="AT24" s="214"/>
      <c r="AU24" s="214"/>
      <c r="AV24" s="214"/>
      <c r="AW24" s="214"/>
      <c r="AX24" s="214"/>
      <c r="AY24" s="214"/>
      <c r="AZ24" s="180" t="s">
        <v>59</v>
      </c>
      <c r="BA24" s="171">
        <f>(COUNTIF(AJ24:AL24,"*OK*")*3) + (COUNTIF(AM24:AO24,"*OK*")*2) + COUNTIF(AP24:AR24,"*OK*")+COUNTIF(AZ24:AZ24,"SI")*0.5</f>
        <v>0</v>
      </c>
      <c r="BB24" s="171" t="str">
        <f>IF(BA24&lt;0.6,"Demasiado Riesgo",IF(BA24&lt;=5,"Riesgo Medio",IF(BA24&lt;=11,"Riesgo Bajo","Cliente Blindado")))</f>
        <v>Demasiado Riesgo</v>
      </c>
      <c r="BC24" s="171"/>
      <c r="BD24" s="171"/>
      <c r="BE24" s="171">
        <v>0</v>
      </c>
      <c r="BF24" s="171"/>
      <c r="BG24" s="171"/>
      <c r="BH24" s="171"/>
      <c r="BI24" s="171"/>
      <c r="BJ24" s="171"/>
      <c r="BK24" s="171"/>
      <c r="BL24" s="171"/>
      <c r="BM24" s="171"/>
      <c r="BN24" s="171"/>
      <c r="BO24" s="171"/>
      <c r="BP24" s="171"/>
      <c r="BQ24" s="171"/>
      <c r="BR24" s="171"/>
      <c r="BS24" s="171"/>
      <c r="BT24" s="171"/>
      <c r="BU24" s="171"/>
      <c r="BV24" s="171"/>
      <c r="BW24" s="171"/>
      <c r="BX24" s="171"/>
      <c r="BY24" s="171"/>
      <c r="BZ24" s="171"/>
      <c r="CA24" s="171">
        <f>COUNTIF(AJ24:AX24,"*OK*")</f>
        <v>0</v>
      </c>
      <c r="CB24" s="171"/>
      <c r="CC24" s="171">
        <f>COUNTIF(AJ24:AX24,"*OP*")</f>
        <v>0</v>
      </c>
    </row>
    <row r="25" spans="1:81" ht="14.25" hidden="1" customHeight="1">
      <c r="A25" s="241"/>
      <c r="B25" s="160"/>
      <c r="C25" s="468">
        <f>T25</f>
        <v>159.96</v>
      </c>
      <c r="D25" s="160">
        <f>COUNTIF(AJ25:AX25,"*OK*")</f>
        <v>0</v>
      </c>
      <c r="E25" s="160"/>
      <c r="F25" s="182" t="s">
        <v>151</v>
      </c>
      <c r="G25" s="182" t="s">
        <v>94</v>
      </c>
      <c r="H25" s="168"/>
      <c r="I25" s="168"/>
      <c r="J25" s="182"/>
      <c r="K25" s="196" t="s">
        <v>68</v>
      </c>
      <c r="L25" s="182" t="s">
        <v>69</v>
      </c>
      <c r="M25" s="182"/>
      <c r="N25" s="182"/>
      <c r="O25" s="161">
        <v>148.86000000000001</v>
      </c>
      <c r="P25" s="161">
        <v>154.13</v>
      </c>
      <c r="Q25" s="161">
        <v>154.61000000000001</v>
      </c>
      <c r="R25" s="186">
        <v>146.29</v>
      </c>
      <c r="S25" s="510">
        <v>156.34469999999999</v>
      </c>
      <c r="T25" s="553">
        <v>159.96</v>
      </c>
      <c r="U25" s="164"/>
      <c r="V25" s="165">
        <v>100</v>
      </c>
      <c r="W25" s="187"/>
      <c r="X25" s="207" t="s">
        <v>70</v>
      </c>
      <c r="Y25" s="166" t="s">
        <v>152</v>
      </c>
      <c r="Z25" s="167" t="s">
        <v>153</v>
      </c>
      <c r="AA25" s="165" t="s">
        <v>59</v>
      </c>
      <c r="AB25" s="188" t="s">
        <v>65</v>
      </c>
      <c r="AC25" s="168" t="s">
        <v>97</v>
      </c>
      <c r="AD25" s="160"/>
      <c r="AE25" s="160"/>
      <c r="AF25" s="160"/>
      <c r="AG25" s="160"/>
      <c r="AH25" s="160"/>
      <c r="AI25" s="167" t="s">
        <v>59</v>
      </c>
      <c r="AJ25" s="170"/>
      <c r="AK25" s="170"/>
      <c r="AL25" s="170"/>
      <c r="AM25" s="170"/>
      <c r="AN25" s="170"/>
      <c r="AO25" s="170"/>
      <c r="AP25" s="170"/>
      <c r="AQ25" s="170"/>
      <c r="AR25" s="170"/>
      <c r="AS25" s="170"/>
      <c r="AT25" s="170"/>
      <c r="AU25" s="170"/>
      <c r="AV25" s="170"/>
      <c r="AW25" s="170"/>
      <c r="AX25" s="170"/>
      <c r="AY25" s="170"/>
      <c r="AZ25" s="169" t="s">
        <v>59</v>
      </c>
      <c r="BA25" s="160">
        <f>(COUNTIF(AJ25:AL25,"*OK*")*3) + (COUNTIF(AM25:AO25,"*OK*")*2) + COUNTIF(AP25:AR25,"*OK*")+COUNTIF(AZ25:AZ25,"SI")*0.5</f>
        <v>0</v>
      </c>
      <c r="BB25" s="160" t="str">
        <f>IF(BA25&lt;0.6,"Demasiado Riesgo",IF(BA25&lt;=5,"Riesgo Medio",IF(BA25&lt;=11,"Riesgo Bajo","Cliente Blindado")))</f>
        <v>Demasiado Riesgo</v>
      </c>
      <c r="BC25" s="160"/>
      <c r="BD25" s="160"/>
      <c r="BE25" s="160">
        <v>0</v>
      </c>
      <c r="BF25" s="160"/>
      <c r="BG25" s="160"/>
      <c r="BH25" s="160"/>
      <c r="BI25" s="160"/>
      <c r="BJ25" s="160"/>
      <c r="BK25" s="160"/>
      <c r="BL25" s="160"/>
      <c r="BM25" s="160"/>
      <c r="BN25" s="160"/>
      <c r="BO25" s="160"/>
      <c r="BP25" s="160"/>
      <c r="BQ25" s="160"/>
      <c r="BR25" s="160"/>
      <c r="BS25" s="160"/>
      <c r="BT25" s="160"/>
      <c r="BU25" s="160"/>
      <c r="BV25" s="160"/>
      <c r="BW25" s="160"/>
      <c r="BX25" s="160"/>
      <c r="BY25" s="160"/>
      <c r="BZ25" s="160"/>
      <c r="CA25" s="160">
        <f>COUNTIF(AJ25:AX25,"*OK*")</f>
        <v>0</v>
      </c>
      <c r="CB25" s="160"/>
      <c r="CC25" s="160">
        <f>COUNTIF(AJ25:AX25,"*OP*")</f>
        <v>0</v>
      </c>
    </row>
    <row r="26" spans="1:81" ht="14.25" hidden="1" customHeight="1">
      <c r="A26" s="501"/>
      <c r="B26" s="162"/>
      <c r="C26" s="468">
        <f>T26</f>
        <v>174.84</v>
      </c>
      <c r="D26" s="160">
        <f>COUNTIF(AJ26:AX26,"*OK*")</f>
        <v>0</v>
      </c>
      <c r="E26" s="160"/>
      <c r="F26" s="182" t="s">
        <v>154</v>
      </c>
      <c r="G26" s="182" t="s">
        <v>123</v>
      </c>
      <c r="H26" s="168"/>
      <c r="I26" s="168"/>
      <c r="J26" s="182"/>
      <c r="K26" s="215" t="s">
        <v>79</v>
      </c>
      <c r="L26" s="182" t="s">
        <v>69</v>
      </c>
      <c r="M26" s="182"/>
      <c r="N26" s="182"/>
      <c r="O26" s="161">
        <v>176.62</v>
      </c>
      <c r="P26" s="161">
        <v>181.68</v>
      </c>
      <c r="Q26" s="161">
        <v>178.11</v>
      </c>
      <c r="R26" s="186">
        <v>183.84</v>
      </c>
      <c r="S26" s="510">
        <v>183.71199999999999</v>
      </c>
      <c r="T26" s="551">
        <v>174.84</v>
      </c>
      <c r="U26" s="164"/>
      <c r="V26" s="165">
        <v>150</v>
      </c>
      <c r="W26" s="187"/>
      <c r="X26" s="166" t="s">
        <v>124</v>
      </c>
      <c r="Y26" s="166" t="s">
        <v>125</v>
      </c>
      <c r="Z26" s="167" t="s">
        <v>155</v>
      </c>
      <c r="AA26" s="165" t="s">
        <v>59</v>
      </c>
      <c r="AB26" s="188" t="s">
        <v>65</v>
      </c>
      <c r="AC26" s="168" t="s">
        <v>92</v>
      </c>
      <c r="AD26" s="160"/>
      <c r="AE26" s="160"/>
      <c r="AF26" s="160"/>
      <c r="AG26" s="160"/>
      <c r="AH26" s="160"/>
      <c r="AI26" s="169" t="s">
        <v>59</v>
      </c>
      <c r="AJ26" s="170"/>
      <c r="AK26" s="170"/>
      <c r="AL26" s="170"/>
      <c r="AM26" s="170"/>
      <c r="AN26" s="170"/>
      <c r="AO26" s="170"/>
      <c r="AP26" s="170"/>
      <c r="AQ26" s="545"/>
      <c r="AR26" s="170"/>
      <c r="AS26" s="170"/>
      <c r="AT26" s="170"/>
      <c r="AU26" s="170"/>
      <c r="AV26" s="170"/>
      <c r="AW26" s="170"/>
      <c r="AX26" s="170"/>
      <c r="AY26" s="170"/>
      <c r="AZ26" s="169" t="s">
        <v>59</v>
      </c>
      <c r="BA26" s="160">
        <f>(COUNTIF(AJ26:AL26,"*OK*")*3) + (COUNTIF(AM26:AO26,"*OK*")*2) + COUNTIF(AP26:AR26,"*OK*")+COUNTIF(AZ26:AZ26,"SI")*0.5</f>
        <v>0</v>
      </c>
      <c r="BB26" s="160" t="str">
        <f>IF(BA26&lt;0.6,"Demasiado Riesgo",IF(BA26&lt;=5,"Riesgo Medio",IF(BA26&lt;=11,"Riesgo Bajo","Cliente Blindado")))</f>
        <v>Demasiado Riesgo</v>
      </c>
      <c r="BC26" s="160"/>
      <c r="BD26" s="171"/>
      <c r="BE26" s="171">
        <v>0</v>
      </c>
      <c r="BF26" s="171"/>
      <c r="BG26" s="171"/>
      <c r="BH26" s="171"/>
      <c r="BI26" s="171"/>
      <c r="BJ26" s="171"/>
      <c r="BK26" s="171"/>
      <c r="BL26" s="171"/>
      <c r="BM26" s="171"/>
      <c r="BN26" s="171"/>
      <c r="BO26" s="171"/>
      <c r="BP26" s="171"/>
      <c r="BQ26" s="171"/>
      <c r="BR26" s="171"/>
      <c r="BS26" s="171"/>
      <c r="BT26" s="171"/>
      <c r="BU26" s="171"/>
      <c r="BV26" s="171"/>
      <c r="BW26" s="171"/>
      <c r="BX26" s="171"/>
      <c r="BY26" s="171"/>
      <c r="BZ26" s="171"/>
      <c r="CA26" s="171">
        <f>COUNTIF(AJ26:AX26,"*OK*")</f>
        <v>0</v>
      </c>
      <c r="CB26" s="171"/>
      <c r="CC26" s="171">
        <f>COUNTIF(AJ26:AX26,"*OP*")</f>
        <v>0</v>
      </c>
    </row>
    <row r="27" spans="1:81" ht="14.25" hidden="1" customHeight="1">
      <c r="A27" s="241">
        <v>29825</v>
      </c>
      <c r="B27" s="160" t="s">
        <v>156</v>
      </c>
      <c r="C27" s="468">
        <f>T27</f>
        <v>207.34</v>
      </c>
      <c r="D27" s="160">
        <f>COUNTIF(AJ27:AX27,"*OK*")</f>
        <v>0</v>
      </c>
      <c r="E27" s="160"/>
      <c r="F27" s="182" t="s">
        <v>157</v>
      </c>
      <c r="G27" s="182"/>
      <c r="H27" s="168"/>
      <c r="I27" s="168"/>
      <c r="J27" s="182"/>
      <c r="K27" s="196" t="s">
        <v>68</v>
      </c>
      <c r="L27" s="182" t="s">
        <v>69</v>
      </c>
      <c r="M27" s="182"/>
      <c r="N27" s="182" t="s">
        <v>136</v>
      </c>
      <c r="O27" s="161">
        <v>231.53</v>
      </c>
      <c r="P27" s="161">
        <v>225.31</v>
      </c>
      <c r="Q27" s="161">
        <v>220.45</v>
      </c>
      <c r="R27" s="186">
        <v>192.08</v>
      </c>
      <c r="S27" s="510">
        <v>203.65</v>
      </c>
      <c r="T27" s="554">
        <v>207.34</v>
      </c>
      <c r="U27" s="164"/>
      <c r="V27" s="165">
        <v>100</v>
      </c>
      <c r="W27" s="187" t="s">
        <v>70</v>
      </c>
      <c r="X27" s="207" t="s">
        <v>70</v>
      </c>
      <c r="Y27" s="166" t="s">
        <v>71</v>
      </c>
      <c r="Z27" s="167" t="s">
        <v>158</v>
      </c>
      <c r="AA27" s="165" t="s">
        <v>71</v>
      </c>
      <c r="AB27" s="188" t="s">
        <v>159</v>
      </c>
      <c r="AC27" s="168" t="s">
        <v>92</v>
      </c>
      <c r="AD27" s="160"/>
      <c r="AE27" s="160"/>
      <c r="AF27" s="160"/>
      <c r="AG27" s="160"/>
      <c r="AH27" s="160"/>
      <c r="AI27" s="163" t="s">
        <v>59</v>
      </c>
      <c r="AJ27" s="170"/>
      <c r="AK27" s="170"/>
      <c r="AL27" s="170"/>
      <c r="AM27" s="170"/>
      <c r="AN27" s="170"/>
      <c r="AO27" s="170"/>
      <c r="AP27" s="170"/>
      <c r="AQ27" s="170"/>
      <c r="AR27" s="170"/>
      <c r="AS27" s="170"/>
      <c r="AT27" s="170"/>
      <c r="AU27" s="170"/>
      <c r="AV27" s="170"/>
      <c r="AW27" s="170"/>
      <c r="AX27" s="170"/>
      <c r="AY27" s="170"/>
      <c r="AZ27" s="169" t="s">
        <v>59</v>
      </c>
      <c r="BA27" s="160">
        <f>(COUNTIF(AJ27:AL27,"*OK*")*3) + (COUNTIF(AM27:AO27,"*OK*")*2) + COUNTIF(AP27:AR27,"*OK*")+COUNTIF(AZ27:AZ27,"SI")*0.5</f>
        <v>0</v>
      </c>
      <c r="BB27" s="160" t="str">
        <f>IF(BA27&lt;0.6,"Demasiado Riesgo",IF(BA27&lt;=5,"Riesgo Medio",IF(BA27&lt;=11,"Riesgo Bajo","Cliente Blindado")))</f>
        <v>Demasiado Riesgo</v>
      </c>
      <c r="BC27" s="160"/>
      <c r="BD27" s="160"/>
      <c r="BE27" s="160">
        <v>0</v>
      </c>
      <c r="BF27" s="160"/>
      <c r="BG27" s="160"/>
      <c r="BH27" s="160"/>
      <c r="BI27" s="160"/>
      <c r="BJ27" s="160"/>
      <c r="BK27" s="160"/>
      <c r="BL27" s="160"/>
      <c r="BM27" s="160"/>
      <c r="BN27" s="160"/>
      <c r="BO27" s="160"/>
      <c r="BP27" s="160"/>
      <c r="BQ27" s="160"/>
      <c r="BR27" s="160"/>
      <c r="BS27" s="160"/>
      <c r="BT27" s="160"/>
      <c r="BU27" s="160"/>
      <c r="BV27" s="160"/>
      <c r="BW27" s="160"/>
      <c r="BX27" s="160"/>
      <c r="BY27" s="160"/>
      <c r="BZ27" s="160"/>
      <c r="CA27" s="160">
        <f>COUNTIF(AJ27:AX27,"*OK*")</f>
        <v>0</v>
      </c>
      <c r="CB27" s="160"/>
      <c r="CC27" s="160">
        <f>COUNTIF(AJ27:AX27,"*OP*")</f>
        <v>0</v>
      </c>
    </row>
    <row r="28" spans="1:81" ht="14.25" hidden="1" customHeight="1">
      <c r="A28" s="501">
        <v>20787</v>
      </c>
      <c r="B28" s="162" t="s">
        <v>160</v>
      </c>
      <c r="C28" s="468">
        <f>T28</f>
        <v>209.72</v>
      </c>
      <c r="D28" s="160">
        <f>COUNTIF(AJ28:AX28,"*OK*")</f>
        <v>0</v>
      </c>
      <c r="E28" s="160"/>
      <c r="F28" s="182" t="s">
        <v>161</v>
      </c>
      <c r="G28" s="182"/>
      <c r="H28" s="168"/>
      <c r="I28" s="168"/>
      <c r="J28" s="182"/>
      <c r="K28" s="185" t="s">
        <v>68</v>
      </c>
      <c r="L28" s="182" t="s">
        <v>69</v>
      </c>
      <c r="M28" s="182"/>
      <c r="N28" s="182"/>
      <c r="O28" s="161">
        <v>227.33</v>
      </c>
      <c r="P28" s="161">
        <v>227.12</v>
      </c>
      <c r="Q28" s="161">
        <v>219.88</v>
      </c>
      <c r="R28" s="186">
        <v>219.87</v>
      </c>
      <c r="S28" s="510">
        <v>204.8545</v>
      </c>
      <c r="T28" s="554">
        <v>209.72</v>
      </c>
      <c r="U28" s="164"/>
      <c r="V28" s="165">
        <v>100</v>
      </c>
      <c r="W28" s="187" t="s">
        <v>70</v>
      </c>
      <c r="X28" s="208" t="s">
        <v>70</v>
      </c>
      <c r="Y28" s="166" t="s">
        <v>162</v>
      </c>
      <c r="Z28" s="167" t="s">
        <v>163</v>
      </c>
      <c r="AA28" s="165" t="s">
        <v>162</v>
      </c>
      <c r="AB28" s="188" t="s">
        <v>164</v>
      </c>
      <c r="AC28" s="168" t="s">
        <v>92</v>
      </c>
      <c r="AD28" s="160"/>
      <c r="AE28" s="160"/>
      <c r="AF28" s="160"/>
      <c r="AG28" s="160"/>
      <c r="AH28" s="160"/>
      <c r="AI28" s="163" t="s">
        <v>59</v>
      </c>
      <c r="AJ28" s="170"/>
      <c r="AK28" s="170"/>
      <c r="AL28" s="170"/>
      <c r="AM28" s="170"/>
      <c r="AN28" s="170"/>
      <c r="AO28" s="170"/>
      <c r="AP28" s="170"/>
      <c r="AQ28" s="170"/>
      <c r="AR28" s="170"/>
      <c r="AS28" s="170"/>
      <c r="AT28" s="170"/>
      <c r="AU28" s="170"/>
      <c r="AV28" s="170"/>
      <c r="AW28" s="170"/>
      <c r="AX28" s="170"/>
      <c r="AY28" s="170"/>
      <c r="AZ28" s="169" t="s">
        <v>59</v>
      </c>
      <c r="BA28" s="160">
        <f>(COUNTIF(AJ28:AL28,"*OK*")*3) + (COUNTIF(AM28:AO28,"*OK*")*2) + COUNTIF(AP28:AR28,"*OK*")+COUNTIF(AZ28:AZ28,"SI")*0.5</f>
        <v>0</v>
      </c>
      <c r="BB28" s="160" t="str">
        <f>IF(BA28&lt;0.6,"Demasiado Riesgo",IF(BA28&lt;=5,"Riesgo Medio",IF(BA28&lt;=11,"Riesgo Bajo","Cliente Blindado")))</f>
        <v>Demasiado Riesgo</v>
      </c>
      <c r="BC28" s="160"/>
      <c r="BD28" s="160"/>
      <c r="BE28" s="160">
        <v>0</v>
      </c>
      <c r="BF28" s="160"/>
      <c r="BG28" s="160"/>
      <c r="BH28" s="160"/>
      <c r="BI28" s="160"/>
      <c r="BJ28" s="160"/>
      <c r="BK28" s="160"/>
      <c r="BL28" s="160"/>
      <c r="BM28" s="160"/>
      <c r="BN28" s="160"/>
      <c r="BO28" s="160"/>
      <c r="BP28" s="160"/>
      <c r="BQ28" s="160"/>
      <c r="BR28" s="160"/>
      <c r="BS28" s="160"/>
      <c r="BT28" s="160"/>
      <c r="BU28" s="160"/>
      <c r="BV28" s="160"/>
      <c r="BW28" s="160"/>
      <c r="BX28" s="160"/>
      <c r="BY28" s="160"/>
      <c r="BZ28" s="160"/>
      <c r="CA28" s="160">
        <f>COUNTIF(AJ28:AX28,"*OK*")</f>
        <v>0</v>
      </c>
      <c r="CB28" s="160"/>
      <c r="CC28" s="160">
        <f>COUNTIF(AJ28:AX28,"*OP*")</f>
        <v>0</v>
      </c>
    </row>
    <row r="29" spans="1:81" ht="14.25" hidden="1" customHeight="1">
      <c r="A29" s="241">
        <v>26683</v>
      </c>
      <c r="B29" s="160"/>
      <c r="C29" s="468">
        <f>T29</f>
        <v>232.26</v>
      </c>
      <c r="D29" s="160">
        <f>COUNTIF(AJ29:AX29,"*OK*")</f>
        <v>0</v>
      </c>
      <c r="E29" s="160"/>
      <c r="F29" s="182" t="s">
        <v>99</v>
      </c>
      <c r="G29" s="182" t="s">
        <v>99</v>
      </c>
      <c r="H29" s="168"/>
      <c r="I29" s="168"/>
      <c r="J29" s="182"/>
      <c r="K29" s="185" t="s">
        <v>68</v>
      </c>
      <c r="L29" s="213" t="s">
        <v>69</v>
      </c>
      <c r="M29" s="182"/>
      <c r="N29" s="182"/>
      <c r="O29" s="161">
        <v>288.18</v>
      </c>
      <c r="P29" s="161">
        <v>254.6</v>
      </c>
      <c r="Q29" s="161">
        <v>308.39</v>
      </c>
      <c r="R29" s="186">
        <v>0</v>
      </c>
      <c r="S29" s="510">
        <v>289.3938</v>
      </c>
      <c r="T29" s="550">
        <v>232.26</v>
      </c>
      <c r="U29" s="164"/>
      <c r="V29" s="165">
        <v>200</v>
      </c>
      <c r="W29" s="187"/>
      <c r="X29" s="207" t="s">
        <v>70</v>
      </c>
      <c r="Y29" s="166" t="s">
        <v>80</v>
      </c>
      <c r="Z29" s="167" t="s">
        <v>165</v>
      </c>
      <c r="AA29" s="165" t="s">
        <v>59</v>
      </c>
      <c r="AB29" s="188" t="s">
        <v>65</v>
      </c>
      <c r="AC29" s="168" t="s">
        <v>139</v>
      </c>
      <c r="AD29" s="160"/>
      <c r="AE29" s="160"/>
      <c r="AF29" s="160"/>
      <c r="AG29" s="160"/>
      <c r="AH29" s="160"/>
      <c r="AI29" s="163" t="s">
        <v>59</v>
      </c>
      <c r="AJ29" s="170"/>
      <c r="AK29" s="170"/>
      <c r="AL29" s="170"/>
      <c r="AM29" s="170"/>
      <c r="AN29" s="170"/>
      <c r="AO29" s="170"/>
      <c r="AP29" s="170"/>
      <c r="AQ29" s="170"/>
      <c r="AR29" s="170"/>
      <c r="AS29" s="170"/>
      <c r="AT29" s="170"/>
      <c r="AU29" s="170"/>
      <c r="AV29" s="170"/>
      <c r="AW29" s="170"/>
      <c r="AX29" s="170"/>
      <c r="AY29" s="170"/>
      <c r="AZ29" s="169" t="s">
        <v>59</v>
      </c>
      <c r="BA29" s="160">
        <f>(COUNTIF(AJ29:AL29,"*OK*")*3) + (COUNTIF(AM29:AO29,"*OK*")*2) + COUNTIF(AP29:AR29,"*OK*")+COUNTIF(AZ29:AZ29,"SI")*0.5</f>
        <v>0</v>
      </c>
      <c r="BB29" s="160" t="str">
        <f>IF(BA29&lt;0.6,"Demasiado Riesgo",IF(BA29&lt;=5,"Riesgo Medio",IF(BA29&lt;=11,"Riesgo Bajo","Cliente Blindado")))</f>
        <v>Demasiado Riesgo</v>
      </c>
      <c r="BC29" s="160"/>
      <c r="BD29" s="160"/>
      <c r="BE29" s="160">
        <v>0</v>
      </c>
      <c r="BF29" s="160"/>
      <c r="BG29" s="160"/>
      <c r="BH29" s="160"/>
      <c r="BI29" s="160"/>
      <c r="BJ29" s="160"/>
      <c r="BK29" s="160"/>
      <c r="BL29" s="160"/>
      <c r="BM29" s="160"/>
      <c r="BN29" s="160"/>
      <c r="BO29" s="160"/>
      <c r="BP29" s="160"/>
      <c r="BQ29" s="160"/>
      <c r="BR29" s="160"/>
      <c r="BS29" s="160"/>
      <c r="BT29" s="160"/>
      <c r="BU29" s="160"/>
      <c r="BV29" s="160"/>
      <c r="BW29" s="160"/>
      <c r="BX29" s="160"/>
      <c r="BY29" s="160"/>
      <c r="BZ29" s="160"/>
      <c r="CA29" s="160">
        <f>COUNTIF(AJ29:AX29,"*OK*")</f>
        <v>0</v>
      </c>
      <c r="CB29" s="160"/>
      <c r="CC29" s="160">
        <f>COUNTIF(AJ29:AX29,"*OP*")</f>
        <v>0</v>
      </c>
    </row>
    <row r="30" spans="1:81" ht="14.25" hidden="1" customHeight="1">
      <c r="A30" s="500">
        <v>22786</v>
      </c>
      <c r="B30" s="173" t="s">
        <v>166</v>
      </c>
      <c r="C30" s="468">
        <f>T30</f>
        <v>246.95</v>
      </c>
      <c r="D30" s="171">
        <v>1</v>
      </c>
      <c r="E30" s="171"/>
      <c r="F30" s="424" t="s">
        <v>167</v>
      </c>
      <c r="G30" s="183"/>
      <c r="H30" s="179"/>
      <c r="I30" s="179"/>
      <c r="J30" s="183"/>
      <c r="K30" s="192" t="s">
        <v>68</v>
      </c>
      <c r="L30" s="183" t="s">
        <v>69</v>
      </c>
      <c r="M30" s="183" t="s">
        <v>135</v>
      </c>
      <c r="N30" s="183"/>
      <c r="O30" s="172">
        <v>268.24</v>
      </c>
      <c r="P30" s="172">
        <v>247.96</v>
      </c>
      <c r="Q30" s="172">
        <v>241.08</v>
      </c>
      <c r="R30" s="193">
        <v>263.62</v>
      </c>
      <c r="S30" s="510">
        <v>269.66160000000002</v>
      </c>
      <c r="T30" s="551">
        <v>246.95</v>
      </c>
      <c r="U30" s="175"/>
      <c r="V30" s="176">
        <v>100</v>
      </c>
      <c r="W30" s="194" t="s">
        <v>70</v>
      </c>
      <c r="X30" s="211" t="s">
        <v>70</v>
      </c>
      <c r="Y30" s="177" t="s">
        <v>141</v>
      </c>
      <c r="Z30" s="178" t="s">
        <v>168</v>
      </c>
      <c r="AA30" s="176" t="s">
        <v>71</v>
      </c>
      <c r="AB30" s="195" t="s">
        <v>65</v>
      </c>
      <c r="AC30" s="179" t="s">
        <v>139</v>
      </c>
      <c r="AD30" s="171"/>
      <c r="AE30" s="171"/>
      <c r="AF30" s="171"/>
      <c r="AG30" s="171"/>
      <c r="AH30" s="171"/>
      <c r="AI30" s="174" t="s">
        <v>59</v>
      </c>
      <c r="AJ30" s="170"/>
      <c r="AK30" s="170"/>
      <c r="AL30" s="170"/>
      <c r="AM30" s="170"/>
      <c r="AN30" s="170"/>
      <c r="AO30" s="170"/>
      <c r="AP30" s="170"/>
      <c r="AQ30" s="170"/>
      <c r="AR30" s="170"/>
      <c r="AS30" s="170"/>
      <c r="AT30" s="170"/>
      <c r="AU30" s="170"/>
      <c r="AV30" s="170"/>
      <c r="AW30" s="170"/>
      <c r="AX30" s="170"/>
      <c r="AY30" s="170"/>
      <c r="AZ30" s="178" t="s">
        <v>59</v>
      </c>
      <c r="BA30" s="171">
        <f>(COUNTIF(AJ30:AL30,"*OK*")*3) + (COUNTIF(AM30:AO30,"*OK*")*2) + COUNTIF(AP30:AR30,"*OK*")+COUNTIF(AZ30:AZ30,"SI")*0.5</f>
        <v>0</v>
      </c>
      <c r="BB30" s="171" t="str">
        <f>IF(BA30&lt;0.6,"Demasiado Riesgo",IF(BA30&lt;=5,"Riesgo Medio",IF(BA30&lt;=11,"Riesgo Bajo","Cliente Blindado")))</f>
        <v>Demasiado Riesgo</v>
      </c>
      <c r="BC30" s="171"/>
      <c r="BD30" s="171"/>
      <c r="BE30" s="171">
        <v>0</v>
      </c>
      <c r="BF30" s="171"/>
      <c r="BG30" s="171"/>
      <c r="BH30" s="171"/>
      <c r="BI30" s="171"/>
      <c r="BJ30" s="171"/>
      <c r="BK30" s="171"/>
      <c r="BL30" s="171"/>
      <c r="BM30" s="171"/>
      <c r="BN30" s="171"/>
      <c r="BO30" s="171"/>
      <c r="BP30" s="171"/>
      <c r="BQ30" s="171"/>
      <c r="BR30" s="171"/>
      <c r="BS30" s="171"/>
      <c r="BT30" s="171"/>
      <c r="BU30" s="171"/>
      <c r="BV30" s="171"/>
      <c r="BW30" s="171"/>
      <c r="BX30" s="171"/>
      <c r="BY30" s="171"/>
      <c r="BZ30" s="171"/>
      <c r="CA30" s="171">
        <f>COUNTIF(AJ30:AX30,"*OK*")</f>
        <v>0</v>
      </c>
      <c r="CB30" s="171"/>
      <c r="CC30" s="171">
        <f>COUNTIF(AJ30:AX30,"*OP*")</f>
        <v>0</v>
      </c>
    </row>
    <row r="31" spans="1:81" ht="14.25" hidden="1" customHeight="1">
      <c r="A31" s="501">
        <v>33502</v>
      </c>
      <c r="B31" s="162"/>
      <c r="C31" s="468">
        <f>T31</f>
        <v>247.98</v>
      </c>
      <c r="D31" s="160">
        <f>COUNTIF(AJ31:AX31,"*OK*")</f>
        <v>0</v>
      </c>
      <c r="E31" s="160"/>
      <c r="F31" s="262" t="s">
        <v>169</v>
      </c>
      <c r="G31" s="182"/>
      <c r="H31" s="168"/>
      <c r="I31" s="168"/>
      <c r="J31" s="182" t="s">
        <v>170</v>
      </c>
      <c r="K31" s="185" t="s">
        <v>68</v>
      </c>
      <c r="L31" s="182" t="s">
        <v>69</v>
      </c>
      <c r="M31" s="182"/>
      <c r="N31" s="182"/>
      <c r="O31" s="161">
        <v>358.46</v>
      </c>
      <c r="P31" s="161">
        <v>353.79</v>
      </c>
      <c r="Q31" s="161">
        <v>341.57</v>
      </c>
      <c r="R31" s="186">
        <v>328.91</v>
      </c>
      <c r="S31" s="510">
        <v>251.8819</v>
      </c>
      <c r="T31" s="550">
        <v>247.98</v>
      </c>
      <c r="U31" s="164"/>
      <c r="V31" s="165">
        <v>300</v>
      </c>
      <c r="W31" s="187"/>
      <c r="X31" s="207" t="s">
        <v>70</v>
      </c>
      <c r="Y31" s="166" t="s">
        <v>80</v>
      </c>
      <c r="Z31" s="167" t="s">
        <v>171</v>
      </c>
      <c r="AA31" s="165" t="s">
        <v>59</v>
      </c>
      <c r="AB31" s="188" t="s">
        <v>172</v>
      </c>
      <c r="AC31" s="168" t="s">
        <v>92</v>
      </c>
      <c r="AD31" s="160"/>
      <c r="AE31" s="160"/>
      <c r="AF31" s="160"/>
      <c r="AG31" s="160"/>
      <c r="AH31" s="160"/>
      <c r="AI31" s="163" t="s">
        <v>59</v>
      </c>
      <c r="AJ31" s="170"/>
      <c r="AK31" s="170"/>
      <c r="AL31" s="170"/>
      <c r="AM31" s="170"/>
      <c r="AN31" s="170"/>
      <c r="AO31" s="170" t="s">
        <v>173</v>
      </c>
      <c r="AP31" s="170"/>
      <c r="AQ31" s="170"/>
      <c r="AR31" s="170"/>
      <c r="AS31" s="170"/>
      <c r="AT31" s="170"/>
      <c r="AU31" s="170"/>
      <c r="AV31" s="170"/>
      <c r="AW31" s="170"/>
      <c r="AX31" s="170"/>
      <c r="AY31" s="170"/>
      <c r="AZ31" s="169" t="s">
        <v>59</v>
      </c>
      <c r="BA31" s="160">
        <f>(COUNTIF(AJ31:AL31,"*OK*")*3) + (COUNTIF(AM31:AO31,"*OK*")*2) + COUNTIF(AP31:AR31,"*OK*")+COUNTIF(AZ31:AZ31,"SI")*0.5</f>
        <v>0</v>
      </c>
      <c r="BB31" s="160" t="str">
        <f>IF(BA31&lt;0.6,"Demasiado Riesgo",IF(BA31&lt;=5,"Riesgo Medio",IF(BA31&lt;=11,"Riesgo Bajo","Cliente Blindado")))</f>
        <v>Demasiado Riesgo</v>
      </c>
      <c r="BC31" s="160"/>
      <c r="BD31" s="160"/>
      <c r="BE31" s="160">
        <v>0</v>
      </c>
      <c r="BF31" s="160"/>
      <c r="BG31" s="160"/>
      <c r="BH31" s="160"/>
      <c r="BI31" s="160"/>
      <c r="BJ31" s="160"/>
      <c r="BK31" s="160"/>
      <c r="BL31" s="160"/>
      <c r="BM31" s="160"/>
      <c r="BN31" s="160"/>
      <c r="BO31" s="160"/>
      <c r="BP31" s="160"/>
      <c r="BQ31" s="160"/>
      <c r="BR31" s="160"/>
      <c r="BS31" s="160"/>
      <c r="BT31" s="160"/>
      <c r="BU31" s="160"/>
      <c r="BV31" s="160"/>
      <c r="BW31" s="160"/>
      <c r="BX31" s="160"/>
      <c r="BY31" s="160"/>
      <c r="BZ31" s="160"/>
      <c r="CA31" s="160">
        <f>COUNTIF(AJ31:AX31,"*OK*")</f>
        <v>0</v>
      </c>
      <c r="CB31" s="160"/>
      <c r="CC31" s="160">
        <f>COUNTIF(AJ31:AX31,"*OP*")</f>
        <v>1</v>
      </c>
    </row>
    <row r="32" spans="1:81" ht="14.25" hidden="1" customHeight="1">
      <c r="A32" s="241">
        <v>18481</v>
      </c>
      <c r="B32" s="160" t="s">
        <v>174</v>
      </c>
      <c r="C32" s="468">
        <f>T32</f>
        <v>252.06</v>
      </c>
      <c r="D32" s="160">
        <f>COUNTIF(AJ32:AX32,"*OK*")</f>
        <v>1</v>
      </c>
      <c r="E32" s="160"/>
      <c r="F32" s="182" t="s">
        <v>175</v>
      </c>
      <c r="G32" s="182"/>
      <c r="H32" s="168"/>
      <c r="I32" s="168"/>
      <c r="J32" s="182"/>
      <c r="K32" s="185" t="s">
        <v>68</v>
      </c>
      <c r="L32" s="182" t="s">
        <v>69</v>
      </c>
      <c r="M32" s="182"/>
      <c r="N32" s="182"/>
      <c r="O32" s="161">
        <v>255.88</v>
      </c>
      <c r="P32" s="161">
        <v>255.64</v>
      </c>
      <c r="Q32" s="161">
        <v>243.62</v>
      </c>
      <c r="R32" s="186">
        <v>251.47</v>
      </c>
      <c r="S32" s="510">
        <v>254.84960000000001</v>
      </c>
      <c r="T32" s="551">
        <v>252.06</v>
      </c>
      <c r="U32" s="164"/>
      <c r="V32" s="165">
        <v>150</v>
      </c>
      <c r="W32" s="187" t="s">
        <v>70</v>
      </c>
      <c r="X32" s="208" t="s">
        <v>70</v>
      </c>
      <c r="Y32" s="166" t="s">
        <v>152</v>
      </c>
      <c r="Z32" s="167" t="s">
        <v>176</v>
      </c>
      <c r="AA32" s="165" t="s">
        <v>147</v>
      </c>
      <c r="AB32" s="188" t="s">
        <v>177</v>
      </c>
      <c r="AC32" s="168" t="s">
        <v>92</v>
      </c>
      <c r="AD32" s="160"/>
      <c r="AE32" s="160"/>
      <c r="AF32" s="160"/>
      <c r="AG32" s="160"/>
      <c r="AH32" s="160"/>
      <c r="AI32" s="163" t="s">
        <v>127</v>
      </c>
      <c r="AJ32" s="170"/>
      <c r="AK32" s="170"/>
      <c r="AL32" s="189" t="s">
        <v>111</v>
      </c>
      <c r="AM32" s="170"/>
      <c r="AN32" s="170"/>
      <c r="AO32" s="170"/>
      <c r="AP32" s="170"/>
      <c r="AQ32" s="170"/>
      <c r="AR32" s="170"/>
      <c r="AS32" s="170"/>
      <c r="AT32" s="170"/>
      <c r="AU32" s="170"/>
      <c r="AV32" s="170"/>
      <c r="AW32" s="170"/>
      <c r="AX32" s="170"/>
      <c r="AY32" s="170"/>
      <c r="AZ32" s="169" t="s">
        <v>178</v>
      </c>
      <c r="BA32" s="160">
        <f>(COUNTIF(AJ32:AL32,"*OK*")*3) + (COUNTIF(AM32:AO32,"*OK*")*2) + COUNTIF(AP32:AR32,"*OK*")+COUNTIF(AZ32:AZ32,"SI")*0.5</f>
        <v>3</v>
      </c>
      <c r="BB32" s="160" t="str">
        <f>IF(BA32&lt;0.6,"Demasiado Riesgo",IF(BA32&lt;=5,"Riesgo Medio",IF(BA32&lt;=11,"Riesgo Bajo","Cliente Blindado")))</f>
        <v>Riesgo Medio</v>
      </c>
      <c r="BC32" s="160"/>
      <c r="BD32" s="171"/>
      <c r="BE32" s="171">
        <v>0</v>
      </c>
      <c r="BF32" s="171"/>
      <c r="BG32" s="171"/>
      <c r="BH32" s="171"/>
      <c r="BI32" s="171"/>
      <c r="BJ32" s="171"/>
      <c r="BK32" s="171"/>
      <c r="BL32" s="171"/>
      <c r="BM32" s="171"/>
      <c r="BN32" s="171"/>
      <c r="BO32" s="171"/>
      <c r="BP32" s="171"/>
      <c r="BQ32" s="171"/>
      <c r="BR32" s="171"/>
      <c r="BS32" s="171"/>
      <c r="BT32" s="171"/>
      <c r="BU32" s="171"/>
      <c r="BV32" s="171"/>
      <c r="BW32" s="171"/>
      <c r="BX32" s="171"/>
      <c r="BY32" s="171"/>
      <c r="BZ32" s="171"/>
      <c r="CA32" s="171">
        <f>COUNTIF(AJ32:AX32,"*OK*")</f>
        <v>1</v>
      </c>
      <c r="CB32" s="171"/>
      <c r="CC32" s="171">
        <f>COUNTIF(AJ32:AX32,"*OP*")</f>
        <v>0</v>
      </c>
    </row>
    <row r="33" spans="1:81" ht="14.25" hidden="1" customHeight="1">
      <c r="A33" s="500"/>
      <c r="B33" s="173"/>
      <c r="C33" s="468">
        <f>T33</f>
        <v>260.31</v>
      </c>
      <c r="D33" s="171">
        <f>COUNTIF(AJ33:AX33,"*OK*")</f>
        <v>0</v>
      </c>
      <c r="E33" s="171"/>
      <c r="F33" s="183" t="s">
        <v>179</v>
      </c>
      <c r="G33" s="183" t="s">
        <v>78</v>
      </c>
      <c r="H33" s="179"/>
      <c r="I33" s="179"/>
      <c r="J33" s="183"/>
      <c r="K33" s="212" t="s">
        <v>79</v>
      </c>
      <c r="L33" s="183" t="s">
        <v>69</v>
      </c>
      <c r="M33" s="183"/>
      <c r="N33" s="183"/>
      <c r="O33" s="172">
        <v>313.27</v>
      </c>
      <c r="P33" s="172">
        <v>309.79000000000002</v>
      </c>
      <c r="Q33" s="172">
        <v>288.12</v>
      </c>
      <c r="R33" s="193">
        <v>303.68</v>
      </c>
      <c r="S33" s="510">
        <v>279.11</v>
      </c>
      <c r="T33" s="551">
        <v>260.31</v>
      </c>
      <c r="U33" s="175"/>
      <c r="V33" s="176">
        <v>300</v>
      </c>
      <c r="W33" s="194"/>
      <c r="X33" s="211" t="s">
        <v>70</v>
      </c>
      <c r="Y33" s="177" t="s">
        <v>89</v>
      </c>
      <c r="Z33" s="178" t="s">
        <v>180</v>
      </c>
      <c r="AA33" s="176" t="s">
        <v>59</v>
      </c>
      <c r="AB33" s="195" t="s">
        <v>65</v>
      </c>
      <c r="AC33" s="179"/>
      <c r="AD33" s="171"/>
      <c r="AE33" s="171"/>
      <c r="AF33" s="171"/>
      <c r="AG33" s="171"/>
      <c r="AH33" s="171"/>
      <c r="AI33" s="174" t="s">
        <v>59</v>
      </c>
      <c r="AJ33" s="170"/>
      <c r="AK33" s="170"/>
      <c r="AL33" s="170"/>
      <c r="AM33" s="170"/>
      <c r="AN33" s="170"/>
      <c r="AO33" s="170"/>
      <c r="AP33" s="170"/>
      <c r="AQ33" s="170"/>
      <c r="AR33" s="170"/>
      <c r="AS33" s="170"/>
      <c r="AT33" s="170"/>
      <c r="AU33" s="170"/>
      <c r="AV33" s="170"/>
      <c r="AW33" s="170"/>
      <c r="AX33" s="170"/>
      <c r="AY33" s="170"/>
      <c r="AZ33" s="180" t="s">
        <v>59</v>
      </c>
      <c r="BA33" s="171">
        <f>(COUNTIF(AJ33:AL33,"*OK*")*3) + (COUNTIF(AM33:AO33,"*OK*")*2) + COUNTIF(AP33:AR33,"*OK*")+COUNTIF(AZ33:AZ33,"SI")*0.5</f>
        <v>0</v>
      </c>
      <c r="BB33" s="171" t="str">
        <f>IF(BA33&lt;0.6,"Demasiado Riesgo",IF(BA33&lt;=5,"Riesgo Medio",IF(BA33&lt;=11,"Riesgo Bajo","Cliente Blindado")))</f>
        <v>Demasiado Riesgo</v>
      </c>
      <c r="BC33" s="171"/>
      <c r="BD33" s="171"/>
      <c r="BE33" s="171">
        <v>0</v>
      </c>
      <c r="BF33" s="171"/>
      <c r="BG33" s="171"/>
      <c r="BH33" s="171"/>
      <c r="BI33" s="171"/>
      <c r="BJ33" s="171"/>
      <c r="BK33" s="171"/>
      <c r="BL33" s="171"/>
      <c r="BM33" s="171"/>
      <c r="BN33" s="171"/>
      <c r="BO33" s="171"/>
      <c r="BP33" s="171"/>
      <c r="BQ33" s="171"/>
      <c r="BR33" s="171"/>
      <c r="BS33" s="171"/>
      <c r="BT33" s="171"/>
      <c r="BU33" s="171"/>
      <c r="BV33" s="171"/>
      <c r="BW33" s="171"/>
      <c r="BX33" s="171"/>
      <c r="BY33" s="171"/>
      <c r="BZ33" s="171"/>
      <c r="CA33" s="171">
        <f>COUNTIF(AJ33:AX33,"*OK*")</f>
        <v>0</v>
      </c>
      <c r="CB33" s="171"/>
      <c r="CC33" s="171">
        <f>COUNTIF(AJ33:AX33,"*OP*")</f>
        <v>0</v>
      </c>
    </row>
    <row r="34" spans="1:81" ht="14.25" hidden="1" customHeight="1">
      <c r="A34" s="501">
        <v>25082</v>
      </c>
      <c r="B34" s="162" t="s">
        <v>181</v>
      </c>
      <c r="C34" s="468">
        <f>T34</f>
        <v>260.88</v>
      </c>
      <c r="D34" s="160">
        <f>COUNTIF(AJ34:AX34,"*OK*")</f>
        <v>0</v>
      </c>
      <c r="E34" s="160"/>
      <c r="F34" s="182" t="s">
        <v>182</v>
      </c>
      <c r="G34" s="182"/>
      <c r="H34" s="168"/>
      <c r="I34" s="168"/>
      <c r="J34" s="182"/>
      <c r="K34" s="185" t="s">
        <v>68</v>
      </c>
      <c r="L34" s="182" t="s">
        <v>69</v>
      </c>
      <c r="M34" s="182"/>
      <c r="N34" s="182"/>
      <c r="O34" s="161">
        <v>257.94</v>
      </c>
      <c r="P34" s="161">
        <v>252.19</v>
      </c>
      <c r="Q34" s="161">
        <v>245.58</v>
      </c>
      <c r="R34" s="186">
        <v>264.33</v>
      </c>
      <c r="S34" s="510">
        <v>263.76889999999997</v>
      </c>
      <c r="T34" s="550">
        <v>260.88</v>
      </c>
      <c r="U34" s="164"/>
      <c r="V34" s="165">
        <v>200</v>
      </c>
      <c r="W34" s="187" t="s">
        <v>183</v>
      </c>
      <c r="X34" s="166" t="s">
        <v>183</v>
      </c>
      <c r="Y34" s="166" t="s">
        <v>89</v>
      </c>
      <c r="Z34" s="167" t="s">
        <v>184</v>
      </c>
      <c r="AA34" s="165" t="s">
        <v>91</v>
      </c>
      <c r="AB34" s="188" t="s">
        <v>65</v>
      </c>
      <c r="AC34" s="168" t="s">
        <v>92</v>
      </c>
      <c r="AD34" s="160"/>
      <c r="AE34" s="160"/>
      <c r="AF34" s="160"/>
      <c r="AG34" s="160"/>
      <c r="AH34" s="160"/>
      <c r="AI34" s="163" t="s">
        <v>59</v>
      </c>
      <c r="AJ34" s="170"/>
      <c r="AK34" s="170"/>
      <c r="AL34" s="170"/>
      <c r="AM34" s="170"/>
      <c r="AN34" s="170"/>
      <c r="AO34" s="170"/>
      <c r="AP34" s="170"/>
      <c r="AQ34" s="170"/>
      <c r="AR34" s="170"/>
      <c r="AS34" s="170"/>
      <c r="AT34" s="170"/>
      <c r="AU34" s="170"/>
      <c r="AV34" s="170"/>
      <c r="AW34" s="170"/>
      <c r="AX34" s="170"/>
      <c r="AY34" s="170"/>
      <c r="AZ34" s="169" t="s">
        <v>59</v>
      </c>
      <c r="BA34" s="160">
        <f>(COUNTIF(AJ34:AL34,"*OK*")*3) + (COUNTIF(AM34:AO34,"*OK*")*2) + COUNTIF(AP34:AR34,"*OK*")+COUNTIF(AZ34:AZ34,"SI")*0.5</f>
        <v>0</v>
      </c>
      <c r="BB34" s="160" t="str">
        <f>IF(BA34&lt;0.6,"Demasiado Riesgo",IF(BA34&lt;=5,"Riesgo Medio",IF(BA34&lt;=11,"Riesgo Bajo","Cliente Blindado")))</f>
        <v>Demasiado Riesgo</v>
      </c>
      <c r="BC34" s="160"/>
      <c r="BD34" s="160"/>
      <c r="BE34" s="160">
        <v>0</v>
      </c>
      <c r="BF34" s="160"/>
      <c r="BG34" s="160"/>
      <c r="BH34" s="160"/>
      <c r="BI34" s="160"/>
      <c r="BJ34" s="160"/>
      <c r="BK34" s="160"/>
      <c r="BL34" s="160"/>
      <c r="BM34" s="160"/>
      <c r="BN34" s="160"/>
      <c r="BO34" s="160"/>
      <c r="BP34" s="160"/>
      <c r="BQ34" s="160"/>
      <c r="BR34" s="160"/>
      <c r="BS34" s="160"/>
      <c r="BT34" s="160"/>
      <c r="BU34" s="160"/>
      <c r="BV34" s="160"/>
      <c r="BW34" s="160"/>
      <c r="BX34" s="160"/>
      <c r="BY34" s="160"/>
      <c r="BZ34" s="160"/>
      <c r="CA34" s="160">
        <f>COUNTIF(AJ34:AX34,"*OK*")</f>
        <v>0</v>
      </c>
      <c r="CB34" s="160"/>
      <c r="CC34" s="160">
        <f>COUNTIF(AJ34:AX34,"*OP*")</f>
        <v>0</v>
      </c>
    </row>
    <row r="35" spans="1:81" ht="14.25" hidden="1" customHeight="1">
      <c r="A35" s="500">
        <v>25008</v>
      </c>
      <c r="B35" s="173" t="s">
        <v>185</v>
      </c>
      <c r="C35" s="468">
        <f>T35</f>
        <v>269.63</v>
      </c>
      <c r="D35" s="171">
        <f>COUNTIF(AJ35:AX35,"*OK*")</f>
        <v>0</v>
      </c>
      <c r="E35" s="171"/>
      <c r="F35" s="183" t="s">
        <v>186</v>
      </c>
      <c r="G35" s="183"/>
      <c r="H35" s="179"/>
      <c r="I35" s="179"/>
      <c r="J35" s="183"/>
      <c r="K35" s="192" t="s">
        <v>68</v>
      </c>
      <c r="L35" s="183" t="s">
        <v>69</v>
      </c>
      <c r="M35" s="183"/>
      <c r="N35" s="183"/>
      <c r="O35" s="172">
        <v>274.77</v>
      </c>
      <c r="P35" s="172">
        <v>230.35</v>
      </c>
      <c r="Q35" s="172">
        <v>217.51</v>
      </c>
      <c r="R35" s="193">
        <v>230.72</v>
      </c>
      <c r="S35" s="510">
        <v>250.60230000000001</v>
      </c>
      <c r="T35" s="553">
        <v>269.63</v>
      </c>
      <c r="U35" s="175"/>
      <c r="V35" s="176">
        <v>200</v>
      </c>
      <c r="W35" s="194" t="s">
        <v>187</v>
      </c>
      <c r="X35" s="177" t="s">
        <v>124</v>
      </c>
      <c r="Y35" s="177" t="s">
        <v>152</v>
      </c>
      <c r="Z35" s="178" t="s">
        <v>188</v>
      </c>
      <c r="AA35" s="176" t="s">
        <v>147</v>
      </c>
      <c r="AB35" s="195" t="s">
        <v>65</v>
      </c>
      <c r="AC35" s="179" t="s">
        <v>92</v>
      </c>
      <c r="AD35" s="171"/>
      <c r="AE35" s="171"/>
      <c r="AF35" s="171"/>
      <c r="AG35" s="171"/>
      <c r="AH35" s="171"/>
      <c r="AI35" s="178" t="s">
        <v>59</v>
      </c>
      <c r="AJ35" s="170"/>
      <c r="AK35" s="170"/>
      <c r="AL35" s="170"/>
      <c r="AM35" s="170"/>
      <c r="AN35" s="170"/>
      <c r="AO35" s="170"/>
      <c r="AP35" s="170"/>
      <c r="AQ35" s="170"/>
      <c r="AR35" s="170"/>
      <c r="AS35" s="170"/>
      <c r="AT35" s="170"/>
      <c r="AU35" s="170"/>
      <c r="AV35" s="170"/>
      <c r="AW35" s="170"/>
      <c r="AX35" s="170"/>
      <c r="AY35" s="170"/>
      <c r="AZ35" s="180" t="s">
        <v>59</v>
      </c>
      <c r="BA35" s="171">
        <f>(COUNTIF(AJ35:AL35,"*OK*")*3) + (COUNTIF(AM35:AO35,"*OK*")*2) + COUNTIF(AP35:AR35,"*OK*")+COUNTIF(AZ35:AZ35,"SI")*0.5</f>
        <v>0</v>
      </c>
      <c r="BB35" s="171" t="str">
        <f>IF(BA35&lt;0.6,"Demasiado Riesgo",IF(BA35&lt;=5,"Riesgo Medio",IF(BA35&lt;=11,"Riesgo Bajo","Cliente Blindado")))</f>
        <v>Demasiado Riesgo</v>
      </c>
      <c r="BC35" s="171"/>
      <c r="BD35" s="171"/>
      <c r="BE35" s="171">
        <v>0</v>
      </c>
      <c r="BF35" s="171"/>
      <c r="BG35" s="171"/>
      <c r="BH35" s="171"/>
      <c r="BI35" s="171"/>
      <c r="BJ35" s="171"/>
      <c r="BK35" s="171"/>
      <c r="BL35" s="171"/>
      <c r="BM35" s="171"/>
      <c r="BN35" s="171"/>
      <c r="BO35" s="171"/>
      <c r="BP35" s="171"/>
      <c r="BQ35" s="171"/>
      <c r="BR35" s="171"/>
      <c r="BS35" s="171"/>
      <c r="BT35" s="171"/>
      <c r="BU35" s="171"/>
      <c r="BV35" s="171"/>
      <c r="BW35" s="171"/>
      <c r="BX35" s="171"/>
      <c r="BY35" s="171"/>
      <c r="BZ35" s="171"/>
      <c r="CA35" s="171">
        <f>COUNTIF(AJ35:AX35,"*OK*")</f>
        <v>0</v>
      </c>
      <c r="CB35" s="171"/>
      <c r="CC35" s="171">
        <f>COUNTIF(AJ35:AX35,"*OP*")</f>
        <v>0</v>
      </c>
    </row>
    <row r="36" spans="1:81" ht="14.25" hidden="1" customHeight="1">
      <c r="A36" s="500">
        <v>18980</v>
      </c>
      <c r="B36" s="173" t="s">
        <v>189</v>
      </c>
      <c r="C36" s="468">
        <f>T36</f>
        <v>274.69</v>
      </c>
      <c r="D36" s="171">
        <f>COUNTIF(AJ36:AX36,"*OK*")</f>
        <v>0</v>
      </c>
      <c r="E36" s="171"/>
      <c r="F36" s="183" t="s">
        <v>190</v>
      </c>
      <c r="G36" s="183"/>
      <c r="H36" s="179"/>
      <c r="I36" s="179"/>
      <c r="J36" s="183"/>
      <c r="K36" s="192" t="s">
        <v>68</v>
      </c>
      <c r="L36" s="183" t="s">
        <v>69</v>
      </c>
      <c r="M36" s="183"/>
      <c r="N36" s="183"/>
      <c r="O36" s="172">
        <v>263.01</v>
      </c>
      <c r="P36" s="172">
        <v>262.77</v>
      </c>
      <c r="Q36" s="172">
        <v>262.48</v>
      </c>
      <c r="R36" s="193">
        <v>267.82</v>
      </c>
      <c r="S36" s="510">
        <v>277.73099999999999</v>
      </c>
      <c r="T36" s="550">
        <v>274.69</v>
      </c>
      <c r="U36" s="175"/>
      <c r="V36" s="176">
        <v>100</v>
      </c>
      <c r="W36" s="194" t="s">
        <v>70</v>
      </c>
      <c r="X36" s="211" t="s">
        <v>70</v>
      </c>
      <c r="Y36" s="177" t="s">
        <v>152</v>
      </c>
      <c r="Z36" s="178" t="s">
        <v>191</v>
      </c>
      <c r="AA36" s="176" t="s">
        <v>147</v>
      </c>
      <c r="AB36" s="195" t="s">
        <v>177</v>
      </c>
      <c r="AC36" s="179" t="s">
        <v>92</v>
      </c>
      <c r="AD36" s="171"/>
      <c r="AE36" s="171"/>
      <c r="AF36" s="171"/>
      <c r="AG36" s="171"/>
      <c r="AH36" s="171"/>
      <c r="AI36" s="178" t="s">
        <v>59</v>
      </c>
      <c r="AJ36" s="170"/>
      <c r="AK36" s="170"/>
      <c r="AL36" s="545"/>
      <c r="AM36" s="170"/>
      <c r="AN36" s="170"/>
      <c r="AO36" s="170"/>
      <c r="AP36" s="170"/>
      <c r="AQ36" s="545"/>
      <c r="AR36" s="170"/>
      <c r="AS36" s="170"/>
      <c r="AT36" s="170"/>
      <c r="AU36" s="170"/>
      <c r="AV36" s="170"/>
      <c r="AW36" s="170"/>
      <c r="AX36" s="170"/>
      <c r="AY36" s="170"/>
      <c r="AZ36" s="180" t="s">
        <v>59</v>
      </c>
      <c r="BA36" s="171">
        <f>(COUNTIF(AJ36:AL36,"*OK*")*3) + (COUNTIF(AM36:AO36,"*OK*")*2) + COUNTIF(AP36:AR36,"*OK*")+COUNTIF(AZ36:AZ36,"SI")*0.5</f>
        <v>0</v>
      </c>
      <c r="BB36" s="171" t="str">
        <f>IF(BA36&lt;0.6,"Demasiado Riesgo",IF(BA36&lt;=5,"Riesgo Medio",IF(BA36&lt;=11,"Riesgo Bajo","Cliente Blindado")))</f>
        <v>Demasiado Riesgo</v>
      </c>
      <c r="BC36" s="171"/>
      <c r="BD36" s="160"/>
      <c r="BE36" s="160">
        <v>0</v>
      </c>
      <c r="BF36" s="160"/>
      <c r="BG36" s="160"/>
      <c r="BH36" s="160"/>
      <c r="BI36" s="160"/>
      <c r="BJ36" s="160"/>
      <c r="BK36" s="160"/>
      <c r="BL36" s="160"/>
      <c r="BM36" s="160"/>
      <c r="BN36" s="160"/>
      <c r="BO36" s="160"/>
      <c r="BP36" s="160"/>
      <c r="BQ36" s="160"/>
      <c r="BR36" s="160"/>
      <c r="BS36" s="160"/>
      <c r="BT36" s="160"/>
      <c r="BU36" s="160"/>
      <c r="BV36" s="160"/>
      <c r="BW36" s="160"/>
      <c r="BX36" s="160"/>
      <c r="BY36" s="160"/>
      <c r="BZ36" s="160"/>
      <c r="CA36" s="160">
        <f>COUNTIF(AJ36:AX36,"*OK*")</f>
        <v>0</v>
      </c>
      <c r="CB36" s="160"/>
      <c r="CC36" s="160">
        <f>COUNTIF(AJ36:AX36,"*OP*")</f>
        <v>0</v>
      </c>
    </row>
    <row r="37" spans="1:81" s="204" customFormat="1" ht="14.25" hidden="1" customHeight="1">
      <c r="A37" s="241">
        <v>34425</v>
      </c>
      <c r="B37" s="160"/>
      <c r="C37" s="468">
        <f>T37</f>
        <v>305.97000000000003</v>
      </c>
      <c r="D37" s="160">
        <f>COUNTIF(AJ37:AX37,"*OK*")</f>
        <v>0</v>
      </c>
      <c r="E37" s="160"/>
      <c r="F37" s="182" t="s">
        <v>192</v>
      </c>
      <c r="G37" s="182"/>
      <c r="H37" s="168"/>
      <c r="I37" s="168"/>
      <c r="J37" s="182"/>
      <c r="K37" s="185" t="s">
        <v>68</v>
      </c>
      <c r="L37" s="213" t="s">
        <v>69</v>
      </c>
      <c r="M37" s="182"/>
      <c r="N37" s="182"/>
      <c r="O37" s="161">
        <v>313.22000000000003</v>
      </c>
      <c r="P37" s="161">
        <v>312.93</v>
      </c>
      <c r="Q37" s="161">
        <v>305.68</v>
      </c>
      <c r="R37" s="186">
        <v>295</v>
      </c>
      <c r="S37" s="510">
        <v>306.76440000000002</v>
      </c>
      <c r="T37" s="550">
        <v>305.97000000000003</v>
      </c>
      <c r="U37" s="164"/>
      <c r="V37" s="165">
        <v>100</v>
      </c>
      <c r="W37" s="187"/>
      <c r="X37" s="207" t="s">
        <v>70</v>
      </c>
      <c r="Y37" s="166" t="s">
        <v>80</v>
      </c>
      <c r="Z37" s="167" t="s">
        <v>193</v>
      </c>
      <c r="AA37" s="165" t="s">
        <v>132</v>
      </c>
      <c r="AB37" s="188" t="s">
        <v>194</v>
      </c>
      <c r="AC37" s="168"/>
      <c r="AD37" s="160"/>
      <c r="AE37" s="160"/>
      <c r="AF37" s="160"/>
      <c r="AG37" s="160"/>
      <c r="AH37" s="160"/>
      <c r="AI37" s="169" t="s">
        <v>59</v>
      </c>
      <c r="AJ37" s="170"/>
      <c r="AK37" s="170"/>
      <c r="AL37" s="170"/>
      <c r="AM37" s="170"/>
      <c r="AN37" s="170"/>
      <c r="AO37" s="170"/>
      <c r="AP37" s="170"/>
      <c r="AQ37" s="170"/>
      <c r="AR37" s="170"/>
      <c r="AS37" s="170"/>
      <c r="AT37" s="170"/>
      <c r="AU37" s="170"/>
      <c r="AV37" s="170"/>
      <c r="AW37" s="170"/>
      <c r="AX37" s="170"/>
      <c r="AY37" s="170"/>
      <c r="AZ37" s="169" t="s">
        <v>59</v>
      </c>
      <c r="BA37" s="160">
        <f>(COUNTIF(AJ37:AL37,"*OK*")*3) + (COUNTIF(AM37:AO37,"*OK*")*2) + COUNTIF(AP37:AR37,"*OK*")+COUNTIF(AZ37:AZ37,"SI")*0.5</f>
        <v>0</v>
      </c>
      <c r="BB37" s="160" t="str">
        <f>IF(BA37&lt;0.6,"Demasiado Riesgo",IF(BA37&lt;=5,"Riesgo Medio",IF(BA37&lt;=11,"Riesgo Bajo","Cliente Blindado")))</f>
        <v>Demasiado Riesgo</v>
      </c>
      <c r="BC37" s="160"/>
      <c r="BD37" s="160"/>
      <c r="BE37" s="160">
        <v>0</v>
      </c>
      <c r="BF37" s="160"/>
      <c r="BG37" s="160"/>
      <c r="BH37" s="160"/>
      <c r="BI37" s="160"/>
      <c r="BJ37" s="160"/>
      <c r="BK37" s="160"/>
      <c r="BL37" s="160"/>
      <c r="BM37" s="160"/>
      <c r="BN37" s="160"/>
      <c r="BO37" s="160"/>
      <c r="BP37" s="160"/>
      <c r="BQ37" s="160"/>
      <c r="BR37" s="160"/>
      <c r="BS37" s="160"/>
      <c r="BT37" s="160"/>
      <c r="BU37" s="160"/>
      <c r="BV37" s="160"/>
      <c r="BW37" s="160"/>
      <c r="BX37" s="160"/>
      <c r="BY37" s="160"/>
      <c r="BZ37" s="160"/>
      <c r="CA37" s="160">
        <f>COUNTIF(AJ37:AX37,"*OK*")</f>
        <v>0</v>
      </c>
      <c r="CB37" s="160"/>
      <c r="CC37" s="160">
        <f>COUNTIF(AJ37:AX37,"*OP*")</f>
        <v>0</v>
      </c>
    </row>
    <row r="38" spans="1:81" s="204" customFormat="1" ht="14.25" hidden="1" customHeight="1">
      <c r="A38" s="240"/>
      <c r="B38" s="171"/>
      <c r="C38" s="468">
        <f>T38</f>
        <v>306.62</v>
      </c>
      <c r="D38" s="171">
        <f>COUNTIF(AJ38:AX38,"*OK*")</f>
        <v>0</v>
      </c>
      <c r="E38" s="171"/>
      <c r="F38" s="183" t="s">
        <v>195</v>
      </c>
      <c r="G38" s="183" t="s">
        <v>196</v>
      </c>
      <c r="H38" s="179"/>
      <c r="I38" s="179"/>
      <c r="J38" s="183"/>
      <c r="K38" s="198" t="s">
        <v>68</v>
      </c>
      <c r="L38" s="183" t="s">
        <v>69</v>
      </c>
      <c r="M38" s="183"/>
      <c r="N38" s="183"/>
      <c r="O38" s="172">
        <v>292.74</v>
      </c>
      <c r="P38" s="172">
        <v>310.39999999999998</v>
      </c>
      <c r="Q38" s="172">
        <v>295.8</v>
      </c>
      <c r="R38" s="193">
        <v>0</v>
      </c>
      <c r="S38" s="510">
        <v>338.9307</v>
      </c>
      <c r="T38" s="551">
        <v>306.62</v>
      </c>
      <c r="U38" s="175"/>
      <c r="V38" s="176">
        <v>100</v>
      </c>
      <c r="W38" s="194"/>
      <c r="X38" s="211" t="s">
        <v>70</v>
      </c>
      <c r="Y38" s="177" t="s">
        <v>71</v>
      </c>
      <c r="Z38" s="178" t="s">
        <v>197</v>
      </c>
      <c r="AA38" s="176" t="s">
        <v>59</v>
      </c>
      <c r="AB38" s="195" t="s">
        <v>65</v>
      </c>
      <c r="AC38" s="179" t="s">
        <v>139</v>
      </c>
      <c r="AD38" s="171"/>
      <c r="AE38" s="171"/>
      <c r="AF38" s="171"/>
      <c r="AG38" s="171"/>
      <c r="AH38" s="171"/>
      <c r="AI38" s="174" t="s">
        <v>59</v>
      </c>
      <c r="AJ38" s="214"/>
      <c r="AK38" s="214"/>
      <c r="AL38" s="214"/>
      <c r="AM38" s="214"/>
      <c r="AN38" s="214"/>
      <c r="AO38" s="214"/>
      <c r="AP38" s="214"/>
      <c r="AQ38" s="214"/>
      <c r="AR38" s="214"/>
      <c r="AS38" s="214"/>
      <c r="AT38" s="214"/>
      <c r="AU38" s="214"/>
      <c r="AV38" s="214"/>
      <c r="AW38" s="214"/>
      <c r="AX38" s="214"/>
      <c r="AY38" s="214"/>
      <c r="AZ38" s="180" t="s">
        <v>59</v>
      </c>
      <c r="BA38" s="171">
        <f>(COUNTIF(AJ38:AL38,"*OK*")*3) + (COUNTIF(AM38:AO38,"*OK*")*2) + COUNTIF(AP38:AR38,"*OK*")+COUNTIF(AZ38:AZ38,"SI")*0.5</f>
        <v>0</v>
      </c>
      <c r="BB38" s="171" t="str">
        <f>IF(BA38&lt;0.6,"Demasiado Riesgo",IF(BA38&lt;=5,"Riesgo Medio",IF(BA38&lt;=11,"Riesgo Bajo","Cliente Blindado")))</f>
        <v>Demasiado Riesgo</v>
      </c>
      <c r="BC38" s="171"/>
      <c r="BD38" s="171"/>
      <c r="BE38" s="171">
        <v>0</v>
      </c>
      <c r="BF38" s="171"/>
      <c r="BG38" s="171"/>
      <c r="BH38" s="171"/>
      <c r="BI38" s="171"/>
      <c r="BJ38" s="171"/>
      <c r="BK38" s="171"/>
      <c r="BL38" s="171"/>
      <c r="BM38" s="171"/>
      <c r="BN38" s="171"/>
      <c r="BO38" s="171"/>
      <c r="BP38" s="171"/>
      <c r="BQ38" s="171"/>
      <c r="BR38" s="171"/>
      <c r="BS38" s="171"/>
      <c r="BT38" s="171"/>
      <c r="BU38" s="171"/>
      <c r="BV38" s="171"/>
      <c r="BW38" s="171"/>
      <c r="BX38" s="171"/>
      <c r="BY38" s="171"/>
      <c r="BZ38" s="171"/>
      <c r="CA38" s="171">
        <f>COUNTIF(AJ38:AX38,"*OK*")</f>
        <v>0</v>
      </c>
      <c r="CB38" s="171"/>
      <c r="CC38" s="171">
        <f>COUNTIF(AJ38:AX38,"*OP*")</f>
        <v>0</v>
      </c>
    </row>
    <row r="39" spans="1:81" ht="14.25" hidden="1" customHeight="1">
      <c r="A39" s="241">
        <v>22272</v>
      </c>
      <c r="B39" s="160" t="s">
        <v>198</v>
      </c>
      <c r="C39" s="468">
        <f>T39</f>
        <v>309.26</v>
      </c>
      <c r="D39" s="160">
        <f>COUNTIF(AJ39:AX39,"*OK*")</f>
        <v>2</v>
      </c>
      <c r="E39" s="160"/>
      <c r="F39" s="259" t="s">
        <v>199</v>
      </c>
      <c r="G39" s="182" t="s">
        <v>94</v>
      </c>
      <c r="H39" s="168"/>
      <c r="I39" s="168"/>
      <c r="J39" s="182"/>
      <c r="K39" s="196" t="s">
        <v>68</v>
      </c>
      <c r="L39" s="182" t="s">
        <v>69</v>
      </c>
      <c r="M39" s="182"/>
      <c r="N39" s="182"/>
      <c r="O39" s="161">
        <v>319.36</v>
      </c>
      <c r="P39" s="161">
        <v>324.48</v>
      </c>
      <c r="Q39" s="161">
        <v>298.92</v>
      </c>
      <c r="R39" s="186">
        <v>311.2</v>
      </c>
      <c r="S39" s="510">
        <v>304.6026</v>
      </c>
      <c r="T39" s="553">
        <v>309.26</v>
      </c>
      <c r="U39" s="164"/>
      <c r="V39" s="165">
        <v>100</v>
      </c>
      <c r="W39" s="187"/>
      <c r="X39" s="203" t="s">
        <v>200</v>
      </c>
      <c r="Y39" s="166" t="s">
        <v>152</v>
      </c>
      <c r="Z39" s="167" t="s">
        <v>201</v>
      </c>
      <c r="AA39" s="165" t="s">
        <v>202</v>
      </c>
      <c r="AB39" s="188" t="s">
        <v>65</v>
      </c>
      <c r="AC39" s="168" t="s">
        <v>92</v>
      </c>
      <c r="AD39" s="160"/>
      <c r="AE39" s="160"/>
      <c r="AF39" s="160"/>
      <c r="AG39" s="160"/>
      <c r="AH39" s="160"/>
      <c r="AI39" s="167" t="s">
        <v>127</v>
      </c>
      <c r="AJ39" s="170"/>
      <c r="AK39" s="170"/>
      <c r="AL39" s="170" t="s">
        <v>111</v>
      </c>
      <c r="AM39" s="170"/>
      <c r="AN39" s="170" t="s">
        <v>111</v>
      </c>
      <c r="AO39" s="170"/>
      <c r="AP39" s="170"/>
      <c r="AQ39" s="170"/>
      <c r="AR39" s="170"/>
      <c r="AS39" s="170"/>
      <c r="AT39" s="170"/>
      <c r="AU39" s="170"/>
      <c r="AV39" s="170"/>
      <c r="AW39" s="170"/>
      <c r="AX39" s="170"/>
      <c r="AY39" s="170"/>
      <c r="AZ39" s="169" t="s">
        <v>59</v>
      </c>
      <c r="BA39" s="160">
        <f>(COUNTIF(AJ39:AL39,"*OK*")*3) + (COUNTIF(AM39:AO39,"*OK*")*2) + COUNTIF(AP39:AR39,"*OK*")+COUNTIF(AZ39:AZ39,"SI")*0.5</f>
        <v>5</v>
      </c>
      <c r="BB39" s="160" t="str">
        <f>IF(BA39&lt;0.6,"Demasiado Riesgo",IF(BA39&lt;=5,"Riesgo Medio",IF(BA39&lt;=11,"Riesgo Bajo","Cliente Blindado")))</f>
        <v>Riesgo Medio</v>
      </c>
      <c r="BC39" s="160"/>
      <c r="BD39" s="171"/>
      <c r="BE39" s="171">
        <v>0</v>
      </c>
      <c r="BF39" s="171"/>
      <c r="BG39" s="171"/>
      <c r="BH39" s="171"/>
      <c r="BI39" s="171"/>
      <c r="BJ39" s="171"/>
      <c r="BK39" s="171"/>
      <c r="BL39" s="171"/>
      <c r="BM39" s="171"/>
      <c r="BN39" s="171"/>
      <c r="BO39" s="171"/>
      <c r="BP39" s="171"/>
      <c r="BQ39" s="171"/>
      <c r="BR39" s="171"/>
      <c r="BS39" s="171"/>
      <c r="BT39" s="171"/>
      <c r="BU39" s="171"/>
      <c r="BV39" s="171"/>
      <c r="BW39" s="171"/>
      <c r="BX39" s="171"/>
      <c r="BY39" s="171"/>
      <c r="BZ39" s="171"/>
      <c r="CA39" s="171">
        <f>COUNTIF(AJ39:AX39,"*OK*")</f>
        <v>2</v>
      </c>
      <c r="CB39" s="171"/>
      <c r="CC39" s="171">
        <f>COUNTIF(AJ39:AX39,"*OP*")</f>
        <v>0</v>
      </c>
    </row>
    <row r="40" spans="1:81" ht="14.25" hidden="1" customHeight="1">
      <c r="A40" s="501"/>
      <c r="B40" s="162"/>
      <c r="C40" s="468">
        <f>T40</f>
        <v>313.69</v>
      </c>
      <c r="D40" s="160">
        <f>COUNTIF(AJ40:AX40,"*OK*")</f>
        <v>0</v>
      </c>
      <c r="E40" s="160"/>
      <c r="F40" s="182" t="s">
        <v>203</v>
      </c>
      <c r="G40" s="182" t="s">
        <v>123</v>
      </c>
      <c r="H40" s="168"/>
      <c r="I40" s="168"/>
      <c r="J40" s="182"/>
      <c r="K40" s="196" t="s">
        <v>79</v>
      </c>
      <c r="L40" s="182" t="s">
        <v>69</v>
      </c>
      <c r="M40" s="182" t="s">
        <v>135</v>
      </c>
      <c r="N40" s="182"/>
      <c r="O40" s="161">
        <v>288.86</v>
      </c>
      <c r="P40" s="161">
        <v>291.2</v>
      </c>
      <c r="Q40" s="161">
        <v>290.77</v>
      </c>
      <c r="R40" s="186">
        <v>302.69</v>
      </c>
      <c r="S40" s="510">
        <v>314.56349999999998</v>
      </c>
      <c r="T40" s="551">
        <v>313.69</v>
      </c>
      <c r="U40" s="164"/>
      <c r="V40" s="165">
        <v>300</v>
      </c>
      <c r="W40" s="187"/>
      <c r="X40" s="166" t="s">
        <v>124</v>
      </c>
      <c r="Y40" s="166" t="s">
        <v>125</v>
      </c>
      <c r="Z40" s="167" t="s">
        <v>204</v>
      </c>
      <c r="AA40" s="165" t="s">
        <v>59</v>
      </c>
      <c r="AB40" s="188" t="s">
        <v>177</v>
      </c>
      <c r="AC40" s="168" t="s">
        <v>97</v>
      </c>
      <c r="AD40" s="160"/>
      <c r="AE40" s="160"/>
      <c r="AF40" s="160"/>
      <c r="AG40" s="160"/>
      <c r="AH40" s="160"/>
      <c r="AI40" s="169" t="s">
        <v>59</v>
      </c>
      <c r="AJ40" s="170"/>
      <c r="AK40" s="170"/>
      <c r="AL40" s="170"/>
      <c r="AM40" s="170"/>
      <c r="AN40" s="170"/>
      <c r="AO40" s="170"/>
      <c r="AP40" s="170"/>
      <c r="AQ40" s="170"/>
      <c r="AR40" s="170"/>
      <c r="AS40" s="170"/>
      <c r="AT40" s="170"/>
      <c r="AU40" s="170"/>
      <c r="AV40" s="170"/>
      <c r="AW40" s="170"/>
      <c r="AX40" s="170"/>
      <c r="AY40" s="170"/>
      <c r="AZ40" s="169" t="s">
        <v>59</v>
      </c>
      <c r="BA40" s="160">
        <f>(COUNTIF(AJ40:AL40,"*OK*")*3) + (COUNTIF(AM40:AO40,"*OK*")*2) + COUNTIF(AP40:AR40,"*OK*")+COUNTIF(AZ40:AZ40,"SI")*0.5</f>
        <v>0</v>
      </c>
      <c r="BB40" s="160" t="str">
        <f>IF(BA40&lt;0.6,"Demasiado Riesgo",IF(BA40&lt;=5,"Riesgo Medio",IF(BA40&lt;=11,"Riesgo Bajo","Cliente Blindado")))</f>
        <v>Demasiado Riesgo</v>
      </c>
      <c r="BC40" s="160"/>
      <c r="BD40" s="171"/>
      <c r="BE40" s="171">
        <v>0</v>
      </c>
      <c r="BF40" s="171"/>
      <c r="BG40" s="171"/>
      <c r="BH40" s="171"/>
      <c r="BI40" s="171"/>
      <c r="BJ40" s="171"/>
      <c r="BK40" s="171"/>
      <c r="BL40" s="171"/>
      <c r="BM40" s="171"/>
      <c r="BN40" s="171"/>
      <c r="BO40" s="171"/>
      <c r="BP40" s="171"/>
      <c r="BQ40" s="171"/>
      <c r="BR40" s="171"/>
      <c r="BS40" s="171"/>
      <c r="BT40" s="171"/>
      <c r="BU40" s="171"/>
      <c r="BV40" s="171"/>
      <c r="BW40" s="171"/>
      <c r="BX40" s="171"/>
      <c r="BY40" s="171"/>
      <c r="BZ40" s="171"/>
      <c r="CA40" s="171">
        <f>COUNTIF(AJ40:AX40,"*OK*")</f>
        <v>0</v>
      </c>
      <c r="CB40" s="171"/>
      <c r="CC40" s="171">
        <f>COUNTIF(AJ40:AX40,"*OP*")</f>
        <v>0</v>
      </c>
    </row>
    <row r="41" spans="1:81" ht="14.25" hidden="1" customHeight="1">
      <c r="A41" s="240">
        <v>25116</v>
      </c>
      <c r="B41" s="171" t="s">
        <v>205</v>
      </c>
      <c r="C41" s="468">
        <f>T41</f>
        <v>315.5</v>
      </c>
      <c r="D41" s="171">
        <f>COUNTIF(AJ41:AX41,"*OK*")</f>
        <v>0</v>
      </c>
      <c r="E41" s="171"/>
      <c r="F41" s="183" t="s">
        <v>206</v>
      </c>
      <c r="G41" s="183"/>
      <c r="H41" s="179"/>
      <c r="I41" s="179"/>
      <c r="J41" s="183"/>
      <c r="K41" s="198" t="s">
        <v>68</v>
      </c>
      <c r="L41" s="183" t="s">
        <v>69</v>
      </c>
      <c r="M41" s="183"/>
      <c r="N41" s="183"/>
      <c r="O41" s="172">
        <v>377.32</v>
      </c>
      <c r="P41" s="172">
        <v>346.29</v>
      </c>
      <c r="Q41" s="172">
        <v>327.92</v>
      </c>
      <c r="R41" s="193">
        <v>347.1</v>
      </c>
      <c r="S41" s="510">
        <v>321.18060000000003</v>
      </c>
      <c r="T41" s="551">
        <v>315.5</v>
      </c>
      <c r="U41" s="175"/>
      <c r="V41" s="176">
        <v>150</v>
      </c>
      <c r="W41" s="194" t="s">
        <v>70</v>
      </c>
      <c r="X41" s="209" t="s">
        <v>70</v>
      </c>
      <c r="Y41" s="177" t="s">
        <v>89</v>
      </c>
      <c r="Z41" s="178" t="s">
        <v>207</v>
      </c>
      <c r="AA41" s="176" t="s">
        <v>91</v>
      </c>
      <c r="AB41" s="195" t="s">
        <v>61</v>
      </c>
      <c r="AC41" s="179" t="s">
        <v>92</v>
      </c>
      <c r="AD41" s="171"/>
      <c r="AE41" s="171"/>
      <c r="AF41" s="171"/>
      <c r="AG41" s="171"/>
      <c r="AH41" s="171"/>
      <c r="AI41" s="174" t="s">
        <v>127</v>
      </c>
      <c r="AJ41" s="170"/>
      <c r="AK41" s="170"/>
      <c r="AL41" s="170"/>
      <c r="AM41" s="170"/>
      <c r="AN41" s="170"/>
      <c r="AO41" s="170"/>
      <c r="AP41" s="170"/>
      <c r="AQ41" s="170"/>
      <c r="AR41" s="170"/>
      <c r="AS41" s="170"/>
      <c r="AT41" s="170"/>
      <c r="AU41" s="170"/>
      <c r="AV41" s="170"/>
      <c r="AW41" s="170"/>
      <c r="AX41" s="170"/>
      <c r="AY41" s="170"/>
      <c r="AZ41" s="180" t="s">
        <v>178</v>
      </c>
      <c r="BA41" s="171">
        <f>(COUNTIF(AJ41:AL41,"*OK*")*3) + (COUNTIF(AM41:AO41,"*OK*")*2) + COUNTIF(AP41:AR41,"*OK*")+COUNTIF(AZ41:AZ41,"SI")*0.5</f>
        <v>0</v>
      </c>
      <c r="BB41" s="171" t="str">
        <f>IF(BA41&lt;0.6,"Demasiado Riesgo",IF(BA41&lt;=5,"Riesgo Medio",IF(BA41&lt;=11,"Riesgo Bajo","Cliente Blindado")))</f>
        <v>Demasiado Riesgo</v>
      </c>
      <c r="BC41" s="171"/>
      <c r="BD41" s="171"/>
      <c r="BE41" s="171">
        <v>0</v>
      </c>
      <c r="BF41" s="171"/>
      <c r="BG41" s="171"/>
      <c r="BH41" s="171"/>
      <c r="BI41" s="171"/>
      <c r="BJ41" s="171"/>
      <c r="BK41" s="171"/>
      <c r="BL41" s="171"/>
      <c r="BM41" s="171"/>
      <c r="BN41" s="171"/>
      <c r="BO41" s="171"/>
      <c r="BP41" s="171"/>
      <c r="BQ41" s="171"/>
      <c r="BR41" s="171"/>
      <c r="BS41" s="171"/>
      <c r="BT41" s="171"/>
      <c r="BU41" s="171"/>
      <c r="BV41" s="171"/>
      <c r="BW41" s="171"/>
      <c r="BX41" s="171"/>
      <c r="BY41" s="171"/>
      <c r="BZ41" s="171"/>
      <c r="CA41" s="171">
        <f>COUNTIF(AJ41:AX41,"*OK*")</f>
        <v>0</v>
      </c>
      <c r="CB41" s="171"/>
      <c r="CC41" s="171">
        <f>COUNTIF(AJ41:AX41,"*OP*")</f>
        <v>0</v>
      </c>
    </row>
    <row r="42" spans="1:81" ht="14.25" hidden="1" customHeight="1">
      <c r="A42" s="500">
        <v>27840</v>
      </c>
      <c r="B42" s="173"/>
      <c r="C42" s="468">
        <f>T42</f>
        <v>316.35000000000002</v>
      </c>
      <c r="D42" s="171">
        <f>COUNTIF(AJ42:AX42,"*OK*")</f>
        <v>0</v>
      </c>
      <c r="E42" s="171"/>
      <c r="F42" s="183" t="s">
        <v>208</v>
      </c>
      <c r="G42" s="183" t="s">
        <v>209</v>
      </c>
      <c r="H42" s="179"/>
      <c r="I42" s="179"/>
      <c r="J42" s="183"/>
      <c r="K42" s="192" t="s">
        <v>68</v>
      </c>
      <c r="L42" s="183" t="s">
        <v>69</v>
      </c>
      <c r="M42" s="183"/>
      <c r="N42" s="183"/>
      <c r="O42" s="172">
        <v>285.07</v>
      </c>
      <c r="P42" s="172">
        <v>292.02</v>
      </c>
      <c r="Q42" s="172">
        <v>319.51</v>
      </c>
      <c r="R42" s="193">
        <v>328.35</v>
      </c>
      <c r="S42" s="510">
        <v>319.8605</v>
      </c>
      <c r="T42" s="550">
        <v>316.35000000000002</v>
      </c>
      <c r="U42" s="175"/>
      <c r="V42" s="176">
        <v>200</v>
      </c>
      <c r="W42" s="194"/>
      <c r="X42" s="209" t="s">
        <v>70</v>
      </c>
      <c r="Y42" s="177" t="s">
        <v>71</v>
      </c>
      <c r="Z42" s="178" t="s">
        <v>210</v>
      </c>
      <c r="AA42" s="176" t="s">
        <v>59</v>
      </c>
      <c r="AB42" s="195" t="s">
        <v>65</v>
      </c>
      <c r="AC42" s="179" t="s">
        <v>97</v>
      </c>
      <c r="AD42" s="171"/>
      <c r="AE42" s="171"/>
      <c r="AF42" s="171"/>
      <c r="AG42" s="171"/>
      <c r="AH42" s="171"/>
      <c r="AI42" s="178" t="s">
        <v>59</v>
      </c>
      <c r="AJ42" s="170"/>
      <c r="AK42" s="170"/>
      <c r="AL42" s="170"/>
      <c r="AM42" s="170"/>
      <c r="AN42" s="170"/>
      <c r="AO42" s="170"/>
      <c r="AP42" s="170"/>
      <c r="AQ42" s="170"/>
      <c r="AR42" s="170"/>
      <c r="AS42" s="170"/>
      <c r="AT42" s="170"/>
      <c r="AU42" s="170"/>
      <c r="AV42" s="170"/>
      <c r="AW42" s="170"/>
      <c r="AX42" s="170"/>
      <c r="AY42" s="170"/>
      <c r="AZ42" s="180" t="s">
        <v>59</v>
      </c>
      <c r="BA42" s="171">
        <f>(COUNTIF(AJ42:AL42,"*OK*")*3) + (COUNTIF(AM42:AO42,"*OK*")*2) + COUNTIF(AP42:AR42,"*OK*")+COUNTIF(AZ42:AZ42,"SI")*0.5</f>
        <v>0</v>
      </c>
      <c r="BB42" s="171" t="str">
        <f>IF(BA42&lt;0.6,"Demasiado Riesgo",IF(BA42&lt;=5,"Riesgo Medio",IF(BA42&lt;=11,"Riesgo Bajo","Cliente Blindado")))</f>
        <v>Demasiado Riesgo</v>
      </c>
      <c r="BC42" s="171"/>
      <c r="BD42" s="160"/>
      <c r="BE42" s="160">
        <v>0</v>
      </c>
      <c r="BF42" s="160"/>
      <c r="BG42" s="160"/>
      <c r="BH42" s="160"/>
      <c r="BI42" s="160"/>
      <c r="BJ42" s="160"/>
      <c r="BK42" s="160"/>
      <c r="BL42" s="160"/>
      <c r="BM42" s="160"/>
      <c r="BN42" s="160"/>
      <c r="BO42" s="160"/>
      <c r="BP42" s="160"/>
      <c r="BQ42" s="160"/>
      <c r="BR42" s="160"/>
      <c r="BS42" s="160"/>
      <c r="BT42" s="160"/>
      <c r="BU42" s="160"/>
      <c r="BV42" s="160"/>
      <c r="BW42" s="160"/>
      <c r="BX42" s="160"/>
      <c r="BY42" s="160"/>
      <c r="BZ42" s="160"/>
      <c r="CA42" s="160">
        <f>COUNTIF(AJ42:AX42,"*OK*")</f>
        <v>0</v>
      </c>
      <c r="CB42" s="160"/>
      <c r="CC42" s="160">
        <f>COUNTIF(AJ42:AX42,"*OP*")</f>
        <v>0</v>
      </c>
    </row>
    <row r="43" spans="1:81" ht="14.25" hidden="1" customHeight="1">
      <c r="A43" s="240">
        <v>30960</v>
      </c>
      <c r="B43" s="171" t="s">
        <v>211</v>
      </c>
      <c r="C43" s="468">
        <f>T43</f>
        <v>322.58999999999997</v>
      </c>
      <c r="D43" s="171">
        <f>COUNTIF(AJ43:AX43,"*OK*")</f>
        <v>0</v>
      </c>
      <c r="E43" s="171"/>
      <c r="F43" s="183" t="s">
        <v>212</v>
      </c>
      <c r="G43" s="183"/>
      <c r="H43" s="179"/>
      <c r="I43" s="179"/>
      <c r="J43" s="183"/>
      <c r="K43" s="198" t="s">
        <v>68</v>
      </c>
      <c r="L43" s="183" t="s">
        <v>69</v>
      </c>
      <c r="M43" s="183"/>
      <c r="N43" s="183"/>
      <c r="O43" s="172">
        <v>338.31</v>
      </c>
      <c r="P43" s="172">
        <v>335.29</v>
      </c>
      <c r="Q43" s="172">
        <v>322.11</v>
      </c>
      <c r="R43" s="193">
        <v>337.8</v>
      </c>
      <c r="S43" s="510">
        <v>331.55860000000001</v>
      </c>
      <c r="T43" s="550">
        <v>322.58999999999997</v>
      </c>
      <c r="U43" s="175"/>
      <c r="V43" s="176">
        <v>150</v>
      </c>
      <c r="W43" s="194" t="s">
        <v>70</v>
      </c>
      <c r="X43" s="211" t="s">
        <v>70</v>
      </c>
      <c r="Y43" s="177" t="s">
        <v>152</v>
      </c>
      <c r="Z43" s="178" t="s">
        <v>213</v>
      </c>
      <c r="AA43" s="176" t="s">
        <v>59</v>
      </c>
      <c r="AB43" s="195" t="s">
        <v>65</v>
      </c>
      <c r="AC43" s="179" t="s">
        <v>92</v>
      </c>
      <c r="AD43" s="171"/>
      <c r="AE43" s="171"/>
      <c r="AF43" s="171"/>
      <c r="AG43" s="171"/>
      <c r="AH43" s="171"/>
      <c r="AI43" s="178" t="s">
        <v>59</v>
      </c>
      <c r="AJ43" s="170"/>
      <c r="AK43" s="170"/>
      <c r="AL43" s="170"/>
      <c r="AM43" s="170"/>
      <c r="AN43" s="170"/>
      <c r="AO43" s="170"/>
      <c r="AP43" s="170"/>
      <c r="AQ43" s="170"/>
      <c r="AR43" s="170"/>
      <c r="AS43" s="170"/>
      <c r="AT43" s="170"/>
      <c r="AU43" s="170"/>
      <c r="AV43" s="170"/>
      <c r="AW43" s="170"/>
      <c r="AX43" s="170"/>
      <c r="AY43" s="170"/>
      <c r="AZ43" s="178" t="s">
        <v>59</v>
      </c>
      <c r="BA43" s="171">
        <f>(COUNTIF(AJ43:AL43,"*OK*")*3) + (COUNTIF(AM43:AO43,"*OK*")*2) + COUNTIF(AP43:AR43,"*OK*")+COUNTIF(AZ43:AZ43,"SI")*0.5</f>
        <v>0</v>
      </c>
      <c r="BB43" s="171" t="str">
        <f>IF(BA43&lt;0.6,"Demasiado Riesgo",IF(BA43&lt;=5,"Riesgo Medio",IF(BA43&lt;=11,"Riesgo Bajo","Cliente Blindado")))</f>
        <v>Demasiado Riesgo</v>
      </c>
      <c r="BC43" s="171"/>
      <c r="BD43" s="160"/>
      <c r="BE43" s="160">
        <v>0</v>
      </c>
      <c r="BF43" s="160"/>
      <c r="BG43" s="160"/>
      <c r="BH43" s="160"/>
      <c r="BI43" s="160"/>
      <c r="BJ43" s="160"/>
      <c r="BK43" s="160"/>
      <c r="BL43" s="160"/>
      <c r="BM43" s="160"/>
      <c r="BN43" s="160"/>
      <c r="BO43" s="160"/>
      <c r="BP43" s="160"/>
      <c r="BQ43" s="160"/>
      <c r="BR43" s="160"/>
      <c r="BS43" s="160"/>
      <c r="BT43" s="160"/>
      <c r="BU43" s="160"/>
      <c r="BV43" s="160"/>
      <c r="BW43" s="160"/>
      <c r="BX43" s="160"/>
      <c r="BY43" s="160"/>
      <c r="BZ43" s="160"/>
      <c r="CA43" s="160">
        <f>COUNTIF(AJ43:AX43,"*OK*")</f>
        <v>0</v>
      </c>
      <c r="CB43" s="160"/>
      <c r="CC43" s="160">
        <f>COUNTIF(AJ43:AX43,"*OP*")</f>
        <v>0</v>
      </c>
    </row>
    <row r="44" spans="1:81" ht="14.25" hidden="1" customHeight="1">
      <c r="A44" s="501"/>
      <c r="B44" s="162"/>
      <c r="C44" s="468">
        <f>T44</f>
        <v>346.25</v>
      </c>
      <c r="D44" s="160">
        <f>COUNTIF(AJ44:AX44,"*OK*")</f>
        <v>0</v>
      </c>
      <c r="E44" s="160"/>
      <c r="F44" s="182" t="s">
        <v>214</v>
      </c>
      <c r="G44" s="182" t="s">
        <v>123</v>
      </c>
      <c r="H44" s="168"/>
      <c r="I44" s="168"/>
      <c r="J44" s="182"/>
      <c r="K44" s="196" t="s">
        <v>79</v>
      </c>
      <c r="L44" s="182" t="s">
        <v>69</v>
      </c>
      <c r="M44" s="182"/>
      <c r="N44" s="182"/>
      <c r="O44" s="161">
        <v>329.75</v>
      </c>
      <c r="P44" s="161">
        <v>334.67</v>
      </c>
      <c r="Q44" s="161">
        <v>331.36</v>
      </c>
      <c r="R44" s="186">
        <v>345.44</v>
      </c>
      <c r="S44" s="510">
        <v>357.02530000000002</v>
      </c>
      <c r="T44" s="551">
        <v>346.25</v>
      </c>
      <c r="U44" s="164"/>
      <c r="V44" s="165">
        <v>200</v>
      </c>
      <c r="W44" s="187"/>
      <c r="X44" s="203" t="s">
        <v>124</v>
      </c>
      <c r="Y44" s="166" t="s">
        <v>125</v>
      </c>
      <c r="Z44" s="167" t="s">
        <v>215</v>
      </c>
      <c r="AA44" s="165" t="s">
        <v>59</v>
      </c>
      <c r="AB44" s="188" t="s">
        <v>65</v>
      </c>
      <c r="AC44" s="168" t="s">
        <v>92</v>
      </c>
      <c r="AD44" s="160"/>
      <c r="AE44" s="160"/>
      <c r="AF44" s="160"/>
      <c r="AG44" s="160"/>
      <c r="AH44" s="160"/>
      <c r="AI44" s="169" t="s">
        <v>127</v>
      </c>
      <c r="AJ44" s="170"/>
      <c r="AK44" s="170"/>
      <c r="AL44" s="170"/>
      <c r="AM44" s="170"/>
      <c r="AN44" s="170"/>
      <c r="AO44" s="170"/>
      <c r="AP44" s="170"/>
      <c r="AQ44" s="170"/>
      <c r="AR44" s="170"/>
      <c r="AS44" s="170"/>
      <c r="AT44" s="170"/>
      <c r="AU44" s="170"/>
      <c r="AV44" s="170"/>
      <c r="AW44" s="170"/>
      <c r="AX44" s="170"/>
      <c r="AY44" s="170"/>
      <c r="AZ44" s="169" t="s">
        <v>59</v>
      </c>
      <c r="BA44" s="160">
        <f>(COUNTIF(AJ44:AL44,"*OK*")*3) + (COUNTIF(AM44:AO44,"*OK*")*2) + COUNTIF(AP44:AR44,"*OK*")+COUNTIF(AZ44:AZ44,"SI")*0.5</f>
        <v>0</v>
      </c>
      <c r="BB44" s="160" t="str">
        <f>IF(BA44&lt;0.6,"Demasiado Riesgo",IF(BA44&lt;=5,"Riesgo Medio",IF(BA44&lt;=11,"Riesgo Bajo","Cliente Blindado")))</f>
        <v>Demasiado Riesgo</v>
      </c>
      <c r="BC44" s="160"/>
      <c r="BD44" s="171"/>
      <c r="BE44" s="171">
        <v>0</v>
      </c>
      <c r="BF44" s="171"/>
      <c r="BG44" s="171"/>
      <c r="BH44" s="171"/>
      <c r="BI44" s="171"/>
      <c r="BJ44" s="171"/>
      <c r="BK44" s="171"/>
      <c r="BL44" s="171"/>
      <c r="BM44" s="171"/>
      <c r="BN44" s="171"/>
      <c r="BO44" s="171"/>
      <c r="BP44" s="171"/>
      <c r="BQ44" s="171"/>
      <c r="BR44" s="171"/>
      <c r="BS44" s="171"/>
      <c r="BT44" s="171"/>
      <c r="BU44" s="171"/>
      <c r="BV44" s="171"/>
      <c r="BW44" s="171"/>
      <c r="BX44" s="171"/>
      <c r="BY44" s="171"/>
      <c r="BZ44" s="171"/>
      <c r="CA44" s="171">
        <f>COUNTIF(AJ44:AX44,"*OK*")</f>
        <v>0</v>
      </c>
      <c r="CB44" s="171"/>
      <c r="CC44" s="171">
        <f>COUNTIF(AJ44:AX44,"*OP*")</f>
        <v>0</v>
      </c>
    </row>
    <row r="45" spans="1:81" ht="14.25" hidden="1" customHeight="1">
      <c r="A45" s="500">
        <v>22380</v>
      </c>
      <c r="B45" s="173" t="s">
        <v>216</v>
      </c>
      <c r="C45" s="468">
        <f>T45</f>
        <v>355.76</v>
      </c>
      <c r="D45" s="171">
        <f>COUNTIF(AJ45:AX45,"*OK*")</f>
        <v>0</v>
      </c>
      <c r="E45" s="171"/>
      <c r="F45" s="183" t="s">
        <v>217</v>
      </c>
      <c r="G45" s="183"/>
      <c r="H45" s="179"/>
      <c r="I45" s="179"/>
      <c r="J45" s="183"/>
      <c r="K45" s="192" t="s">
        <v>68</v>
      </c>
      <c r="L45" s="183" t="s">
        <v>69</v>
      </c>
      <c r="M45" s="183"/>
      <c r="N45" s="183"/>
      <c r="O45" s="172">
        <v>314.89</v>
      </c>
      <c r="P45" s="172">
        <v>329.07</v>
      </c>
      <c r="Q45" s="172">
        <v>387.84</v>
      </c>
      <c r="R45" s="193">
        <v>302.35000000000002</v>
      </c>
      <c r="S45" s="510">
        <v>368.07100000000003</v>
      </c>
      <c r="T45" s="550">
        <v>355.76</v>
      </c>
      <c r="U45" s="175"/>
      <c r="V45" s="176">
        <v>200</v>
      </c>
      <c r="W45" s="194" t="s">
        <v>70</v>
      </c>
      <c r="X45" s="205" t="s">
        <v>70</v>
      </c>
      <c r="Y45" s="177" t="s">
        <v>108</v>
      </c>
      <c r="Z45" s="178" t="s">
        <v>218</v>
      </c>
      <c r="AA45" s="176" t="s">
        <v>108</v>
      </c>
      <c r="AB45" s="195" t="s">
        <v>138</v>
      </c>
      <c r="AC45" s="179" t="s">
        <v>92</v>
      </c>
      <c r="AD45" s="171"/>
      <c r="AE45" s="171"/>
      <c r="AF45" s="171"/>
      <c r="AG45" s="171"/>
      <c r="AH45" s="171"/>
      <c r="AI45" s="174" t="s">
        <v>59</v>
      </c>
      <c r="AJ45" s="170"/>
      <c r="AK45" s="170"/>
      <c r="AL45" s="170"/>
      <c r="AM45" s="170"/>
      <c r="AN45" s="170"/>
      <c r="AO45" s="170"/>
      <c r="AP45" s="170"/>
      <c r="AQ45" s="170"/>
      <c r="AR45" s="170"/>
      <c r="AS45" s="170"/>
      <c r="AT45" s="170"/>
      <c r="AU45" s="170"/>
      <c r="AV45" s="170"/>
      <c r="AW45" s="170"/>
      <c r="AX45" s="170"/>
      <c r="AY45" s="170"/>
      <c r="AZ45" s="180" t="s">
        <v>59</v>
      </c>
      <c r="BA45" s="171">
        <f>(COUNTIF(AJ45:AL45,"*OK*")*3) + (COUNTIF(AM45:AO45,"*OK*")*2) + COUNTIF(AP45:AR45,"*OK*")+COUNTIF(AZ45:AZ45,"SI")*0.5</f>
        <v>0</v>
      </c>
      <c r="BB45" s="171" t="str">
        <f>IF(BA45&lt;0.6,"Demasiado Riesgo",IF(BA45&lt;=5,"Riesgo Medio",IF(BA45&lt;=11,"Riesgo Bajo","Cliente Blindado")))</f>
        <v>Demasiado Riesgo</v>
      </c>
      <c r="BC45" s="171"/>
      <c r="BD45" s="160"/>
      <c r="BE45" s="160">
        <v>0</v>
      </c>
      <c r="BF45" s="160"/>
      <c r="BG45" s="160"/>
      <c r="BH45" s="160"/>
      <c r="BI45" s="160"/>
      <c r="BJ45" s="160"/>
      <c r="BK45" s="160"/>
      <c r="BL45" s="160"/>
      <c r="BM45" s="160"/>
      <c r="BN45" s="160"/>
      <c r="BO45" s="160"/>
      <c r="BP45" s="160"/>
      <c r="BQ45" s="160"/>
      <c r="BR45" s="160"/>
      <c r="BS45" s="160"/>
      <c r="BT45" s="160"/>
      <c r="BU45" s="160"/>
      <c r="BV45" s="160"/>
      <c r="BW45" s="160"/>
      <c r="BX45" s="160"/>
      <c r="BY45" s="160"/>
      <c r="BZ45" s="160"/>
      <c r="CA45" s="160">
        <f>COUNTIF(AJ45:AX45,"*OK*")</f>
        <v>0</v>
      </c>
      <c r="CB45" s="160"/>
      <c r="CC45" s="160">
        <f>COUNTIF(AJ45:AX45,"*OP*")</f>
        <v>0</v>
      </c>
    </row>
    <row r="46" spans="1:81" ht="14.25" hidden="1" customHeight="1">
      <c r="A46" s="500">
        <v>20750</v>
      </c>
      <c r="B46" s="173" t="s">
        <v>219</v>
      </c>
      <c r="C46" s="468">
        <f>T46</f>
        <v>360.71</v>
      </c>
      <c r="D46" s="171">
        <f>COUNTIF(AJ46:AX46,"*OK*")</f>
        <v>0</v>
      </c>
      <c r="E46" s="171"/>
      <c r="F46" s="183" t="s">
        <v>220</v>
      </c>
      <c r="G46" s="183"/>
      <c r="H46" s="179"/>
      <c r="I46" s="179"/>
      <c r="J46" s="183"/>
      <c r="K46" s="192" t="s">
        <v>68</v>
      </c>
      <c r="L46" s="183" t="s">
        <v>69</v>
      </c>
      <c r="M46" s="183"/>
      <c r="N46" s="183"/>
      <c r="O46" s="172">
        <v>374.73</v>
      </c>
      <c r="P46" s="172">
        <v>362.42</v>
      </c>
      <c r="Q46" s="172">
        <v>338.87</v>
      </c>
      <c r="R46" s="193">
        <v>354.82</v>
      </c>
      <c r="S46" s="510">
        <v>359.59609999999998</v>
      </c>
      <c r="T46" s="554">
        <v>360.71</v>
      </c>
      <c r="U46" s="175"/>
      <c r="V46" s="176">
        <v>300</v>
      </c>
      <c r="W46" s="194" t="s">
        <v>70</v>
      </c>
      <c r="X46" s="209" t="s">
        <v>70</v>
      </c>
      <c r="Y46" s="177" t="s">
        <v>80</v>
      </c>
      <c r="Z46" s="178" t="s">
        <v>221</v>
      </c>
      <c r="AA46" s="176" t="s">
        <v>222</v>
      </c>
      <c r="AB46" s="195" t="s">
        <v>65</v>
      </c>
      <c r="AC46" s="179" t="s">
        <v>139</v>
      </c>
      <c r="AD46" s="171"/>
      <c r="AE46" s="171"/>
      <c r="AF46" s="171"/>
      <c r="AG46" s="171"/>
      <c r="AH46" s="171"/>
      <c r="AI46" s="174" t="s">
        <v>59</v>
      </c>
      <c r="AJ46" s="170"/>
      <c r="AK46" s="170"/>
      <c r="AL46" s="170"/>
      <c r="AM46" s="170"/>
      <c r="AN46" s="170"/>
      <c r="AO46" s="170"/>
      <c r="AP46" s="170"/>
      <c r="AQ46" s="170"/>
      <c r="AR46" s="170"/>
      <c r="AS46" s="170"/>
      <c r="AT46" s="170"/>
      <c r="AU46" s="170"/>
      <c r="AV46" s="170"/>
      <c r="AW46" s="170"/>
      <c r="AX46" s="170"/>
      <c r="AY46" s="170"/>
      <c r="AZ46" s="180" t="s">
        <v>59</v>
      </c>
      <c r="BA46" s="171">
        <f>(COUNTIF(AJ46:AL46,"*OK*")*3) + (COUNTIF(AM46:AO46,"*OK*")*2) + COUNTIF(AP46:AR46,"*OK*")+COUNTIF(AZ46:AZ46,"SI")*0.5</f>
        <v>0</v>
      </c>
      <c r="BB46" s="171" t="str">
        <f>IF(BA46&lt;0.6,"Demasiado Riesgo",IF(BA46&lt;=5,"Riesgo Medio",IF(BA46&lt;=11,"Riesgo Bajo","Cliente Blindado")))</f>
        <v>Demasiado Riesgo</v>
      </c>
      <c r="BC46" s="171"/>
      <c r="BD46" s="160"/>
      <c r="BE46" s="160">
        <v>0</v>
      </c>
      <c r="BF46" s="160"/>
      <c r="BG46" s="160"/>
      <c r="BH46" s="160"/>
      <c r="BI46" s="160"/>
      <c r="BJ46" s="160"/>
      <c r="BK46" s="160"/>
      <c r="BL46" s="160"/>
      <c r="BM46" s="160"/>
      <c r="BN46" s="160"/>
      <c r="BO46" s="160"/>
      <c r="BP46" s="160"/>
      <c r="BQ46" s="160"/>
      <c r="BR46" s="160"/>
      <c r="BS46" s="160"/>
      <c r="BT46" s="160"/>
      <c r="BU46" s="160"/>
      <c r="BV46" s="160"/>
      <c r="BW46" s="160"/>
      <c r="BX46" s="160"/>
      <c r="BY46" s="160"/>
      <c r="BZ46" s="160"/>
      <c r="CA46" s="160">
        <f>COUNTIF(AJ46:AX46,"*OK*")</f>
        <v>0</v>
      </c>
      <c r="CB46" s="160"/>
      <c r="CC46" s="160">
        <f>COUNTIF(AJ46:AX46,"*OP*")</f>
        <v>0</v>
      </c>
    </row>
    <row r="47" spans="1:81" ht="14.25" hidden="1" customHeight="1">
      <c r="A47" s="501">
        <v>22251</v>
      </c>
      <c r="B47" s="162" t="s">
        <v>223</v>
      </c>
      <c r="C47" s="468">
        <f>T47</f>
        <v>370.48</v>
      </c>
      <c r="D47" s="160">
        <f>COUNTIF(AJ47:AX47,"*OK*")</f>
        <v>0</v>
      </c>
      <c r="E47" s="160"/>
      <c r="F47" s="182" t="s">
        <v>224</v>
      </c>
      <c r="G47" s="182"/>
      <c r="H47" s="168"/>
      <c r="I47" s="168"/>
      <c r="J47" s="182"/>
      <c r="K47" s="185" t="s">
        <v>68</v>
      </c>
      <c r="L47" s="182" t="s">
        <v>69</v>
      </c>
      <c r="M47" s="182"/>
      <c r="N47" s="182"/>
      <c r="O47" s="161">
        <v>432.51</v>
      </c>
      <c r="P47" s="161">
        <v>311.88</v>
      </c>
      <c r="Q47" s="161">
        <v>311.54000000000002</v>
      </c>
      <c r="R47" s="186">
        <v>717.05</v>
      </c>
      <c r="S47" s="510">
        <v>363.35</v>
      </c>
      <c r="T47" s="553">
        <v>370.48</v>
      </c>
      <c r="U47" s="164"/>
      <c r="V47" s="165">
        <v>150</v>
      </c>
      <c r="W47" s="187" t="s">
        <v>70</v>
      </c>
      <c r="X47" s="208" t="s">
        <v>70</v>
      </c>
      <c r="Y47" s="166" t="s">
        <v>125</v>
      </c>
      <c r="Z47" s="167" t="s">
        <v>225</v>
      </c>
      <c r="AA47" s="165" t="s">
        <v>147</v>
      </c>
      <c r="AB47" s="188" t="s">
        <v>65</v>
      </c>
      <c r="AC47" s="168" t="s">
        <v>84</v>
      </c>
      <c r="AD47" s="160"/>
      <c r="AE47" s="160"/>
      <c r="AF47" s="160"/>
      <c r="AG47" s="160"/>
      <c r="AH47" s="160"/>
      <c r="AI47" s="163" t="s">
        <v>59</v>
      </c>
      <c r="AJ47" s="170"/>
      <c r="AK47" s="170"/>
      <c r="AL47" s="170"/>
      <c r="AM47" s="170"/>
      <c r="AN47" s="170"/>
      <c r="AO47" s="170"/>
      <c r="AP47" s="170"/>
      <c r="AQ47" s="170"/>
      <c r="AR47" s="170"/>
      <c r="AS47" s="170"/>
      <c r="AT47" s="170"/>
      <c r="AU47" s="170"/>
      <c r="AV47" s="170"/>
      <c r="AW47" s="170"/>
      <c r="AX47" s="170"/>
      <c r="AY47" s="170"/>
      <c r="AZ47" s="169" t="s">
        <v>59</v>
      </c>
      <c r="BA47" s="160">
        <f>(COUNTIF(AJ47:AL47,"*OK*")*3) + (COUNTIF(AM47:AO47,"*OK*")*2) + COUNTIF(AP47:AR47,"*OK*")+COUNTIF(AZ47:AZ47,"SI")*0.5</f>
        <v>0</v>
      </c>
      <c r="BB47" s="160" t="str">
        <f>IF(BA47&lt;0.6,"Demasiado Riesgo",IF(BA47&lt;=5,"Riesgo Medio",IF(BA47&lt;=11,"Riesgo Bajo","Cliente Blindado")))</f>
        <v>Demasiado Riesgo</v>
      </c>
      <c r="BC47" s="160"/>
      <c r="BD47" s="171"/>
      <c r="BE47" s="171">
        <v>0</v>
      </c>
      <c r="BF47" s="171"/>
      <c r="BG47" s="171"/>
      <c r="BH47" s="171"/>
      <c r="BI47" s="171"/>
      <c r="BJ47" s="171"/>
      <c r="BK47" s="171"/>
      <c r="BL47" s="171"/>
      <c r="BM47" s="171"/>
      <c r="BN47" s="171"/>
      <c r="BO47" s="171"/>
      <c r="BP47" s="171"/>
      <c r="BQ47" s="171"/>
      <c r="BR47" s="171"/>
      <c r="BS47" s="171"/>
      <c r="BT47" s="171"/>
      <c r="BU47" s="171"/>
      <c r="BV47" s="171"/>
      <c r="BW47" s="171"/>
      <c r="BX47" s="171"/>
      <c r="BY47" s="171"/>
      <c r="BZ47" s="171"/>
      <c r="CA47" s="171">
        <f>COUNTIF(AJ47:AX47,"*OK*")</f>
        <v>0</v>
      </c>
      <c r="CB47" s="171"/>
      <c r="CC47" s="171">
        <f>COUNTIF(AJ47:AX47,"*OP*")</f>
        <v>0</v>
      </c>
    </row>
    <row r="48" spans="1:81" ht="14.25" hidden="1" customHeight="1">
      <c r="A48" s="500"/>
      <c r="B48" s="173"/>
      <c r="C48" s="468">
        <f>T48</f>
        <v>376.25</v>
      </c>
      <c r="D48" s="171">
        <f>COUNTIF(AJ48:AX48,"*OK*")</f>
        <v>0</v>
      </c>
      <c r="E48" s="171"/>
      <c r="F48" s="183" t="s">
        <v>226</v>
      </c>
      <c r="G48" s="183" t="s">
        <v>123</v>
      </c>
      <c r="H48" s="179"/>
      <c r="I48" s="179"/>
      <c r="J48" s="183"/>
      <c r="K48" s="198" t="s">
        <v>79</v>
      </c>
      <c r="L48" s="183" t="s">
        <v>69</v>
      </c>
      <c r="M48" s="183"/>
      <c r="N48" s="183"/>
      <c r="O48" s="172">
        <v>360.2</v>
      </c>
      <c r="P48" s="172">
        <v>357.27</v>
      </c>
      <c r="Q48" s="172">
        <v>343.78</v>
      </c>
      <c r="R48" s="193">
        <v>367.68</v>
      </c>
      <c r="S48" s="510">
        <v>372.6234</v>
      </c>
      <c r="T48" s="553">
        <v>376.25</v>
      </c>
      <c r="U48" s="175"/>
      <c r="V48" s="176">
        <v>400</v>
      </c>
      <c r="W48" s="194"/>
      <c r="X48" s="205" t="s">
        <v>124</v>
      </c>
      <c r="Y48" s="177" t="s">
        <v>125</v>
      </c>
      <c r="Z48" s="178" t="s">
        <v>227</v>
      </c>
      <c r="AA48" s="176" t="s">
        <v>59</v>
      </c>
      <c r="AB48" s="195" t="s">
        <v>65</v>
      </c>
      <c r="AC48" s="179" t="s">
        <v>92</v>
      </c>
      <c r="AD48" s="171"/>
      <c r="AE48" s="171"/>
      <c r="AF48" s="171"/>
      <c r="AG48" s="171"/>
      <c r="AH48" s="171"/>
      <c r="AI48" s="178" t="s">
        <v>127</v>
      </c>
      <c r="AJ48" s="170"/>
      <c r="AK48" s="170"/>
      <c r="AL48" s="170"/>
      <c r="AM48" s="170"/>
      <c r="AN48" s="170"/>
      <c r="AO48" s="170"/>
      <c r="AP48" s="545"/>
      <c r="AQ48" s="170"/>
      <c r="AR48" s="170"/>
      <c r="AS48" s="170"/>
      <c r="AT48" s="170"/>
      <c r="AU48" s="170"/>
      <c r="AV48" s="170"/>
      <c r="AW48" s="170"/>
      <c r="AX48" s="170"/>
      <c r="AY48" s="170"/>
      <c r="AZ48" s="178" t="s">
        <v>59</v>
      </c>
      <c r="BA48" s="171">
        <f>(COUNTIF(AJ48:AL48,"*OK*")*3) + (COUNTIF(AM48:AO48,"*OK*")*2) + COUNTIF(AP48:AR48,"*OK*")+COUNTIF(AZ48:AZ48,"SI")*0.5</f>
        <v>0</v>
      </c>
      <c r="BB48" s="171" t="str">
        <f>IF(BA48&lt;0.6,"Demasiado Riesgo",IF(BA48&lt;=5,"Riesgo Medio",IF(BA48&lt;=11,"Riesgo Bajo","Cliente Blindado")))</f>
        <v>Demasiado Riesgo</v>
      </c>
      <c r="BC48" s="171"/>
      <c r="BD48" s="171"/>
      <c r="BE48" s="171">
        <v>0</v>
      </c>
      <c r="BF48" s="171"/>
      <c r="BG48" s="171"/>
      <c r="BH48" s="171"/>
      <c r="BI48" s="171"/>
      <c r="BJ48" s="171"/>
      <c r="BK48" s="171"/>
      <c r="BL48" s="171"/>
      <c r="BM48" s="171"/>
      <c r="BN48" s="171"/>
      <c r="BO48" s="171"/>
      <c r="BP48" s="171"/>
      <c r="BQ48" s="171"/>
      <c r="BR48" s="171"/>
      <c r="BS48" s="171"/>
      <c r="BT48" s="171"/>
      <c r="BU48" s="171"/>
      <c r="BV48" s="171"/>
      <c r="BW48" s="171"/>
      <c r="BX48" s="171"/>
      <c r="BY48" s="171"/>
      <c r="BZ48" s="171"/>
      <c r="CA48" s="171">
        <f>COUNTIF(AJ48:AX48,"*OK*")</f>
        <v>0</v>
      </c>
      <c r="CB48" s="171"/>
      <c r="CC48" s="171">
        <f>COUNTIF(AJ48:AX48,"*OP*")</f>
        <v>0</v>
      </c>
    </row>
    <row r="49" spans="1:81" ht="14.25" hidden="1" customHeight="1">
      <c r="A49" s="240">
        <v>23042</v>
      </c>
      <c r="B49" s="171" t="s">
        <v>228</v>
      </c>
      <c r="C49" s="468">
        <f>T49</f>
        <v>394.79</v>
      </c>
      <c r="D49" s="171">
        <f>COUNTIF(AJ49:AX49,"*OK*")</f>
        <v>0</v>
      </c>
      <c r="E49" s="171"/>
      <c r="F49" s="183" t="s">
        <v>229</v>
      </c>
      <c r="G49" s="183"/>
      <c r="H49" s="179"/>
      <c r="I49" s="179"/>
      <c r="J49" s="183"/>
      <c r="K49" s="192" t="s">
        <v>68</v>
      </c>
      <c r="L49" s="183" t="s">
        <v>69</v>
      </c>
      <c r="M49" s="183"/>
      <c r="N49" s="183"/>
      <c r="O49" s="172">
        <v>400.78</v>
      </c>
      <c r="P49" s="172">
        <v>400.41</v>
      </c>
      <c r="Q49" s="172">
        <v>390.36</v>
      </c>
      <c r="R49" s="193">
        <v>402.93</v>
      </c>
      <c r="S49" s="510">
        <v>403.75970000000001</v>
      </c>
      <c r="T49" s="550">
        <v>394.79</v>
      </c>
      <c r="U49" s="175"/>
      <c r="V49" s="176">
        <v>150</v>
      </c>
      <c r="W49" s="194" t="s">
        <v>230</v>
      </c>
      <c r="X49" s="177" t="s">
        <v>231</v>
      </c>
      <c r="Y49" s="177" t="s">
        <v>152</v>
      </c>
      <c r="Z49" s="178" t="s">
        <v>232</v>
      </c>
      <c r="AA49" s="176" t="s">
        <v>147</v>
      </c>
      <c r="AB49" s="195" t="s">
        <v>65</v>
      </c>
      <c r="AC49" s="179" t="s">
        <v>84</v>
      </c>
      <c r="AD49" s="171"/>
      <c r="AE49" s="171"/>
      <c r="AF49" s="171"/>
      <c r="AG49" s="171"/>
      <c r="AH49" s="171"/>
      <c r="AI49" s="180" t="s">
        <v>59</v>
      </c>
      <c r="AJ49" s="170"/>
      <c r="AK49" s="170"/>
      <c r="AL49" s="170"/>
      <c r="AM49" s="170"/>
      <c r="AN49" s="170"/>
      <c r="AO49" s="170"/>
      <c r="AP49" s="170"/>
      <c r="AQ49" s="170"/>
      <c r="AR49" s="170"/>
      <c r="AS49" s="170"/>
      <c r="AT49" s="170"/>
      <c r="AU49" s="170"/>
      <c r="AV49" s="170"/>
      <c r="AW49" s="170"/>
      <c r="AX49" s="170"/>
      <c r="AY49" s="170"/>
      <c r="AZ49" s="180" t="s">
        <v>59</v>
      </c>
      <c r="BA49" s="171">
        <f>(COUNTIF(AJ49:AL49,"*OK*")*3) + (COUNTIF(AM49:AO49,"*OK*")*2) + COUNTIF(AP49:AR49,"*OK*")+COUNTIF(AZ49:AZ49,"SI")*0.5</f>
        <v>0</v>
      </c>
      <c r="BB49" s="171" t="str">
        <f>IF(BA49&lt;0.6,"Demasiado Riesgo",IF(BA49&lt;=5,"Riesgo Medio",IF(BA49&lt;=11,"Riesgo Bajo","Cliente Blindado")))</f>
        <v>Demasiado Riesgo</v>
      </c>
      <c r="BC49" s="171"/>
      <c r="BD49" s="160"/>
      <c r="BE49" s="160">
        <v>0</v>
      </c>
      <c r="BF49" s="160"/>
      <c r="BG49" s="160"/>
      <c r="BH49" s="160"/>
      <c r="BI49" s="160"/>
      <c r="BJ49" s="160"/>
      <c r="BK49" s="160"/>
      <c r="BL49" s="160"/>
      <c r="BM49" s="160"/>
      <c r="BN49" s="160"/>
      <c r="BO49" s="160"/>
      <c r="BP49" s="160"/>
      <c r="BQ49" s="160"/>
      <c r="BR49" s="160"/>
      <c r="BS49" s="160"/>
      <c r="BT49" s="160"/>
      <c r="BU49" s="160"/>
      <c r="BV49" s="160"/>
      <c r="BW49" s="160"/>
      <c r="BX49" s="160"/>
      <c r="BY49" s="160"/>
      <c r="BZ49" s="160"/>
      <c r="CA49" s="160">
        <f>COUNTIF(AJ49:AX49,"*OK*")</f>
        <v>0</v>
      </c>
      <c r="CB49" s="160"/>
      <c r="CC49" s="160">
        <f>COUNTIF(AJ49:AX49,"*OP*")</f>
        <v>0</v>
      </c>
    </row>
    <row r="50" spans="1:81" ht="14.25" hidden="1" customHeight="1">
      <c r="A50" s="500">
        <v>23416</v>
      </c>
      <c r="B50" s="173" t="s">
        <v>233</v>
      </c>
      <c r="C50" s="468">
        <f>T50</f>
        <v>396.53</v>
      </c>
      <c r="D50" s="171">
        <f>COUNTIF(AJ50:AX50,"*OK*")</f>
        <v>0</v>
      </c>
      <c r="E50" s="171"/>
      <c r="F50" s="183" t="s">
        <v>234</v>
      </c>
      <c r="G50" s="183"/>
      <c r="H50" s="179"/>
      <c r="I50" s="179"/>
      <c r="J50" s="183"/>
      <c r="K50" s="192" t="s">
        <v>68</v>
      </c>
      <c r="L50" s="183" t="s">
        <v>69</v>
      </c>
      <c r="M50" s="183"/>
      <c r="N50" s="183"/>
      <c r="O50" s="172">
        <v>405.84</v>
      </c>
      <c r="P50" s="172">
        <v>402.18</v>
      </c>
      <c r="Q50" s="172">
        <v>379.09</v>
      </c>
      <c r="R50" s="193">
        <v>391.29</v>
      </c>
      <c r="S50" s="510">
        <v>391.09750000000003</v>
      </c>
      <c r="T50" s="553">
        <v>396.53</v>
      </c>
      <c r="U50" s="175"/>
      <c r="V50" s="176">
        <v>300</v>
      </c>
      <c r="W50" s="194" t="s">
        <v>187</v>
      </c>
      <c r="X50" s="177" t="s">
        <v>124</v>
      </c>
      <c r="Y50" s="177" t="s">
        <v>235</v>
      </c>
      <c r="Z50" s="178" t="s">
        <v>236</v>
      </c>
      <c r="AA50" s="176" t="s">
        <v>235</v>
      </c>
      <c r="AB50" s="195" t="s">
        <v>164</v>
      </c>
      <c r="AC50" s="179" t="s">
        <v>92</v>
      </c>
      <c r="AD50" s="171"/>
      <c r="AE50" s="171"/>
      <c r="AF50" s="171"/>
      <c r="AG50" s="171"/>
      <c r="AH50" s="171"/>
      <c r="AI50" s="174" t="s">
        <v>127</v>
      </c>
      <c r="AJ50" s="170"/>
      <c r="AK50" s="170"/>
      <c r="AL50" s="170"/>
      <c r="AM50" s="170"/>
      <c r="AN50" s="170"/>
      <c r="AO50" s="170"/>
      <c r="AP50" s="170"/>
      <c r="AQ50" s="170"/>
      <c r="AR50" s="170"/>
      <c r="AS50" s="170"/>
      <c r="AT50" s="170"/>
      <c r="AU50" s="170"/>
      <c r="AV50" s="170"/>
      <c r="AW50" s="170"/>
      <c r="AX50" s="170"/>
      <c r="AY50" s="170"/>
      <c r="AZ50" s="180" t="s">
        <v>59</v>
      </c>
      <c r="BA50" s="171">
        <f>(COUNTIF(AJ50:AL50,"*OK*")*3) + (COUNTIF(AM50:AO50,"*OK*")*2) + COUNTIF(AP50:AR50,"*OK*")+COUNTIF(AZ50:AZ50,"SI")*0.5</f>
        <v>0</v>
      </c>
      <c r="BB50" s="171" t="str">
        <f>IF(BA50&lt;0.6,"Demasiado Riesgo",IF(BA50&lt;=5,"Riesgo Medio",IF(BA50&lt;=11,"Riesgo Bajo","Cliente Blindado")))</f>
        <v>Demasiado Riesgo</v>
      </c>
      <c r="BC50" s="171"/>
      <c r="BD50" s="171"/>
      <c r="BE50" s="171">
        <v>0</v>
      </c>
      <c r="BF50" s="171"/>
      <c r="BG50" s="171"/>
      <c r="BH50" s="171"/>
      <c r="BI50" s="171"/>
      <c r="BJ50" s="171"/>
      <c r="BK50" s="171"/>
      <c r="BL50" s="171"/>
      <c r="BM50" s="171"/>
      <c r="BN50" s="171"/>
      <c r="BO50" s="171"/>
      <c r="BP50" s="171"/>
      <c r="BQ50" s="171"/>
      <c r="BR50" s="171"/>
      <c r="BS50" s="171"/>
      <c r="BT50" s="171"/>
      <c r="BU50" s="171"/>
      <c r="BV50" s="171"/>
      <c r="BW50" s="171"/>
      <c r="BX50" s="171"/>
      <c r="BY50" s="171"/>
      <c r="BZ50" s="171"/>
      <c r="CA50" s="171">
        <f>COUNTIF(AJ50:AX50,"*OK*")</f>
        <v>0</v>
      </c>
      <c r="CB50" s="171"/>
      <c r="CC50" s="171">
        <f>COUNTIF(AJ50:AX50,"*OP*")</f>
        <v>0</v>
      </c>
    </row>
    <row r="51" spans="1:81" s="204" customFormat="1" ht="14.25" hidden="1" customHeight="1">
      <c r="A51" s="501">
        <v>24316</v>
      </c>
      <c r="B51" s="162" t="s">
        <v>237</v>
      </c>
      <c r="C51" s="468">
        <f>T51</f>
        <v>402.05</v>
      </c>
      <c r="D51" s="160">
        <f>COUNTIF(AJ51:AX51,"*OK*")</f>
        <v>0</v>
      </c>
      <c r="E51" s="160"/>
      <c r="F51" s="182" t="s">
        <v>238</v>
      </c>
      <c r="G51" s="182"/>
      <c r="H51" s="168"/>
      <c r="I51" s="168"/>
      <c r="J51" s="182"/>
      <c r="K51" s="185" t="s">
        <v>68</v>
      </c>
      <c r="L51" s="182" t="s">
        <v>69</v>
      </c>
      <c r="M51" s="182"/>
      <c r="N51" s="182"/>
      <c r="O51" s="161">
        <v>278.27999999999997</v>
      </c>
      <c r="P51" s="161">
        <v>308.14</v>
      </c>
      <c r="Q51" s="161">
        <v>351.06</v>
      </c>
      <c r="R51" s="186">
        <v>353.25</v>
      </c>
      <c r="S51" s="510">
        <v>376.47910000000002</v>
      </c>
      <c r="T51" s="554">
        <v>402.05</v>
      </c>
      <c r="U51" s="164"/>
      <c r="V51" s="165">
        <v>400</v>
      </c>
      <c r="W51" s="187" t="s">
        <v>70</v>
      </c>
      <c r="X51" s="208" t="s">
        <v>70</v>
      </c>
      <c r="Y51" s="166" t="s">
        <v>95</v>
      </c>
      <c r="Z51" s="167" t="s">
        <v>239</v>
      </c>
      <c r="AA51" s="165" t="s">
        <v>162</v>
      </c>
      <c r="AB51" s="188" t="s">
        <v>240</v>
      </c>
      <c r="AC51" s="168" t="s">
        <v>92</v>
      </c>
      <c r="AD51" s="160"/>
      <c r="AE51" s="160"/>
      <c r="AF51" s="160"/>
      <c r="AG51" s="160"/>
      <c r="AH51" s="160"/>
      <c r="AI51" s="163" t="s">
        <v>59</v>
      </c>
      <c r="AJ51" s="170"/>
      <c r="AK51" s="170"/>
      <c r="AL51" s="170"/>
      <c r="AM51" s="170"/>
      <c r="AN51" s="170"/>
      <c r="AO51" s="170"/>
      <c r="AP51" s="170"/>
      <c r="AQ51" s="170"/>
      <c r="AR51" s="170"/>
      <c r="AS51" s="170"/>
      <c r="AT51" s="170"/>
      <c r="AU51" s="170"/>
      <c r="AV51" s="170"/>
      <c r="AW51" s="170"/>
      <c r="AX51" s="170"/>
      <c r="AY51" s="170"/>
      <c r="AZ51" s="169" t="s">
        <v>59</v>
      </c>
      <c r="BA51" s="160">
        <f>(COUNTIF(AJ51:AL51,"*OK*")*3) + (COUNTIF(AM51:AO51,"*OK*")*2) + COUNTIF(AP51:AR51,"*OK*")+COUNTIF(AZ51:AZ51,"SI")*0.5</f>
        <v>0</v>
      </c>
      <c r="BB51" s="160" t="str">
        <f>IF(BA51&lt;0.6,"Demasiado Riesgo",IF(BA51&lt;=5,"Riesgo Medio",IF(BA51&lt;=11,"Riesgo Bajo","Cliente Blindado")))</f>
        <v>Demasiado Riesgo</v>
      </c>
      <c r="BC51" s="160"/>
      <c r="BD51" s="160"/>
      <c r="BE51" s="160">
        <v>0</v>
      </c>
      <c r="BF51" s="160"/>
      <c r="BG51" s="160"/>
      <c r="BH51" s="160"/>
      <c r="BI51" s="160"/>
      <c r="BJ51" s="160"/>
      <c r="BK51" s="160"/>
      <c r="BL51" s="160"/>
      <c r="BM51" s="160"/>
      <c r="BN51" s="160"/>
      <c r="BO51" s="160"/>
      <c r="BP51" s="160"/>
      <c r="BQ51" s="160"/>
      <c r="BR51" s="160"/>
      <c r="BS51" s="160"/>
      <c r="BT51" s="160"/>
      <c r="BU51" s="160"/>
      <c r="BV51" s="160"/>
      <c r="BW51" s="160"/>
      <c r="BX51" s="160"/>
      <c r="BY51" s="160"/>
      <c r="BZ51" s="160"/>
      <c r="CA51" s="160">
        <f>COUNTIF(AJ51:AX51,"*OK*")</f>
        <v>0</v>
      </c>
      <c r="CB51" s="160"/>
      <c r="CC51" s="160">
        <f>COUNTIF(AJ51:AX51,"*OP*")</f>
        <v>0</v>
      </c>
    </row>
    <row r="52" spans="1:81" ht="14.25" hidden="1" customHeight="1">
      <c r="A52" s="501">
        <v>21116</v>
      </c>
      <c r="B52" s="162" t="s">
        <v>241</v>
      </c>
      <c r="C52" s="468">
        <f>T52</f>
        <v>408.42</v>
      </c>
      <c r="D52" s="160">
        <f>COUNTIF(AJ52:AX52,"*OK*")</f>
        <v>0</v>
      </c>
      <c r="E52" s="160"/>
      <c r="F52" s="182" t="s">
        <v>242</v>
      </c>
      <c r="G52" s="182"/>
      <c r="H52" s="168"/>
      <c r="I52" s="168"/>
      <c r="J52" s="182"/>
      <c r="K52" s="185" t="s">
        <v>68</v>
      </c>
      <c r="L52" s="182" t="s">
        <v>69</v>
      </c>
      <c r="M52" s="182"/>
      <c r="N52" s="182"/>
      <c r="O52" s="161">
        <v>434.35</v>
      </c>
      <c r="P52" s="161">
        <v>443.82</v>
      </c>
      <c r="Q52" s="161">
        <v>407.29</v>
      </c>
      <c r="R52" s="186">
        <v>404.23</v>
      </c>
      <c r="S52" s="510">
        <v>439.1653</v>
      </c>
      <c r="T52" s="550">
        <v>408.42</v>
      </c>
      <c r="U52" s="164"/>
      <c r="V52" s="165">
        <v>150</v>
      </c>
      <c r="W52" s="187" t="s">
        <v>183</v>
      </c>
      <c r="X52" s="166" t="s">
        <v>183</v>
      </c>
      <c r="Y52" s="166" t="s">
        <v>243</v>
      </c>
      <c r="Z52" s="167" t="s">
        <v>244</v>
      </c>
      <c r="AA52" s="165" t="s">
        <v>243</v>
      </c>
      <c r="AB52" s="188" t="s">
        <v>65</v>
      </c>
      <c r="AC52" s="168" t="s">
        <v>92</v>
      </c>
      <c r="AD52" s="160"/>
      <c r="AE52" s="160"/>
      <c r="AF52" s="160"/>
      <c r="AG52" s="160"/>
      <c r="AH52" s="160"/>
      <c r="AI52" s="163" t="s">
        <v>59</v>
      </c>
      <c r="AJ52" s="170"/>
      <c r="AK52" s="170"/>
      <c r="AL52" s="170"/>
      <c r="AM52" s="170"/>
      <c r="AN52" s="170"/>
      <c r="AO52" s="170"/>
      <c r="AP52" s="170"/>
      <c r="AQ52" s="170"/>
      <c r="AR52" s="170"/>
      <c r="AS52" s="170"/>
      <c r="AT52" s="170"/>
      <c r="AU52" s="170"/>
      <c r="AV52" s="170"/>
      <c r="AW52" s="170"/>
      <c r="AX52" s="170"/>
      <c r="AY52" s="170"/>
      <c r="AZ52" s="169" t="s">
        <v>59</v>
      </c>
      <c r="BA52" s="160">
        <f>(COUNTIF(AJ52:AL52,"*OK*")*3) + (COUNTIF(AM52:AO52,"*OK*")*2) + COUNTIF(AP52:AR52,"*OK*")+COUNTIF(AZ52:AZ52,"SI")*0.5</f>
        <v>0</v>
      </c>
      <c r="BB52" s="160" t="str">
        <f>IF(BA52&lt;0.6,"Demasiado Riesgo",IF(BA52&lt;=5,"Riesgo Medio",IF(BA52&lt;=11,"Riesgo Bajo","Cliente Blindado")))</f>
        <v>Demasiado Riesgo</v>
      </c>
      <c r="BC52" s="160"/>
      <c r="BD52" s="160"/>
      <c r="BE52" s="160">
        <v>0</v>
      </c>
      <c r="BF52" s="160"/>
      <c r="BG52" s="160"/>
      <c r="BH52" s="160"/>
      <c r="BI52" s="160"/>
      <c r="BJ52" s="160"/>
      <c r="BK52" s="160"/>
      <c r="BL52" s="160"/>
      <c r="BM52" s="160"/>
      <c r="BN52" s="160"/>
      <c r="BO52" s="160"/>
      <c r="BP52" s="160"/>
      <c r="BQ52" s="160"/>
      <c r="BR52" s="160"/>
      <c r="BS52" s="160"/>
      <c r="BT52" s="160"/>
      <c r="BU52" s="160"/>
      <c r="BV52" s="160"/>
      <c r="BW52" s="160"/>
      <c r="BX52" s="160"/>
      <c r="BY52" s="160"/>
      <c r="BZ52" s="160"/>
      <c r="CA52" s="160">
        <f>COUNTIF(AJ52:AX52,"*OK*")</f>
        <v>0</v>
      </c>
      <c r="CB52" s="160"/>
      <c r="CC52" s="160">
        <f>COUNTIF(AJ52:AX52,"*OP*")</f>
        <v>0</v>
      </c>
    </row>
    <row r="53" spans="1:81" ht="14.25" hidden="1" customHeight="1">
      <c r="A53" s="500">
        <v>6000</v>
      </c>
      <c r="B53" s="173" t="s">
        <v>245</v>
      </c>
      <c r="C53" s="468">
        <f>T53</f>
        <v>410.08</v>
      </c>
      <c r="D53" s="171">
        <f>COUNTIF(AJ53:AX53,"*OK*")</f>
        <v>0</v>
      </c>
      <c r="E53" s="171"/>
      <c r="F53" s="183" t="s">
        <v>246</v>
      </c>
      <c r="G53" s="183"/>
      <c r="H53" s="179"/>
      <c r="I53" s="179"/>
      <c r="J53" s="183"/>
      <c r="K53" s="192" t="s">
        <v>68</v>
      </c>
      <c r="L53" s="183" t="s">
        <v>69</v>
      </c>
      <c r="M53" s="183"/>
      <c r="N53" s="183"/>
      <c r="O53" s="172">
        <v>433.46</v>
      </c>
      <c r="P53" s="172">
        <v>454.51</v>
      </c>
      <c r="Q53" s="172">
        <v>416.79</v>
      </c>
      <c r="R53" s="193">
        <v>442.86</v>
      </c>
      <c r="S53" s="510">
        <v>410.3503</v>
      </c>
      <c r="T53" s="550">
        <v>410.08</v>
      </c>
      <c r="U53" s="175"/>
      <c r="V53" s="176">
        <v>200</v>
      </c>
      <c r="W53" s="194" t="s">
        <v>88</v>
      </c>
      <c r="X53" s="205" t="s">
        <v>247</v>
      </c>
      <c r="Y53" s="177" t="s">
        <v>80</v>
      </c>
      <c r="Z53" s="178" t="s">
        <v>248</v>
      </c>
      <c r="AA53" s="176" t="s">
        <v>222</v>
      </c>
      <c r="AB53" s="195" t="s">
        <v>104</v>
      </c>
      <c r="AC53" s="179" t="s">
        <v>92</v>
      </c>
      <c r="AD53" s="171"/>
      <c r="AE53" s="171"/>
      <c r="AF53" s="171"/>
      <c r="AG53" s="171"/>
      <c r="AH53" s="171"/>
      <c r="AI53" s="174" t="s">
        <v>59</v>
      </c>
      <c r="AJ53" s="170"/>
      <c r="AK53" s="170"/>
      <c r="AL53" s="170"/>
      <c r="AM53" s="170"/>
      <c r="AN53" s="170"/>
      <c r="AO53" s="170"/>
      <c r="AP53" s="170"/>
      <c r="AQ53" s="170"/>
      <c r="AR53" s="170"/>
      <c r="AS53" s="170"/>
      <c r="AT53" s="170"/>
      <c r="AU53" s="170"/>
      <c r="AV53" s="170"/>
      <c r="AW53" s="170"/>
      <c r="AX53" s="170"/>
      <c r="AY53" s="170"/>
      <c r="AZ53" s="180" t="s">
        <v>59</v>
      </c>
      <c r="BA53" s="171">
        <f>(COUNTIF(AJ53:AL53,"*OK*")*3) + (COUNTIF(AM53:AO53,"*OK*")*2) + COUNTIF(AP53:AR53,"*OK*")+COUNTIF(AZ53:AZ53,"SI")*0.5</f>
        <v>0</v>
      </c>
      <c r="BB53" s="171" t="str">
        <f>IF(BA53&lt;0.6,"Demasiado Riesgo",IF(BA53&lt;=5,"Riesgo Medio",IF(BA53&lt;=11,"Riesgo Bajo","Cliente Blindado")))</f>
        <v>Demasiado Riesgo</v>
      </c>
      <c r="BC53" s="171"/>
      <c r="BD53" s="160"/>
      <c r="BE53" s="160">
        <v>0</v>
      </c>
      <c r="BF53" s="160"/>
      <c r="BG53" s="160"/>
      <c r="BH53" s="160"/>
      <c r="BI53" s="160"/>
      <c r="BJ53" s="160"/>
      <c r="BK53" s="160"/>
      <c r="BL53" s="160"/>
      <c r="BM53" s="160"/>
      <c r="BN53" s="160"/>
      <c r="BO53" s="160"/>
      <c r="BP53" s="160"/>
      <c r="BQ53" s="160"/>
      <c r="BR53" s="160"/>
      <c r="BS53" s="160"/>
      <c r="BT53" s="160"/>
      <c r="BU53" s="160"/>
      <c r="BV53" s="160"/>
      <c r="BW53" s="160"/>
      <c r="BX53" s="160"/>
      <c r="BY53" s="160"/>
      <c r="BZ53" s="160"/>
      <c r="CA53" s="160">
        <f>COUNTIF(AJ53:AX53,"*OK*")</f>
        <v>0</v>
      </c>
      <c r="CB53" s="160"/>
      <c r="CC53" s="160">
        <f>COUNTIF(AJ53:AX53,"*OP*")</f>
        <v>0</v>
      </c>
    </row>
    <row r="54" spans="1:81" s="204" customFormat="1" ht="14.25" hidden="1" customHeight="1">
      <c r="A54" s="241">
        <v>23879</v>
      </c>
      <c r="B54" s="160"/>
      <c r="C54" s="468">
        <f>T54</f>
        <v>412.8811</v>
      </c>
      <c r="D54" s="160">
        <f>COUNTIF(AN54:AY54,"OK")</f>
        <v>0</v>
      </c>
      <c r="E54" s="160"/>
      <c r="F54" s="162" t="s">
        <v>249</v>
      </c>
      <c r="G54" s="162" t="s">
        <v>59</v>
      </c>
      <c r="H54" s="168"/>
      <c r="I54" s="168"/>
      <c r="J54" s="162" t="s">
        <v>59</v>
      </c>
      <c r="K54" s="162" t="s">
        <v>68</v>
      </c>
      <c r="L54" s="162" t="s">
        <v>69</v>
      </c>
      <c r="M54" s="162" t="s">
        <v>59</v>
      </c>
      <c r="N54" s="162" t="s">
        <v>59</v>
      </c>
      <c r="O54" s="465">
        <v>474.29</v>
      </c>
      <c r="P54" s="465">
        <v>465.59</v>
      </c>
      <c r="Q54" s="465">
        <v>425.32</v>
      </c>
      <c r="R54" s="224">
        <v>449.86</v>
      </c>
      <c r="S54" s="509">
        <v>422.9513</v>
      </c>
      <c r="T54" s="549">
        <v>412.8811</v>
      </c>
      <c r="U54" s="164"/>
      <c r="V54" s="165" t="s">
        <v>59</v>
      </c>
      <c r="W54" s="160"/>
      <c r="X54" s="203"/>
      <c r="Y54" s="166"/>
      <c r="Z54" s="167"/>
      <c r="AA54" s="163" t="s">
        <v>59</v>
      </c>
      <c r="AB54" s="167" t="s">
        <v>159</v>
      </c>
      <c r="AC54" s="168"/>
      <c r="AD54" s="160"/>
      <c r="AE54" s="160"/>
      <c r="AF54" s="160"/>
      <c r="AG54" s="160"/>
      <c r="AH54" s="160"/>
      <c r="AI54" s="167" t="s">
        <v>59</v>
      </c>
      <c r="AJ54" s="170"/>
      <c r="AK54" s="170"/>
      <c r="AL54" s="170"/>
      <c r="AM54" s="170"/>
      <c r="AN54" s="170"/>
      <c r="AO54" s="170"/>
      <c r="AP54" s="170"/>
      <c r="AQ54" s="170"/>
      <c r="AR54" s="170"/>
      <c r="AS54" s="170"/>
      <c r="AT54" s="170"/>
      <c r="AU54" s="170"/>
      <c r="AV54" s="170"/>
      <c r="AW54" s="170"/>
      <c r="AX54" s="170"/>
      <c r="AY54" s="170"/>
      <c r="AZ54" s="417" t="s">
        <v>59</v>
      </c>
      <c r="BA54" s="160">
        <f>(COUNTIF(AJ54:AL54,"*OK*")*3) + (COUNTIF(AM54:AO54,"*OK*")*2) + COUNTIF(AP54:AR54,"*OK*")+COUNTIF(AZ54:AZ54,"SI")*0.5</f>
        <v>0</v>
      </c>
      <c r="BB54" s="160" t="str">
        <f>IF(BA54&lt;0.6,"Demasiado Riesgo",IF(BA54&lt;=5,"Riesgo Medio",IF(BA54&lt;=11,"Riesgo Bajo","Cliente Blindado")))</f>
        <v>Demasiado Riesgo</v>
      </c>
      <c r="BC54" s="160"/>
      <c r="BD54" s="160"/>
      <c r="BE54" s="160">
        <v>0</v>
      </c>
      <c r="BF54" s="160"/>
      <c r="BG54" s="160"/>
      <c r="BH54" s="160"/>
      <c r="BI54" s="160"/>
      <c r="BJ54" s="160"/>
      <c r="BK54" s="160"/>
      <c r="BL54" s="160"/>
      <c r="BM54" s="160"/>
      <c r="BN54" s="160"/>
      <c r="BO54" s="160"/>
      <c r="BP54" s="160"/>
      <c r="BQ54" s="160"/>
      <c r="BR54" s="160"/>
      <c r="BS54" s="160"/>
      <c r="BT54" s="160"/>
      <c r="BU54" s="160"/>
      <c r="BV54" s="160"/>
      <c r="BW54" s="160"/>
      <c r="BX54" s="160"/>
      <c r="BY54" s="160"/>
      <c r="BZ54" s="160"/>
      <c r="CA54" s="160">
        <f>COUNTIF(AJ54:AX54,"*OK*")</f>
        <v>0</v>
      </c>
      <c r="CB54" s="160"/>
      <c r="CC54" s="160">
        <f>COUNTIF(AJ54:AX54,"*OP*")</f>
        <v>0</v>
      </c>
    </row>
    <row r="55" spans="1:81" ht="14.25" hidden="1" customHeight="1">
      <c r="A55" s="241">
        <v>31431</v>
      </c>
      <c r="B55" s="160" t="s">
        <v>250</v>
      </c>
      <c r="C55" s="468">
        <f>T55</f>
        <v>416.82</v>
      </c>
      <c r="D55" s="160">
        <f>COUNTIF(AJ55:AX55,"*OK*")</f>
        <v>1</v>
      </c>
      <c r="E55" s="160"/>
      <c r="F55" s="259" t="s">
        <v>251</v>
      </c>
      <c r="G55" s="182"/>
      <c r="H55" s="168"/>
      <c r="I55" s="168"/>
      <c r="J55" s="182"/>
      <c r="K55" s="196" t="s">
        <v>68</v>
      </c>
      <c r="L55" s="182" t="s">
        <v>69</v>
      </c>
      <c r="M55" s="182"/>
      <c r="N55" s="182"/>
      <c r="O55" s="161">
        <v>398.78</v>
      </c>
      <c r="P55" s="161">
        <v>404.21</v>
      </c>
      <c r="Q55" s="161">
        <v>374.16</v>
      </c>
      <c r="R55" s="186">
        <v>391.9</v>
      </c>
      <c r="S55" s="510">
        <v>411.33</v>
      </c>
      <c r="T55" s="553">
        <v>416.82</v>
      </c>
      <c r="U55" s="164"/>
      <c r="V55" s="165">
        <v>200</v>
      </c>
      <c r="W55" s="187" t="s">
        <v>252</v>
      </c>
      <c r="X55" s="166" t="s">
        <v>253</v>
      </c>
      <c r="Y55" s="166" t="s">
        <v>80</v>
      </c>
      <c r="Z55" s="167" t="s">
        <v>254</v>
      </c>
      <c r="AA55" s="165" t="s">
        <v>222</v>
      </c>
      <c r="AB55" s="188" t="s">
        <v>104</v>
      </c>
      <c r="AC55" s="168" t="s">
        <v>97</v>
      </c>
      <c r="AD55" s="160"/>
      <c r="AE55" s="160"/>
      <c r="AF55" s="160"/>
      <c r="AG55" s="160"/>
      <c r="AH55" s="160"/>
      <c r="AI55" s="163" t="s">
        <v>127</v>
      </c>
      <c r="AJ55" s="170"/>
      <c r="AK55" s="170"/>
      <c r="AL55" s="189" t="s">
        <v>255</v>
      </c>
      <c r="AM55" s="170"/>
      <c r="AN55" s="170"/>
      <c r="AO55" s="170"/>
      <c r="AP55" s="170"/>
      <c r="AQ55" s="189" t="s">
        <v>111</v>
      </c>
      <c r="AR55" s="170"/>
      <c r="AS55" s="170"/>
      <c r="AT55" s="170"/>
      <c r="AU55" s="170"/>
      <c r="AV55" s="170"/>
      <c r="AW55" s="170"/>
      <c r="AX55" s="170"/>
      <c r="AY55" s="170"/>
      <c r="AZ55" s="169" t="s">
        <v>59</v>
      </c>
      <c r="BA55" s="160">
        <f>(COUNTIF(AJ55:AL55,"*OK*")*3) + (COUNTIF(AM55:AO55,"*OK*")*2) + COUNTIF(AP55:AR55,"*OK*")+COUNTIF(AZ55:AZ55,"SI")*0.5</f>
        <v>1</v>
      </c>
      <c r="BB55" s="160" t="str">
        <f>IF(BA55&lt;0.6,"Demasiado Riesgo",IF(BA55&lt;=5,"Riesgo Medio",IF(BA55&lt;=11,"Riesgo Bajo","Cliente Blindado")))</f>
        <v>Riesgo Medio</v>
      </c>
      <c r="BC55" s="160"/>
      <c r="BD55" s="171"/>
      <c r="BE55" s="171">
        <v>0</v>
      </c>
      <c r="BF55" s="171"/>
      <c r="BG55" s="171"/>
      <c r="BH55" s="171"/>
      <c r="BI55" s="171"/>
      <c r="BJ55" s="171"/>
      <c r="BK55" s="171"/>
      <c r="BL55" s="171"/>
      <c r="BM55" s="171"/>
      <c r="BN55" s="171"/>
      <c r="BO55" s="171"/>
      <c r="BP55" s="171"/>
      <c r="BQ55" s="171"/>
      <c r="BR55" s="171"/>
      <c r="BS55" s="171"/>
      <c r="BT55" s="171"/>
      <c r="BU55" s="171"/>
      <c r="BV55" s="171"/>
      <c r="BW55" s="171"/>
      <c r="BX55" s="171"/>
      <c r="BY55" s="171"/>
      <c r="BZ55" s="171"/>
      <c r="CA55" s="171">
        <f>COUNTIF(AJ55:AX55,"*OK*")</f>
        <v>1</v>
      </c>
      <c r="CB55" s="171"/>
      <c r="CC55" s="171">
        <f>COUNTIF(AJ55:AX55,"*OP*")</f>
        <v>0</v>
      </c>
    </row>
    <row r="56" spans="1:81" ht="14.25" hidden="1" customHeight="1">
      <c r="A56" s="241">
        <v>24483</v>
      </c>
      <c r="B56" s="160" t="s">
        <v>256</v>
      </c>
      <c r="C56" s="468">
        <f>T56</f>
        <v>417.34</v>
      </c>
      <c r="D56" s="160">
        <f>COUNTIF(AJ56:AX56,"*OK*")</f>
        <v>0</v>
      </c>
      <c r="E56" s="160"/>
      <c r="F56" s="182" t="s">
        <v>257</v>
      </c>
      <c r="G56" s="182"/>
      <c r="H56" s="168"/>
      <c r="I56" s="168"/>
      <c r="J56" s="182"/>
      <c r="K56" s="182" t="s">
        <v>68</v>
      </c>
      <c r="L56" s="182" t="s">
        <v>69</v>
      </c>
      <c r="M56" s="182"/>
      <c r="N56" s="182"/>
      <c r="O56" s="161">
        <v>413.74</v>
      </c>
      <c r="P56" s="161">
        <v>413.47</v>
      </c>
      <c r="Q56" s="161">
        <v>405.87</v>
      </c>
      <c r="R56" s="186">
        <v>418.82</v>
      </c>
      <c r="S56" s="510">
        <v>421.97039999999998</v>
      </c>
      <c r="T56" s="550">
        <v>417.34</v>
      </c>
      <c r="U56" s="164"/>
      <c r="V56" s="165">
        <v>200</v>
      </c>
      <c r="W56" s="187" t="s">
        <v>88</v>
      </c>
      <c r="X56" s="203" t="s">
        <v>247</v>
      </c>
      <c r="Y56" s="166" t="s">
        <v>80</v>
      </c>
      <c r="Z56" s="167" t="s">
        <v>258</v>
      </c>
      <c r="AA56" s="165" t="s">
        <v>259</v>
      </c>
      <c r="AB56" s="188" t="s">
        <v>104</v>
      </c>
      <c r="AC56" s="168" t="s">
        <v>92</v>
      </c>
      <c r="AD56" s="160"/>
      <c r="AE56" s="160"/>
      <c r="AF56" s="160"/>
      <c r="AG56" s="160"/>
      <c r="AH56" s="160"/>
      <c r="AI56" s="163" t="s">
        <v>59</v>
      </c>
      <c r="AJ56" s="170"/>
      <c r="AK56" s="170"/>
      <c r="AL56" s="170"/>
      <c r="AM56" s="170"/>
      <c r="AN56" s="170"/>
      <c r="AO56" s="170"/>
      <c r="AP56" s="170"/>
      <c r="AQ56" s="170"/>
      <c r="AR56" s="170"/>
      <c r="AS56" s="170"/>
      <c r="AT56" s="170"/>
      <c r="AU56" s="170"/>
      <c r="AV56" s="170"/>
      <c r="AW56" s="170"/>
      <c r="AX56" s="170"/>
      <c r="AY56" s="170"/>
      <c r="AZ56" s="169" t="s">
        <v>127</v>
      </c>
      <c r="BA56" s="160">
        <f>(COUNTIF(AJ56:AL56,"*OK*")*3) + (COUNTIF(AM56:AO56,"*OK*")*2) + COUNTIF(AP56:AR56,"*OK*")+COUNTIF(AZ56:AZ56,"SI")*0.5</f>
        <v>0.5</v>
      </c>
      <c r="BB56" s="160" t="str">
        <f>IF(BA56&lt;0.6,"Demasiado Riesgo",IF(BA56&lt;=5,"Riesgo Medio",IF(BA56&lt;=11,"Riesgo Bajo","Cliente Blindado")))</f>
        <v>Demasiado Riesgo</v>
      </c>
      <c r="BC56" s="160"/>
      <c r="BD56" s="160"/>
      <c r="BE56" s="160">
        <v>0</v>
      </c>
      <c r="BF56" s="160"/>
      <c r="BG56" s="160"/>
      <c r="BH56" s="160"/>
      <c r="BI56" s="160"/>
      <c r="BJ56" s="160"/>
      <c r="BK56" s="160"/>
      <c r="BL56" s="160"/>
      <c r="BM56" s="160"/>
      <c r="BN56" s="160"/>
      <c r="BO56" s="160"/>
      <c r="BP56" s="160"/>
      <c r="BQ56" s="160"/>
      <c r="BR56" s="160"/>
      <c r="BS56" s="160"/>
      <c r="BT56" s="160"/>
      <c r="BU56" s="160"/>
      <c r="BV56" s="160"/>
      <c r="BW56" s="160"/>
      <c r="BX56" s="160"/>
      <c r="BY56" s="160"/>
      <c r="BZ56" s="160"/>
      <c r="CA56" s="160">
        <f>COUNTIF(AJ56:AX56,"*OK*")</f>
        <v>0</v>
      </c>
      <c r="CB56" s="160"/>
      <c r="CC56" s="160">
        <f>COUNTIF(AJ56:AX56,"*OP*")</f>
        <v>0</v>
      </c>
    </row>
    <row r="57" spans="1:81" ht="14.25" hidden="1" customHeight="1">
      <c r="A57" s="500">
        <v>25594</v>
      </c>
      <c r="B57" s="173" t="s">
        <v>260</v>
      </c>
      <c r="C57" s="468">
        <f>T57</f>
        <v>418.03</v>
      </c>
      <c r="D57" s="171">
        <f>COUNTIF(AJ57:AX57,"*OK*")</f>
        <v>1</v>
      </c>
      <c r="E57" s="171"/>
      <c r="F57" s="183" t="s">
        <v>261</v>
      </c>
      <c r="G57" s="183"/>
      <c r="H57" s="179"/>
      <c r="I57" s="179"/>
      <c r="J57" s="183"/>
      <c r="K57" s="196" t="s">
        <v>79</v>
      </c>
      <c r="L57" s="183" t="s">
        <v>69</v>
      </c>
      <c r="M57" s="183"/>
      <c r="N57" s="183"/>
      <c r="O57" s="172">
        <v>310.2</v>
      </c>
      <c r="P57" s="172">
        <v>422.52</v>
      </c>
      <c r="Q57" s="172">
        <v>297.33999999999997</v>
      </c>
      <c r="R57" s="193">
        <v>421.94</v>
      </c>
      <c r="S57" s="510">
        <v>444.72629999999998</v>
      </c>
      <c r="T57" s="551">
        <v>418.03</v>
      </c>
      <c r="U57" s="175"/>
      <c r="V57" s="176">
        <v>200</v>
      </c>
      <c r="W57" s="194" t="s">
        <v>252</v>
      </c>
      <c r="X57" s="205" t="s">
        <v>253</v>
      </c>
      <c r="Y57" s="177" t="s">
        <v>152</v>
      </c>
      <c r="Z57" s="178" t="s">
        <v>262</v>
      </c>
      <c r="AA57" s="176" t="s">
        <v>147</v>
      </c>
      <c r="AB57" s="195" t="s">
        <v>65</v>
      </c>
      <c r="AC57" s="179" t="s">
        <v>92</v>
      </c>
      <c r="AD57" s="171"/>
      <c r="AE57" s="171"/>
      <c r="AF57" s="171"/>
      <c r="AG57" s="171"/>
      <c r="AH57" s="171"/>
      <c r="AI57" s="174" t="s">
        <v>127</v>
      </c>
      <c r="AJ57" s="170"/>
      <c r="AK57" s="170"/>
      <c r="AL57" s="170"/>
      <c r="AM57" s="170"/>
      <c r="AN57" s="170"/>
      <c r="AO57" s="170"/>
      <c r="AP57" s="189" t="s">
        <v>111</v>
      </c>
      <c r="AQ57" s="170"/>
      <c r="AR57" s="170"/>
      <c r="AS57" s="170"/>
      <c r="AT57" s="170"/>
      <c r="AU57" s="170"/>
      <c r="AV57" s="170"/>
      <c r="AW57" s="170"/>
      <c r="AX57" s="170"/>
      <c r="AY57" s="170"/>
      <c r="AZ57" s="180" t="s">
        <v>178</v>
      </c>
      <c r="BA57" s="171">
        <f>(COUNTIF(AJ57:AL57,"*OK*")*3) + (COUNTIF(AM57:AO57,"*OK*")*2) + COUNTIF(AP57:AR57,"*OK*")+COUNTIF(AZ57:AZ57,"SI")*0.5</f>
        <v>1</v>
      </c>
      <c r="BB57" s="171" t="str">
        <f>IF(BA57&lt;0.6,"Demasiado Riesgo",IF(BA57&lt;=5,"Riesgo Medio",IF(BA57&lt;=11,"Riesgo Bajo","Cliente Blindado")))</f>
        <v>Riesgo Medio</v>
      </c>
      <c r="BC57" s="171"/>
      <c r="BD57" s="171"/>
      <c r="BE57" s="171">
        <v>0</v>
      </c>
      <c r="BF57" s="171"/>
      <c r="BG57" s="171"/>
      <c r="BH57" s="171"/>
      <c r="BI57" s="171"/>
      <c r="BJ57" s="171"/>
      <c r="BK57" s="171"/>
      <c r="BL57" s="171"/>
      <c r="BM57" s="171"/>
      <c r="BN57" s="171"/>
      <c r="BO57" s="171"/>
      <c r="BP57" s="171"/>
      <c r="BQ57" s="171"/>
      <c r="BR57" s="171"/>
      <c r="BS57" s="171"/>
      <c r="BT57" s="171"/>
      <c r="BU57" s="171"/>
      <c r="BV57" s="171"/>
      <c r="BW57" s="171"/>
      <c r="BX57" s="171"/>
      <c r="BY57" s="171"/>
      <c r="BZ57" s="171"/>
      <c r="CA57" s="171">
        <f>COUNTIF(AJ57:AX57,"*OK*")</f>
        <v>1</v>
      </c>
      <c r="CB57" s="171"/>
      <c r="CC57" s="171">
        <f>COUNTIF(AJ57:AX57,"*OP*")</f>
        <v>0</v>
      </c>
    </row>
    <row r="58" spans="1:81" ht="14.25" hidden="1" customHeight="1">
      <c r="A58" s="499">
        <v>23100</v>
      </c>
      <c r="B58" s="206"/>
      <c r="C58" s="468">
        <f>T58</f>
        <v>421.38</v>
      </c>
      <c r="D58" s="160">
        <f>COUNTIF(AJ58:AX58,"*OK*")</f>
        <v>0</v>
      </c>
      <c r="E58" s="160"/>
      <c r="F58" s="182" t="s">
        <v>263</v>
      </c>
      <c r="G58" s="182"/>
      <c r="H58" s="168"/>
      <c r="I58" s="168"/>
      <c r="J58" s="182"/>
      <c r="K58" s="185" t="s">
        <v>68</v>
      </c>
      <c r="L58" s="182" t="s">
        <v>69</v>
      </c>
      <c r="M58" s="182"/>
      <c r="N58" s="182"/>
      <c r="O58" s="161">
        <v>447.52</v>
      </c>
      <c r="P58" s="161">
        <v>440.53</v>
      </c>
      <c r="Q58" s="161">
        <v>398.93</v>
      </c>
      <c r="R58" s="186">
        <v>426.87</v>
      </c>
      <c r="S58" s="510">
        <v>432.61059999999998</v>
      </c>
      <c r="T58" s="551">
        <v>421.38</v>
      </c>
      <c r="U58" s="164"/>
      <c r="V58" s="165">
        <v>200</v>
      </c>
      <c r="W58" s="187"/>
      <c r="X58" s="208" t="s">
        <v>70</v>
      </c>
      <c r="Y58" s="166" t="s">
        <v>71</v>
      </c>
      <c r="Z58" s="167" t="s">
        <v>264</v>
      </c>
      <c r="AA58" s="165" t="s">
        <v>59</v>
      </c>
      <c r="AB58" s="188" t="s">
        <v>65</v>
      </c>
      <c r="AC58" s="168" t="s">
        <v>84</v>
      </c>
      <c r="AD58" s="160"/>
      <c r="AE58" s="160"/>
      <c r="AF58" s="160"/>
      <c r="AG58" s="160"/>
      <c r="AH58" s="160"/>
      <c r="AI58" s="163" t="s">
        <v>59</v>
      </c>
      <c r="AJ58" s="170"/>
      <c r="AK58" s="170"/>
      <c r="AL58" s="170"/>
      <c r="AM58" s="170"/>
      <c r="AN58" s="170"/>
      <c r="AO58" s="170"/>
      <c r="AP58" s="170"/>
      <c r="AQ58" s="170"/>
      <c r="AR58" s="170"/>
      <c r="AS58" s="170"/>
      <c r="AT58" s="170"/>
      <c r="AU58" s="170"/>
      <c r="AV58" s="170"/>
      <c r="AW58" s="170"/>
      <c r="AX58" s="170"/>
      <c r="AY58" s="170"/>
      <c r="AZ58" s="169" t="s">
        <v>59</v>
      </c>
      <c r="BA58" s="160">
        <f>(COUNTIF(AJ58:AL58,"*OK*")*3) + (COUNTIF(AM58:AO58,"*OK*")*2) + COUNTIF(AP58:AR58,"*OK*")+COUNTIF(AZ58:AZ58,"SI")*0.5</f>
        <v>0</v>
      </c>
      <c r="BB58" s="160" t="str">
        <f>IF(BA58&lt;0.6,"Demasiado Riesgo",IF(BA58&lt;=5,"Riesgo Medio",IF(BA58&lt;=11,"Riesgo Bajo","Cliente Blindado")))</f>
        <v>Demasiado Riesgo</v>
      </c>
      <c r="BC58" s="160"/>
      <c r="BD58" s="171"/>
      <c r="BE58" s="171">
        <v>0</v>
      </c>
      <c r="BF58" s="171"/>
      <c r="BG58" s="171"/>
      <c r="BH58" s="171"/>
      <c r="BI58" s="171"/>
      <c r="BJ58" s="171"/>
      <c r="BK58" s="171"/>
      <c r="BL58" s="171"/>
      <c r="BM58" s="171"/>
      <c r="BN58" s="171"/>
      <c r="BO58" s="171"/>
      <c r="BP58" s="171"/>
      <c r="BQ58" s="171"/>
      <c r="BR58" s="171"/>
      <c r="BS58" s="171"/>
      <c r="BT58" s="171"/>
      <c r="BU58" s="171"/>
      <c r="BV58" s="171"/>
      <c r="BW58" s="171"/>
      <c r="BX58" s="171"/>
      <c r="BY58" s="171"/>
      <c r="BZ58" s="171"/>
      <c r="CA58" s="171">
        <f>COUNTIF(AJ58:AX58,"*OK*")</f>
        <v>0</v>
      </c>
      <c r="CB58" s="171"/>
      <c r="CC58" s="171">
        <f>COUNTIF(AJ58:AX58,"*OP*")</f>
        <v>0</v>
      </c>
    </row>
    <row r="59" spans="1:81" ht="14.25" hidden="1" customHeight="1">
      <c r="A59" s="500"/>
      <c r="B59" s="173"/>
      <c r="C59" s="468">
        <f>T59</f>
        <v>433.33</v>
      </c>
      <c r="D59" s="171">
        <f>COUNTIF(AJ59:AX59,"*OK*")</f>
        <v>0</v>
      </c>
      <c r="E59" s="171"/>
      <c r="F59" s="183" t="s">
        <v>265</v>
      </c>
      <c r="G59" s="183"/>
      <c r="H59" s="179"/>
      <c r="I59" s="179"/>
      <c r="J59" s="183"/>
      <c r="K59" s="192" t="s">
        <v>68</v>
      </c>
      <c r="L59" s="183" t="s">
        <v>69</v>
      </c>
      <c r="M59" s="183"/>
      <c r="N59" s="183"/>
      <c r="O59" s="172">
        <v>369.16</v>
      </c>
      <c r="P59" s="172">
        <v>410.78</v>
      </c>
      <c r="Q59" s="172">
        <v>389.37</v>
      </c>
      <c r="R59" s="193">
        <v>408.42</v>
      </c>
      <c r="S59" s="510">
        <v>409.50799999999998</v>
      </c>
      <c r="T59" s="553">
        <v>433.33</v>
      </c>
      <c r="U59" s="175"/>
      <c r="V59" s="176">
        <v>500</v>
      </c>
      <c r="W59" s="194"/>
      <c r="X59" s="205" t="s">
        <v>247</v>
      </c>
      <c r="Y59" s="177" t="s">
        <v>95</v>
      </c>
      <c r="Z59" s="178" t="s">
        <v>266</v>
      </c>
      <c r="AA59" s="176" t="s">
        <v>59</v>
      </c>
      <c r="AB59" s="195" t="s">
        <v>267</v>
      </c>
      <c r="AC59" s="179" t="s">
        <v>84</v>
      </c>
      <c r="AD59" s="171"/>
      <c r="AE59" s="171"/>
      <c r="AF59" s="171"/>
      <c r="AG59" s="171"/>
      <c r="AH59" s="171"/>
      <c r="AI59" s="174" t="s">
        <v>59</v>
      </c>
      <c r="AJ59" s="170"/>
      <c r="AK59" s="170"/>
      <c r="AL59" s="170"/>
      <c r="AM59" s="170"/>
      <c r="AN59" s="170"/>
      <c r="AO59" s="170"/>
      <c r="AP59" s="170"/>
      <c r="AQ59" s="170"/>
      <c r="AR59" s="170"/>
      <c r="AS59" s="170"/>
      <c r="AT59" s="170"/>
      <c r="AU59" s="170"/>
      <c r="AV59" s="170"/>
      <c r="AW59" s="170"/>
      <c r="AX59" s="170"/>
      <c r="AY59" s="170"/>
      <c r="AZ59" s="180" t="s">
        <v>59</v>
      </c>
      <c r="BA59" s="171">
        <f>(COUNTIF(AJ59:AL59,"*OK*")*3) + (COUNTIF(AM59:AO59,"*OK*")*2) + COUNTIF(AP59:AR59,"*OK*")+COUNTIF(AZ59:AZ59,"SI")*0.5</f>
        <v>0</v>
      </c>
      <c r="BB59" s="171" t="str">
        <f>IF(BA59&lt;0.6,"Demasiado Riesgo",IF(BA59&lt;=5,"Riesgo Medio",IF(BA59&lt;=11,"Riesgo Bajo","Cliente Blindado")))</f>
        <v>Demasiado Riesgo</v>
      </c>
      <c r="BC59" s="171"/>
      <c r="BD59" s="171"/>
      <c r="BE59" s="171">
        <v>0</v>
      </c>
      <c r="BF59" s="171"/>
      <c r="BG59" s="171"/>
      <c r="BH59" s="171"/>
      <c r="BI59" s="171"/>
      <c r="BJ59" s="171"/>
      <c r="BK59" s="171"/>
      <c r="BL59" s="171"/>
      <c r="BM59" s="171"/>
      <c r="BN59" s="171"/>
      <c r="BO59" s="171"/>
      <c r="BP59" s="171"/>
      <c r="BQ59" s="171"/>
      <c r="BR59" s="171"/>
      <c r="BS59" s="171"/>
      <c r="BT59" s="171"/>
      <c r="BU59" s="171"/>
      <c r="BV59" s="171"/>
      <c r="BW59" s="171"/>
      <c r="BX59" s="171"/>
      <c r="BY59" s="171"/>
      <c r="BZ59" s="171"/>
      <c r="CA59" s="171">
        <f>COUNTIF(AJ59:AX59,"*OK*")</f>
        <v>0</v>
      </c>
      <c r="CB59" s="171"/>
      <c r="CC59" s="171">
        <f>COUNTIF(AJ59:AX59,"*OP*")</f>
        <v>0</v>
      </c>
    </row>
    <row r="60" spans="1:81" ht="14.25" hidden="1" customHeight="1">
      <c r="A60" s="501">
        <v>6975</v>
      </c>
      <c r="B60" s="162" t="s">
        <v>268</v>
      </c>
      <c r="C60" s="468">
        <f>T60</f>
        <v>434.87</v>
      </c>
      <c r="D60" s="160">
        <f>COUNTIF(AJ60:AX60,"*OK*")</f>
        <v>1</v>
      </c>
      <c r="E60" s="160"/>
      <c r="F60" s="182" t="s">
        <v>269</v>
      </c>
      <c r="G60" s="182"/>
      <c r="H60" s="168"/>
      <c r="I60" s="168"/>
      <c r="J60" s="182"/>
      <c r="K60" s="196" t="s">
        <v>79</v>
      </c>
      <c r="L60" s="182" t="s">
        <v>69</v>
      </c>
      <c r="M60" s="182"/>
      <c r="N60" s="182" t="s">
        <v>136</v>
      </c>
      <c r="O60" s="161">
        <v>540.14</v>
      </c>
      <c r="P60" s="161">
        <v>550.03</v>
      </c>
      <c r="Q60" s="161">
        <v>539</v>
      </c>
      <c r="R60" s="186">
        <v>495.1</v>
      </c>
      <c r="S60" s="510">
        <v>450.03550000000001</v>
      </c>
      <c r="T60" s="550">
        <v>434.87</v>
      </c>
      <c r="U60" s="164"/>
      <c r="V60" s="165">
        <v>250</v>
      </c>
      <c r="W60" s="187" t="s">
        <v>252</v>
      </c>
      <c r="X60" s="166" t="s">
        <v>253</v>
      </c>
      <c r="Y60" s="166" t="s">
        <v>270</v>
      </c>
      <c r="Z60" s="167" t="s">
        <v>271</v>
      </c>
      <c r="AA60" s="165" t="s">
        <v>118</v>
      </c>
      <c r="AB60" s="188" t="s">
        <v>65</v>
      </c>
      <c r="AC60" s="168" t="s">
        <v>92</v>
      </c>
      <c r="AD60" s="160"/>
      <c r="AE60" s="160"/>
      <c r="AF60" s="160"/>
      <c r="AG60" s="160"/>
      <c r="AH60" s="160"/>
      <c r="AI60" s="167" t="s">
        <v>127</v>
      </c>
      <c r="AJ60" s="170"/>
      <c r="AK60" s="170"/>
      <c r="AL60" s="189" t="s">
        <v>111</v>
      </c>
      <c r="AM60" s="170"/>
      <c r="AN60" s="170"/>
      <c r="AO60" s="170"/>
      <c r="AP60" s="170"/>
      <c r="AQ60" s="170"/>
      <c r="AR60" s="170"/>
      <c r="AS60" s="170"/>
      <c r="AT60" s="170"/>
      <c r="AU60" s="170"/>
      <c r="AV60" s="170"/>
      <c r="AW60" s="170"/>
      <c r="AX60" s="170"/>
      <c r="AY60" s="170"/>
      <c r="AZ60" s="169" t="s">
        <v>178</v>
      </c>
      <c r="BA60" s="160">
        <f>(COUNTIF(AJ60:AL60,"*OK*")*3) + (COUNTIF(AM60:AO60,"*OK*")*2) + COUNTIF(AP60:AR60,"*OK*")+COUNTIF(AZ60:AZ60,"SI")*0.5</f>
        <v>3</v>
      </c>
      <c r="BB60" s="160" t="str">
        <f>IF(BA60&lt;0.6,"Demasiado Riesgo",IF(BA60&lt;=5,"Riesgo Medio",IF(BA60&lt;=11,"Riesgo Bajo","Cliente Blindado")))</f>
        <v>Riesgo Medio</v>
      </c>
      <c r="BC60" s="160"/>
      <c r="BD60" s="160"/>
      <c r="BE60" s="160">
        <v>0</v>
      </c>
      <c r="BF60" s="160"/>
      <c r="BG60" s="160"/>
      <c r="BH60" s="160"/>
      <c r="BI60" s="160"/>
      <c r="BJ60" s="160"/>
      <c r="BK60" s="160"/>
      <c r="BL60" s="160"/>
      <c r="BM60" s="160"/>
      <c r="BN60" s="160"/>
      <c r="BO60" s="160"/>
      <c r="BP60" s="160"/>
      <c r="BQ60" s="160"/>
      <c r="BR60" s="160"/>
      <c r="BS60" s="160"/>
      <c r="BT60" s="160"/>
      <c r="BU60" s="160"/>
      <c r="BV60" s="160"/>
      <c r="BW60" s="160"/>
      <c r="BX60" s="160"/>
      <c r="BY60" s="160"/>
      <c r="BZ60" s="160"/>
      <c r="CA60" s="160">
        <f>COUNTIF(AJ60:AX60,"*OK*")</f>
        <v>1</v>
      </c>
      <c r="CB60" s="160"/>
      <c r="CC60" s="160">
        <f>COUNTIF(AJ60:AX60,"*OP*")</f>
        <v>0</v>
      </c>
    </row>
    <row r="61" spans="1:81" ht="14.25" hidden="1" customHeight="1">
      <c r="A61" s="500">
        <v>27596</v>
      </c>
      <c r="B61" s="173" t="s">
        <v>272</v>
      </c>
      <c r="C61" s="468">
        <f>T61</f>
        <v>504.82</v>
      </c>
      <c r="D61" s="171">
        <f>COUNTIF(AJ61:AX61,"*OK*")</f>
        <v>0</v>
      </c>
      <c r="E61" s="171"/>
      <c r="F61" s="183" t="s">
        <v>273</v>
      </c>
      <c r="G61" s="183"/>
      <c r="H61" s="179"/>
      <c r="I61" s="179"/>
      <c r="J61" s="183"/>
      <c r="K61" s="198" t="s">
        <v>79</v>
      </c>
      <c r="L61" s="183" t="s">
        <v>69</v>
      </c>
      <c r="M61" s="183"/>
      <c r="N61" s="183"/>
      <c r="O61" s="172">
        <v>516.09</v>
      </c>
      <c r="P61" s="172">
        <v>499.39</v>
      </c>
      <c r="Q61" s="172">
        <v>496.53</v>
      </c>
      <c r="R61" s="193">
        <v>510.74</v>
      </c>
      <c r="S61" s="510">
        <v>494.24599999999998</v>
      </c>
      <c r="T61" s="554">
        <v>504.82</v>
      </c>
      <c r="U61" s="175"/>
      <c r="V61" s="176">
        <v>500</v>
      </c>
      <c r="W61" s="194" t="s">
        <v>274</v>
      </c>
      <c r="X61" s="177" t="s">
        <v>274</v>
      </c>
      <c r="Y61" s="177" t="s">
        <v>152</v>
      </c>
      <c r="Z61" s="178" t="s">
        <v>275</v>
      </c>
      <c r="AA61" s="176" t="s">
        <v>147</v>
      </c>
      <c r="AB61" s="195" t="s">
        <v>65</v>
      </c>
      <c r="AC61" s="179" t="s">
        <v>97</v>
      </c>
      <c r="AD61" s="171"/>
      <c r="AE61" s="171"/>
      <c r="AF61" s="171"/>
      <c r="AG61" s="171"/>
      <c r="AH61" s="171"/>
      <c r="AI61" s="174" t="s">
        <v>127</v>
      </c>
      <c r="AJ61" s="170"/>
      <c r="AK61" s="170"/>
      <c r="AL61" s="170"/>
      <c r="AM61" s="170"/>
      <c r="AN61" s="170"/>
      <c r="AO61" s="170"/>
      <c r="AP61" s="170"/>
      <c r="AQ61" s="170"/>
      <c r="AR61" s="170"/>
      <c r="AS61" s="170"/>
      <c r="AT61" s="170"/>
      <c r="AU61" s="170"/>
      <c r="AV61" s="170"/>
      <c r="AW61" s="170"/>
      <c r="AX61" s="170"/>
      <c r="AY61" s="170"/>
      <c r="AZ61" s="180" t="s">
        <v>59</v>
      </c>
      <c r="BA61" s="171">
        <f>(COUNTIF(AJ61:AL61,"*OK*")*3) + (COUNTIF(AM61:AO61,"*OK*")*2) + COUNTIF(AP61:AR61,"*OK*")+COUNTIF(AZ61:AZ61,"SI")*0.5</f>
        <v>0</v>
      </c>
      <c r="BB61" s="171" t="str">
        <f>IF(BA61&lt;0.6,"Demasiado Riesgo",IF(BA61&lt;=5,"Riesgo Medio",IF(BA61&lt;=11,"Riesgo Bajo","Cliente Blindado")))</f>
        <v>Demasiado Riesgo</v>
      </c>
      <c r="BC61" s="171"/>
      <c r="BD61" s="171"/>
      <c r="BE61" s="171">
        <v>0</v>
      </c>
      <c r="BF61" s="171"/>
      <c r="BG61" s="171"/>
      <c r="BH61" s="171"/>
      <c r="BI61" s="171"/>
      <c r="BJ61" s="171"/>
      <c r="BK61" s="171"/>
      <c r="BL61" s="171"/>
      <c r="BM61" s="171"/>
      <c r="BN61" s="171"/>
      <c r="BO61" s="171"/>
      <c r="BP61" s="171"/>
      <c r="BQ61" s="171"/>
      <c r="BR61" s="171"/>
      <c r="BS61" s="171"/>
      <c r="BT61" s="171"/>
      <c r="BU61" s="171"/>
      <c r="BV61" s="171"/>
      <c r="BW61" s="171"/>
      <c r="BX61" s="171"/>
      <c r="BY61" s="171"/>
      <c r="BZ61" s="171"/>
      <c r="CA61" s="171">
        <f>COUNTIF(AJ61:AX61,"*OK*")</f>
        <v>0</v>
      </c>
      <c r="CB61" s="171"/>
      <c r="CC61" s="171">
        <f>COUNTIF(AJ61:AX61,"*OP*")</f>
        <v>0</v>
      </c>
    </row>
    <row r="62" spans="1:81" ht="14.25" hidden="1" customHeight="1">
      <c r="A62" s="501">
        <v>21582</v>
      </c>
      <c r="B62" s="162" t="s">
        <v>276</v>
      </c>
      <c r="C62" s="468">
        <f>T62</f>
        <v>505.39</v>
      </c>
      <c r="D62" s="160">
        <f>COUNTIF(AJ62:AX62,"*OK*")</f>
        <v>1</v>
      </c>
      <c r="E62" s="160"/>
      <c r="F62" s="182" t="s">
        <v>277</v>
      </c>
      <c r="G62" s="182"/>
      <c r="H62" s="168"/>
      <c r="I62" s="168"/>
      <c r="J62" s="182"/>
      <c r="K62" s="196" t="s">
        <v>79</v>
      </c>
      <c r="L62" s="182" t="s">
        <v>69</v>
      </c>
      <c r="M62" s="182"/>
      <c r="N62" s="182"/>
      <c r="O62" s="161">
        <v>412.5</v>
      </c>
      <c r="P62" s="161">
        <v>521.24</v>
      </c>
      <c r="Q62" s="161">
        <v>490.69</v>
      </c>
      <c r="R62" s="186">
        <v>505.34</v>
      </c>
      <c r="S62" s="510">
        <v>511.96730000000002</v>
      </c>
      <c r="T62" s="551">
        <v>505.39</v>
      </c>
      <c r="U62" s="164"/>
      <c r="V62" s="165">
        <v>200</v>
      </c>
      <c r="W62" s="187" t="s">
        <v>278</v>
      </c>
      <c r="X62" s="203" t="s">
        <v>278</v>
      </c>
      <c r="Y62" s="166" t="s">
        <v>80</v>
      </c>
      <c r="Z62" s="167" t="s">
        <v>279</v>
      </c>
      <c r="AA62" s="165" t="s">
        <v>222</v>
      </c>
      <c r="AB62" s="188" t="s">
        <v>65</v>
      </c>
      <c r="AC62" s="168" t="s">
        <v>92</v>
      </c>
      <c r="AD62" s="160"/>
      <c r="AE62" s="160"/>
      <c r="AF62" s="160"/>
      <c r="AG62" s="160"/>
      <c r="AH62" s="160"/>
      <c r="AI62" s="163" t="s">
        <v>59</v>
      </c>
      <c r="AJ62" s="170"/>
      <c r="AK62" s="170"/>
      <c r="AL62" s="170"/>
      <c r="AM62" s="170"/>
      <c r="AN62" s="170"/>
      <c r="AO62" s="170"/>
      <c r="AP62" s="170"/>
      <c r="AQ62" s="189" t="s">
        <v>111</v>
      </c>
      <c r="AR62" s="170"/>
      <c r="AS62" s="170"/>
      <c r="AT62" s="170"/>
      <c r="AU62" s="170"/>
      <c r="AV62" s="170"/>
      <c r="AW62" s="170"/>
      <c r="AX62" s="170"/>
      <c r="AY62" s="170"/>
      <c r="AZ62" s="169" t="s">
        <v>59</v>
      </c>
      <c r="BA62" s="160">
        <f>(COUNTIF(AJ62:AL62,"*OK*")*3) + (COUNTIF(AM62:AO62,"*OK*")*2) + COUNTIF(AP62:AR62,"*OK*")+COUNTIF(AZ62:AZ62,"SI")*0.5</f>
        <v>1</v>
      </c>
      <c r="BB62" s="160" t="str">
        <f>IF(BA62&lt;0.6,"Demasiado Riesgo",IF(BA62&lt;=5,"Riesgo Medio",IF(BA62&lt;=11,"Riesgo Bajo","Cliente Blindado")))</f>
        <v>Riesgo Medio</v>
      </c>
      <c r="BC62" s="160"/>
      <c r="BD62" s="160"/>
      <c r="BE62" s="160">
        <v>0</v>
      </c>
      <c r="BF62" s="160"/>
      <c r="BG62" s="160"/>
      <c r="BH62" s="160"/>
      <c r="BI62" s="160"/>
      <c r="BJ62" s="160"/>
      <c r="BK62" s="160"/>
      <c r="BL62" s="160"/>
      <c r="BM62" s="160"/>
      <c r="BN62" s="160"/>
      <c r="BO62" s="160"/>
      <c r="BP62" s="160"/>
      <c r="BQ62" s="160"/>
      <c r="BR62" s="160"/>
      <c r="BS62" s="160"/>
      <c r="BT62" s="160"/>
      <c r="BU62" s="160"/>
      <c r="BV62" s="160"/>
      <c r="BW62" s="160"/>
      <c r="BX62" s="160"/>
      <c r="BY62" s="160"/>
      <c r="BZ62" s="160"/>
      <c r="CA62" s="160">
        <f>COUNTIF(AJ62:AX62,"*OK*")</f>
        <v>1</v>
      </c>
      <c r="CB62" s="160"/>
      <c r="CC62" s="160">
        <f>COUNTIF(AJ62:AX62,"*OP*")</f>
        <v>0</v>
      </c>
    </row>
    <row r="63" spans="1:81" ht="14.25" hidden="1" customHeight="1">
      <c r="A63" s="500">
        <v>25179</v>
      </c>
      <c r="B63" s="173" t="s">
        <v>280</v>
      </c>
      <c r="C63" s="468">
        <f>T63</f>
        <v>514.89</v>
      </c>
      <c r="D63" s="171">
        <f>COUNTIF(AJ63:AX63,"*OK*")</f>
        <v>0</v>
      </c>
      <c r="E63" s="171"/>
      <c r="F63" s="197" t="s">
        <v>281</v>
      </c>
      <c r="G63" s="183"/>
      <c r="H63" s="179" t="s">
        <v>282</v>
      </c>
      <c r="I63" s="495" t="s">
        <v>283</v>
      </c>
      <c r="J63" s="183"/>
      <c r="K63" s="198" t="s">
        <v>79</v>
      </c>
      <c r="L63" s="183" t="s">
        <v>69</v>
      </c>
      <c r="M63" s="183" t="s">
        <v>284</v>
      </c>
      <c r="N63" s="183"/>
      <c r="O63" s="172">
        <v>714.48</v>
      </c>
      <c r="P63" s="172">
        <v>811.5</v>
      </c>
      <c r="Q63" s="172">
        <v>806.77</v>
      </c>
      <c r="R63" s="193">
        <v>659.04</v>
      </c>
      <c r="S63" s="510">
        <v>505.61529999999999</v>
      </c>
      <c r="T63" s="554">
        <v>514.89</v>
      </c>
      <c r="U63" s="175"/>
      <c r="V63" s="176">
        <v>200</v>
      </c>
      <c r="W63" s="194" t="s">
        <v>130</v>
      </c>
      <c r="X63" s="205" t="s">
        <v>285</v>
      </c>
      <c r="Y63" s="177" t="s">
        <v>286</v>
      </c>
      <c r="Z63" s="178" t="s">
        <v>287</v>
      </c>
      <c r="AA63" s="176" t="s">
        <v>286</v>
      </c>
      <c r="AB63" s="195" t="s">
        <v>288</v>
      </c>
      <c r="AC63" s="179" t="s">
        <v>92</v>
      </c>
      <c r="AD63" s="171"/>
      <c r="AE63" s="171"/>
      <c r="AF63" s="171"/>
      <c r="AG63" s="171"/>
      <c r="AH63" s="171"/>
      <c r="AI63" s="174" t="s">
        <v>127</v>
      </c>
      <c r="AJ63" s="170"/>
      <c r="AK63" s="170"/>
      <c r="AL63" s="170"/>
      <c r="AM63" s="170"/>
      <c r="AN63" s="170"/>
      <c r="AO63" s="170"/>
      <c r="AP63" s="170"/>
      <c r="AQ63" s="170"/>
      <c r="AR63" s="170"/>
      <c r="AS63" s="170"/>
      <c r="AT63" s="170"/>
      <c r="AU63" s="170"/>
      <c r="AV63" s="170"/>
      <c r="AW63" s="170"/>
      <c r="AX63" s="170"/>
      <c r="AY63" s="170"/>
      <c r="AZ63" s="180" t="s">
        <v>59</v>
      </c>
      <c r="BA63" s="171">
        <f>(COUNTIF(AJ63:AL63,"*OK*")*3) + (COUNTIF(AM63:AO63,"*OK*")*2) + COUNTIF(AP63:AR63,"*OK*")+COUNTIF(AZ63:AZ63,"SI")*0.5</f>
        <v>0</v>
      </c>
      <c r="BB63" s="171" t="str">
        <f>IF(BA63&lt;0.6,"Demasiado Riesgo",IF(BA63&lt;=5,"Riesgo Medio",IF(BA63&lt;=11,"Riesgo Bajo","Cliente Blindado")))</f>
        <v>Demasiado Riesgo</v>
      </c>
      <c r="BC63" s="171"/>
      <c r="BD63" s="171"/>
      <c r="BE63" s="171">
        <v>0</v>
      </c>
      <c r="BF63" s="171"/>
      <c r="BG63" s="171"/>
      <c r="BH63" s="171"/>
      <c r="BI63" s="171"/>
      <c r="BJ63" s="171"/>
      <c r="BK63" s="171"/>
      <c r="BL63" s="171"/>
      <c r="BM63" s="171"/>
      <c r="BN63" s="171"/>
      <c r="BO63" s="171"/>
      <c r="BP63" s="171"/>
      <c r="BQ63" s="171"/>
      <c r="BR63" s="171"/>
      <c r="BS63" s="171"/>
      <c r="BT63" s="171"/>
      <c r="BU63" s="171"/>
      <c r="BV63" s="171"/>
      <c r="BW63" s="171"/>
      <c r="BX63" s="171"/>
      <c r="BY63" s="171"/>
      <c r="BZ63" s="171"/>
      <c r="CA63" s="171">
        <f>COUNTIF(AJ63:AX63,"*OK*")</f>
        <v>0</v>
      </c>
      <c r="CB63" s="171"/>
      <c r="CC63" s="171">
        <f>COUNTIF(AJ63:AX63,"*OP*")</f>
        <v>0</v>
      </c>
    </row>
    <row r="64" spans="1:81" ht="14.25" hidden="1" customHeight="1">
      <c r="A64" s="241">
        <v>27573</v>
      </c>
      <c r="B64" s="160" t="s">
        <v>289</v>
      </c>
      <c r="C64" s="468">
        <f>T64</f>
        <v>516.67999999999995</v>
      </c>
      <c r="D64" s="160">
        <f>COUNTIF(AJ64:AX64,"*OK*")</f>
        <v>0</v>
      </c>
      <c r="E64" s="160"/>
      <c r="F64" s="182" t="s">
        <v>290</v>
      </c>
      <c r="G64" s="182"/>
      <c r="H64" s="168"/>
      <c r="I64" s="168"/>
      <c r="J64" s="182"/>
      <c r="K64" s="185" t="s">
        <v>79</v>
      </c>
      <c r="L64" s="182" t="s">
        <v>69</v>
      </c>
      <c r="M64" s="182"/>
      <c r="N64" s="182"/>
      <c r="O64" s="161">
        <v>553.38</v>
      </c>
      <c r="P64" s="161">
        <v>545.66</v>
      </c>
      <c r="Q64" s="161">
        <v>503.97</v>
      </c>
      <c r="R64" s="186">
        <v>522.55999999999995</v>
      </c>
      <c r="S64" s="510">
        <v>529.59209999999996</v>
      </c>
      <c r="T64" s="551">
        <v>516.67999999999995</v>
      </c>
      <c r="U64" s="164"/>
      <c r="V64" s="165">
        <v>500</v>
      </c>
      <c r="W64" s="187" t="s">
        <v>88</v>
      </c>
      <c r="X64" s="203" t="s">
        <v>70</v>
      </c>
      <c r="Y64" s="166" t="s">
        <v>291</v>
      </c>
      <c r="Z64" s="167" t="s">
        <v>292</v>
      </c>
      <c r="AA64" s="165" t="s">
        <v>291</v>
      </c>
      <c r="AB64" s="188" t="s">
        <v>293</v>
      </c>
      <c r="AC64" s="168" t="s">
        <v>97</v>
      </c>
      <c r="AD64" s="160"/>
      <c r="AE64" s="160"/>
      <c r="AF64" s="160"/>
      <c r="AG64" s="160"/>
      <c r="AH64" s="160"/>
      <c r="AI64" s="163" t="s">
        <v>59</v>
      </c>
      <c r="AJ64" s="170"/>
      <c r="AK64" s="170"/>
      <c r="AL64" s="170"/>
      <c r="AM64" s="170"/>
      <c r="AN64" s="170"/>
      <c r="AO64" s="170"/>
      <c r="AP64" s="170"/>
      <c r="AQ64" s="170"/>
      <c r="AR64" s="170"/>
      <c r="AS64" s="170"/>
      <c r="AT64" s="170"/>
      <c r="AU64" s="170"/>
      <c r="AV64" s="170"/>
      <c r="AW64" s="170"/>
      <c r="AX64" s="170"/>
      <c r="AY64" s="170"/>
      <c r="AZ64" s="169" t="s">
        <v>59</v>
      </c>
      <c r="BA64" s="160">
        <f>(COUNTIF(AJ64:AL64,"*OK*")*3) + (COUNTIF(AM64:AO64,"*OK*")*2) + COUNTIF(AP64:AR64,"*OK*")+COUNTIF(AZ64:AZ64,"SI")*0.5</f>
        <v>0</v>
      </c>
      <c r="BB64" s="160" t="str">
        <f>IF(BA64&lt;0.6,"Demasiado Riesgo",IF(BA64&lt;=5,"Riesgo Medio",IF(BA64&lt;=11,"Riesgo Bajo","Cliente Blindado")))</f>
        <v>Demasiado Riesgo</v>
      </c>
      <c r="BC64" s="160"/>
      <c r="BD64" s="160"/>
      <c r="BE64" s="160">
        <v>0</v>
      </c>
      <c r="BF64" s="160"/>
      <c r="BG64" s="160"/>
      <c r="BH64" s="160"/>
      <c r="BI64" s="160"/>
      <c r="BJ64" s="160"/>
      <c r="BK64" s="160"/>
      <c r="BL64" s="160"/>
      <c r="BM64" s="160"/>
      <c r="BN64" s="160"/>
      <c r="BO64" s="160"/>
      <c r="BP64" s="160"/>
      <c r="BQ64" s="160"/>
      <c r="BR64" s="160"/>
      <c r="BS64" s="160"/>
      <c r="BT64" s="160"/>
      <c r="BU64" s="160"/>
      <c r="BV64" s="160"/>
      <c r="BW64" s="160"/>
      <c r="BX64" s="160"/>
      <c r="BY64" s="160"/>
      <c r="BZ64" s="160"/>
      <c r="CA64" s="160">
        <f>COUNTIF(AJ64:AX64,"*OK*")</f>
        <v>0</v>
      </c>
      <c r="CB64" s="160"/>
      <c r="CC64" s="160">
        <f>COUNTIF(AJ64:AX64,"*OP*")</f>
        <v>0</v>
      </c>
    </row>
    <row r="65" spans="1:81" ht="14.25" hidden="1" customHeight="1">
      <c r="A65" s="501">
        <v>32676</v>
      </c>
      <c r="B65" s="162" t="s">
        <v>294</v>
      </c>
      <c r="C65" s="468">
        <f>T65</f>
        <v>548.67999999999995</v>
      </c>
      <c r="D65" s="160">
        <f>COUNTIF(AJ65:AX65,"*OK*")</f>
        <v>0</v>
      </c>
      <c r="E65" s="160"/>
      <c r="F65" s="182" t="s">
        <v>295</v>
      </c>
      <c r="G65" s="182" t="s">
        <v>116</v>
      </c>
      <c r="H65" s="168"/>
      <c r="I65" s="168"/>
      <c r="J65" s="182"/>
      <c r="K65" s="196" t="s">
        <v>79</v>
      </c>
      <c r="L65" s="182" t="s">
        <v>69</v>
      </c>
      <c r="M65" s="182" t="s">
        <v>135</v>
      </c>
      <c r="N65" s="182"/>
      <c r="O65" s="161">
        <v>565.12</v>
      </c>
      <c r="P65" s="161">
        <v>517.21</v>
      </c>
      <c r="Q65" s="161">
        <v>553.52</v>
      </c>
      <c r="R65" s="186">
        <v>553.38</v>
      </c>
      <c r="S65" s="510">
        <v>568.91459999999995</v>
      </c>
      <c r="T65" s="551">
        <v>548.67999999999995</v>
      </c>
      <c r="U65" s="164"/>
      <c r="V65" s="165">
        <v>300</v>
      </c>
      <c r="W65" s="187" t="s">
        <v>70</v>
      </c>
      <c r="X65" s="203" t="s">
        <v>70</v>
      </c>
      <c r="Y65" s="166" t="s">
        <v>270</v>
      </c>
      <c r="Z65" s="167" t="s">
        <v>296</v>
      </c>
      <c r="AA65" s="165" t="s">
        <v>118</v>
      </c>
      <c r="AB65" s="188" t="s">
        <v>119</v>
      </c>
      <c r="AC65" s="168" t="s">
        <v>92</v>
      </c>
      <c r="AD65" s="160"/>
      <c r="AE65" s="160"/>
      <c r="AF65" s="160"/>
      <c r="AG65" s="160"/>
      <c r="AH65" s="160"/>
      <c r="AI65" s="163" t="s">
        <v>59</v>
      </c>
      <c r="AJ65" s="170"/>
      <c r="AK65" s="170"/>
      <c r="AL65" s="170"/>
      <c r="AM65" s="170"/>
      <c r="AN65" s="170"/>
      <c r="AO65" s="170"/>
      <c r="AP65" s="170"/>
      <c r="AQ65" s="170"/>
      <c r="AR65" s="170"/>
      <c r="AS65" s="170"/>
      <c r="AT65" s="170"/>
      <c r="AU65" s="170"/>
      <c r="AV65" s="170"/>
      <c r="AW65" s="170"/>
      <c r="AX65" s="170"/>
      <c r="AY65" s="170"/>
      <c r="AZ65" s="169" t="s">
        <v>59</v>
      </c>
      <c r="BA65" s="160">
        <f>(COUNTIF(AJ65:AL65,"*OK*")*3) + (COUNTIF(AM65:AO65,"*OK*")*2) + COUNTIF(AP65:AR65,"*OK*")+COUNTIF(AZ65:AZ65,"SI")*0.5</f>
        <v>0</v>
      </c>
      <c r="BB65" s="160" t="str">
        <f>IF(BA65&lt;0.6,"Demasiado Riesgo",IF(BA65&lt;=5,"Riesgo Medio",IF(BA65&lt;=11,"Riesgo Bajo","Cliente Blindado")))</f>
        <v>Demasiado Riesgo</v>
      </c>
      <c r="BC65" s="160"/>
      <c r="BD65" s="160"/>
      <c r="BE65" s="160">
        <v>0</v>
      </c>
      <c r="BF65" s="160"/>
      <c r="BG65" s="160"/>
      <c r="BH65" s="160"/>
      <c r="BI65" s="160"/>
      <c r="BJ65" s="160"/>
      <c r="BK65" s="160"/>
      <c r="BL65" s="160"/>
      <c r="BM65" s="160"/>
      <c r="BN65" s="160"/>
      <c r="BO65" s="160"/>
      <c r="BP65" s="160"/>
      <c r="BQ65" s="160"/>
      <c r="BR65" s="160"/>
      <c r="BS65" s="160"/>
      <c r="BT65" s="160"/>
      <c r="BU65" s="160"/>
      <c r="BV65" s="160"/>
      <c r="BW65" s="160"/>
      <c r="BX65" s="160"/>
      <c r="BY65" s="160"/>
      <c r="BZ65" s="160"/>
      <c r="CA65" s="160">
        <f>COUNTIF(AJ65:AX65,"*OK*")</f>
        <v>0</v>
      </c>
      <c r="CB65" s="160"/>
      <c r="CC65" s="160">
        <f>COUNTIF(AJ65:AX65,"*OP*")</f>
        <v>0</v>
      </c>
    </row>
    <row r="66" spans="1:81" ht="14.25" hidden="1" customHeight="1">
      <c r="A66" s="501">
        <v>2075</v>
      </c>
      <c r="B66" s="162" t="s">
        <v>297</v>
      </c>
      <c r="C66" s="468">
        <f>T66</f>
        <v>579.9</v>
      </c>
      <c r="D66" s="160">
        <f>COUNTIF(AJ66:AX66,"*OK*")</f>
        <v>0</v>
      </c>
      <c r="E66" s="160"/>
      <c r="F66" s="182" t="s">
        <v>298</v>
      </c>
      <c r="G66" s="182"/>
      <c r="H66" s="168"/>
      <c r="I66" s="168"/>
      <c r="J66" s="182"/>
      <c r="K66" s="196" t="s">
        <v>79</v>
      </c>
      <c r="L66" s="182" t="s">
        <v>69</v>
      </c>
      <c r="M66" s="182"/>
      <c r="N66" s="182"/>
      <c r="O66" s="161">
        <v>544.42999999999995</v>
      </c>
      <c r="P66" s="161">
        <v>521.82000000000005</v>
      </c>
      <c r="Q66" s="161">
        <v>514.15</v>
      </c>
      <c r="R66" s="186">
        <v>548.1</v>
      </c>
      <c r="S66" s="510">
        <v>551.06389999999999</v>
      </c>
      <c r="T66" s="553">
        <v>579.9</v>
      </c>
      <c r="U66" s="164"/>
      <c r="V66" s="165">
        <v>100</v>
      </c>
      <c r="W66" s="187" t="s">
        <v>70</v>
      </c>
      <c r="X66" s="203" t="s">
        <v>70</v>
      </c>
      <c r="Y66" s="166" t="s">
        <v>141</v>
      </c>
      <c r="Z66" s="167" t="s">
        <v>299</v>
      </c>
      <c r="AA66" s="165" t="s">
        <v>71</v>
      </c>
      <c r="AB66" s="188" t="s">
        <v>159</v>
      </c>
      <c r="AC66" s="168" t="s">
        <v>92</v>
      </c>
      <c r="AD66" s="160"/>
      <c r="AE66" s="160"/>
      <c r="AF66" s="160"/>
      <c r="AG66" s="160"/>
      <c r="AH66" s="160"/>
      <c r="AI66" s="167" t="s">
        <v>59</v>
      </c>
      <c r="AJ66" s="170"/>
      <c r="AK66" s="170"/>
      <c r="AL66" s="170"/>
      <c r="AM66" s="170"/>
      <c r="AN66" s="170"/>
      <c r="AO66" s="170"/>
      <c r="AP66" s="170"/>
      <c r="AQ66" s="170"/>
      <c r="AR66" s="170"/>
      <c r="AS66" s="170"/>
      <c r="AT66" s="170"/>
      <c r="AU66" s="170"/>
      <c r="AV66" s="170"/>
      <c r="AW66" s="170"/>
      <c r="AX66" s="170"/>
      <c r="AY66" s="170"/>
      <c r="AZ66" s="169" t="s">
        <v>59</v>
      </c>
      <c r="BA66" s="160">
        <f>(COUNTIF(AJ66:AL66,"*OK*")*3) + (COUNTIF(AM66:AO66,"*OK*")*2) + COUNTIF(AP66:AR66,"*OK*")+COUNTIF(AZ66:AZ66,"SI")*0.5</f>
        <v>0</v>
      </c>
      <c r="BB66" s="160" t="str">
        <f>IF(BA66&lt;0.6,"Demasiado Riesgo",IF(BA66&lt;=5,"Riesgo Medio",IF(BA66&lt;=11,"Riesgo Bajo","Cliente Blindado")))</f>
        <v>Demasiado Riesgo</v>
      </c>
      <c r="BC66" s="160"/>
      <c r="BD66" s="160"/>
      <c r="BE66" s="160">
        <v>0</v>
      </c>
      <c r="BF66" s="160"/>
      <c r="BG66" s="160"/>
      <c r="BH66" s="160"/>
      <c r="BI66" s="160"/>
      <c r="BJ66" s="160"/>
      <c r="BK66" s="160"/>
      <c r="BL66" s="160"/>
      <c r="BM66" s="160"/>
      <c r="BN66" s="160"/>
      <c r="BO66" s="160"/>
      <c r="BP66" s="160"/>
      <c r="BQ66" s="160"/>
      <c r="BR66" s="160"/>
      <c r="BS66" s="160"/>
      <c r="BT66" s="160"/>
      <c r="BU66" s="160"/>
      <c r="BV66" s="160"/>
      <c r="BW66" s="160"/>
      <c r="BX66" s="160"/>
      <c r="BY66" s="160"/>
      <c r="BZ66" s="160"/>
      <c r="CA66" s="160">
        <f>COUNTIF(AJ66:AX66,"*OK*")</f>
        <v>0</v>
      </c>
      <c r="CB66" s="160"/>
      <c r="CC66" s="160">
        <f>COUNTIF(AJ66:AX66,"*OP*")</f>
        <v>0</v>
      </c>
    </row>
    <row r="67" spans="1:81" s="204" customFormat="1" ht="14.25" hidden="1" customHeight="1">
      <c r="A67" s="500">
        <v>25238</v>
      </c>
      <c r="B67" s="173" t="s">
        <v>300</v>
      </c>
      <c r="C67" s="468">
        <f>T67</f>
        <v>597.74</v>
      </c>
      <c r="D67" s="171">
        <f>COUNTIF(AJ67:AX67,"*OK*")</f>
        <v>0</v>
      </c>
      <c r="E67" s="171"/>
      <c r="F67" s="183" t="s">
        <v>301</v>
      </c>
      <c r="G67" s="183"/>
      <c r="H67" s="179"/>
      <c r="I67" s="179"/>
      <c r="J67" s="183"/>
      <c r="K67" s="198" t="s">
        <v>79</v>
      </c>
      <c r="L67" s="183" t="s">
        <v>69</v>
      </c>
      <c r="M67" s="183"/>
      <c r="N67" s="183"/>
      <c r="O67" s="172">
        <v>558.54</v>
      </c>
      <c r="P67" s="172">
        <v>568.36</v>
      </c>
      <c r="Q67" s="172">
        <v>538.36</v>
      </c>
      <c r="R67" s="193">
        <v>548.91</v>
      </c>
      <c r="S67" s="510">
        <v>570.02949999999998</v>
      </c>
      <c r="T67" s="554">
        <v>597.74</v>
      </c>
      <c r="U67" s="175"/>
      <c r="V67" s="176">
        <v>500</v>
      </c>
      <c r="W67" s="194" t="s">
        <v>130</v>
      </c>
      <c r="X67" s="205" t="s">
        <v>285</v>
      </c>
      <c r="Y67" s="177" t="s">
        <v>302</v>
      </c>
      <c r="Z67" s="178" t="s">
        <v>303</v>
      </c>
      <c r="AA67" s="176" t="s">
        <v>147</v>
      </c>
      <c r="AB67" s="195" t="s">
        <v>177</v>
      </c>
      <c r="AC67" s="179" t="s">
        <v>84</v>
      </c>
      <c r="AD67" s="171"/>
      <c r="AE67" s="171"/>
      <c r="AF67" s="171"/>
      <c r="AG67" s="171"/>
      <c r="AH67" s="171"/>
      <c r="AI67" s="178" t="s">
        <v>127</v>
      </c>
      <c r="AJ67" s="170"/>
      <c r="AK67" s="170"/>
      <c r="AL67" s="170"/>
      <c r="AM67" s="170"/>
      <c r="AN67" s="170"/>
      <c r="AO67" s="170"/>
      <c r="AP67" s="170"/>
      <c r="AQ67" s="170"/>
      <c r="AR67" s="170"/>
      <c r="AS67" s="170"/>
      <c r="AT67" s="170"/>
      <c r="AU67" s="170"/>
      <c r="AV67" s="170"/>
      <c r="AW67" s="170"/>
      <c r="AX67" s="170"/>
      <c r="AY67" s="170"/>
      <c r="AZ67" s="180" t="s">
        <v>178</v>
      </c>
      <c r="BA67" s="171">
        <f>(COUNTIF(AJ67:AL67,"*OK*")*3) + (COUNTIF(AM67:AO67,"*OK*")*2) + COUNTIF(AP67:AR67,"*OK*")+COUNTIF(AZ67:AZ67,"SI")*0.5</f>
        <v>0</v>
      </c>
      <c r="BB67" s="171" t="str">
        <f>IF(BA67&lt;0.6,"Demasiado Riesgo",IF(BA67&lt;=5,"Riesgo Medio",IF(BA67&lt;=11,"Riesgo Bajo","Cliente Blindado")))</f>
        <v>Demasiado Riesgo</v>
      </c>
      <c r="BC67" s="171"/>
      <c r="BD67" s="171"/>
      <c r="BE67" s="171">
        <v>0</v>
      </c>
      <c r="BF67" s="171"/>
      <c r="BG67" s="171"/>
      <c r="BH67" s="171"/>
      <c r="BI67" s="171"/>
      <c r="BJ67" s="171"/>
      <c r="BK67" s="171"/>
      <c r="BL67" s="171"/>
      <c r="BM67" s="171"/>
      <c r="BN67" s="171"/>
      <c r="BO67" s="171"/>
      <c r="BP67" s="171"/>
      <c r="BQ67" s="171"/>
      <c r="BR67" s="171"/>
      <c r="BS67" s="171"/>
      <c r="BT67" s="171"/>
      <c r="BU67" s="171"/>
      <c r="BV67" s="171"/>
      <c r="BW67" s="171"/>
      <c r="BX67" s="171"/>
      <c r="BY67" s="171"/>
      <c r="BZ67" s="171"/>
      <c r="CA67" s="171">
        <f>COUNTIF(AJ67:AX67,"*OK*")</f>
        <v>0</v>
      </c>
      <c r="CB67" s="171"/>
      <c r="CC67" s="171">
        <f>COUNTIF(AJ67:AX67,"*OP*")</f>
        <v>0</v>
      </c>
    </row>
    <row r="68" spans="1:81" ht="14.25" hidden="1" customHeight="1">
      <c r="A68" s="501">
        <v>23418</v>
      </c>
      <c r="B68" s="162" t="s">
        <v>304</v>
      </c>
      <c r="C68" s="468">
        <f>T68</f>
        <v>598.16999999999996</v>
      </c>
      <c r="D68" s="171">
        <f>COUNTIF(AJ68:AX68,"*OK*")</f>
        <v>0</v>
      </c>
      <c r="E68" s="160"/>
      <c r="F68" s="201" t="s">
        <v>305</v>
      </c>
      <c r="G68" s="182"/>
      <c r="H68" s="168" t="s">
        <v>306</v>
      </c>
      <c r="I68" s="168"/>
      <c r="J68" s="182"/>
      <c r="K68" s="196" t="s">
        <v>79</v>
      </c>
      <c r="L68" s="182" t="s">
        <v>69</v>
      </c>
      <c r="M68" s="182"/>
      <c r="N68" s="182"/>
      <c r="O68" s="161"/>
      <c r="P68" s="161"/>
      <c r="Q68" s="161">
        <v>538.86</v>
      </c>
      <c r="R68" s="186">
        <v>580.30999999999995</v>
      </c>
      <c r="S68" s="510">
        <v>601.46849999999995</v>
      </c>
      <c r="T68" s="551">
        <v>598.16999999999996</v>
      </c>
      <c r="U68" s="164"/>
      <c r="V68" s="165">
        <v>1000</v>
      </c>
      <c r="W68" s="187" t="s">
        <v>70</v>
      </c>
      <c r="X68" s="166" t="s">
        <v>70</v>
      </c>
      <c r="Y68" s="166" t="s">
        <v>71</v>
      </c>
      <c r="Z68" s="167" t="s">
        <v>307</v>
      </c>
      <c r="AA68" s="165" t="s">
        <v>71</v>
      </c>
      <c r="AB68" s="188" t="s">
        <v>159</v>
      </c>
      <c r="AC68" s="168" t="s">
        <v>139</v>
      </c>
      <c r="AD68" s="160"/>
      <c r="AE68" s="160"/>
      <c r="AF68" s="160"/>
      <c r="AG68" s="160"/>
      <c r="AH68" s="160"/>
      <c r="AI68" s="169" t="s">
        <v>127</v>
      </c>
      <c r="AJ68" s="170"/>
      <c r="AK68" s="170"/>
      <c r="AL68" s="189" t="s">
        <v>308</v>
      </c>
      <c r="AM68" s="170"/>
      <c r="AN68" s="170"/>
      <c r="AO68" s="170"/>
      <c r="AP68" s="170"/>
      <c r="AQ68" s="170"/>
      <c r="AR68" s="170"/>
      <c r="AS68" s="170"/>
      <c r="AT68" s="170"/>
      <c r="AU68" s="170"/>
      <c r="AV68" s="170"/>
      <c r="AW68" s="170"/>
      <c r="AX68" s="170"/>
      <c r="AY68" s="170"/>
      <c r="AZ68" s="169" t="s">
        <v>178</v>
      </c>
      <c r="BA68" s="160">
        <f>(COUNTIF(AJ68:AL68,"*OK*")*3) + (COUNTIF(AM68:AO68,"*OK*")*2) + COUNTIF(AP68:AR68,"*OK*")+COUNTIF(AZ68:AZ68,"SI")*0.5</f>
        <v>0</v>
      </c>
      <c r="BB68" s="160" t="str">
        <f>IF(BA68&lt;0.6,"Demasiado Riesgo",IF(BA68&lt;=5,"Riesgo Medio",IF(BA68&lt;=11,"Riesgo Bajo","Cliente Blindado")))</f>
        <v>Demasiado Riesgo</v>
      </c>
      <c r="BC68" s="160"/>
      <c r="BD68" s="160"/>
      <c r="BE68" s="160">
        <v>0</v>
      </c>
      <c r="BF68" s="160"/>
      <c r="BG68" s="160"/>
      <c r="BH68" s="160"/>
      <c r="BI68" s="160"/>
      <c r="BJ68" s="160"/>
      <c r="BK68" s="160"/>
      <c r="BL68" s="160"/>
      <c r="BM68" s="160"/>
      <c r="BN68" s="160"/>
      <c r="BO68" s="160"/>
      <c r="BP68" s="160"/>
      <c r="BQ68" s="160"/>
      <c r="BR68" s="160"/>
      <c r="BS68" s="160"/>
      <c r="BT68" s="160"/>
      <c r="BU68" s="160"/>
      <c r="BV68" s="160"/>
      <c r="BW68" s="160"/>
      <c r="BX68" s="160"/>
      <c r="BY68" s="160"/>
      <c r="BZ68" s="160"/>
      <c r="CA68" s="160">
        <f>COUNTIF(AJ68:AX68,"*OK*")</f>
        <v>0</v>
      </c>
      <c r="CB68" s="160"/>
      <c r="CC68" s="160">
        <f>COUNTIF(AJ68:AX68,"*OP*")</f>
        <v>0</v>
      </c>
    </row>
    <row r="69" spans="1:81" s="204" customFormat="1" ht="14.25" hidden="1" customHeight="1">
      <c r="A69" s="500">
        <v>26820</v>
      </c>
      <c r="B69" s="173" t="s">
        <v>309</v>
      </c>
      <c r="C69" s="468">
        <f>T69</f>
        <v>616.07000000000005</v>
      </c>
      <c r="D69" s="171">
        <v>1</v>
      </c>
      <c r="E69" s="171"/>
      <c r="F69" s="260" t="s">
        <v>310</v>
      </c>
      <c r="G69" s="183"/>
      <c r="H69" s="179" t="s">
        <v>311</v>
      </c>
      <c r="I69" s="179"/>
      <c r="J69" s="183"/>
      <c r="K69" s="198" t="s">
        <v>79</v>
      </c>
      <c r="L69" s="183" t="s">
        <v>69</v>
      </c>
      <c r="M69" s="183"/>
      <c r="N69" s="183"/>
      <c r="O69" s="172">
        <v>782.19</v>
      </c>
      <c r="P69" s="172">
        <v>781.48</v>
      </c>
      <c r="Q69" s="172">
        <v>774.75</v>
      </c>
      <c r="R69" s="193">
        <v>887.72</v>
      </c>
      <c r="S69" s="510">
        <v>808.79240000000004</v>
      </c>
      <c r="T69" s="550">
        <v>616.07000000000005</v>
      </c>
      <c r="U69" s="175"/>
      <c r="V69" s="176">
        <v>500</v>
      </c>
      <c r="W69" s="194" t="s">
        <v>312</v>
      </c>
      <c r="X69" s="177" t="s">
        <v>253</v>
      </c>
      <c r="Y69" s="177" t="s">
        <v>313</v>
      </c>
      <c r="Z69" s="178" t="s">
        <v>314</v>
      </c>
      <c r="AA69" s="176" t="s">
        <v>313</v>
      </c>
      <c r="AB69" s="195" t="s">
        <v>65</v>
      </c>
      <c r="AC69" s="179" t="s">
        <v>92</v>
      </c>
      <c r="AD69" s="171"/>
      <c r="AE69" s="171"/>
      <c r="AF69" s="171"/>
      <c r="AG69" s="171"/>
      <c r="AH69" s="171"/>
      <c r="AI69" s="174" t="s">
        <v>127</v>
      </c>
      <c r="AJ69" s="170"/>
      <c r="AK69" s="170"/>
      <c r="AL69" s="170"/>
      <c r="AM69" s="170"/>
      <c r="AN69" s="170"/>
      <c r="AO69" s="170"/>
      <c r="AP69" s="170"/>
      <c r="AQ69" s="170"/>
      <c r="AR69" s="170"/>
      <c r="AS69" s="170"/>
      <c r="AT69" s="170"/>
      <c r="AU69" s="170"/>
      <c r="AV69" s="170"/>
      <c r="AW69" s="170"/>
      <c r="AX69" s="170"/>
      <c r="AY69" s="170"/>
      <c r="AZ69" s="180" t="s">
        <v>59</v>
      </c>
      <c r="BA69" s="171">
        <f>(COUNTIF(AJ69:AL69,"*OK*")*3) + (COUNTIF(AM69:AO69,"*OK*")*2) + COUNTIF(AP69:AR69,"*OK*")+COUNTIF(AZ69:AZ69,"SI")*0.5</f>
        <v>0</v>
      </c>
      <c r="BB69" s="171" t="str">
        <f>IF(BA69&lt;0.6,"Demasiado Riesgo",IF(BA69&lt;=5,"Riesgo Medio",IF(BA69&lt;=11,"Riesgo Bajo","Cliente Blindado")))</f>
        <v>Demasiado Riesgo</v>
      </c>
      <c r="BC69" s="171"/>
      <c r="BD69" s="171"/>
      <c r="BE69" s="171">
        <v>0</v>
      </c>
      <c r="BF69" s="171"/>
      <c r="BG69" s="171"/>
      <c r="BH69" s="171"/>
      <c r="BI69" s="171"/>
      <c r="BJ69" s="171"/>
      <c r="BK69" s="171"/>
      <c r="BL69" s="171"/>
      <c r="BM69" s="171"/>
      <c r="BN69" s="171"/>
      <c r="BO69" s="171"/>
      <c r="BP69" s="171"/>
      <c r="BQ69" s="171"/>
      <c r="BR69" s="171"/>
      <c r="BS69" s="171"/>
      <c r="BT69" s="171"/>
      <c r="BU69" s="171"/>
      <c r="BV69" s="171"/>
      <c r="BW69" s="171"/>
      <c r="BX69" s="171"/>
      <c r="BY69" s="171"/>
      <c r="BZ69" s="171"/>
      <c r="CA69" s="171">
        <f>COUNTIF(AJ69:AX69,"*OK*")</f>
        <v>0</v>
      </c>
      <c r="CB69" s="171"/>
      <c r="CC69" s="171">
        <f>COUNTIF(AJ69:AX69,"*OP*")</f>
        <v>0</v>
      </c>
    </row>
    <row r="70" spans="1:81" ht="14.25" hidden="1" customHeight="1">
      <c r="A70" s="500">
        <v>17919</v>
      </c>
      <c r="B70" s="173" t="s">
        <v>315</v>
      </c>
      <c r="C70" s="468">
        <f>T70</f>
        <v>620.91999999999996</v>
      </c>
      <c r="D70" s="171">
        <f>COUNTIF(AJ70:AX70,"*OK*")</f>
        <v>0</v>
      </c>
      <c r="E70" s="171"/>
      <c r="F70" s="197" t="s">
        <v>316</v>
      </c>
      <c r="G70" s="183"/>
      <c r="H70" s="351" t="s">
        <v>317</v>
      </c>
      <c r="I70" s="495"/>
      <c r="J70" s="183"/>
      <c r="K70" s="198" t="s">
        <v>79</v>
      </c>
      <c r="L70" s="183" t="s">
        <v>69</v>
      </c>
      <c r="M70" s="183" t="s">
        <v>135</v>
      </c>
      <c r="N70" s="183" t="s">
        <v>136</v>
      </c>
      <c r="O70" s="172">
        <v>838.1</v>
      </c>
      <c r="P70" s="172">
        <v>724.75</v>
      </c>
      <c r="Q70" s="172">
        <v>720.85</v>
      </c>
      <c r="R70" s="193">
        <v>809.81</v>
      </c>
      <c r="S70" s="510">
        <v>638.32529999999997</v>
      </c>
      <c r="T70" s="550">
        <v>620.91999999999996</v>
      </c>
      <c r="U70" s="175"/>
      <c r="V70" s="176">
        <v>150</v>
      </c>
      <c r="W70" s="194" t="s">
        <v>187</v>
      </c>
      <c r="X70" s="205" t="s">
        <v>124</v>
      </c>
      <c r="Y70" s="177" t="s">
        <v>89</v>
      </c>
      <c r="Z70" s="178" t="s">
        <v>318</v>
      </c>
      <c r="AA70" s="176" t="s">
        <v>91</v>
      </c>
      <c r="AB70" s="195" t="s">
        <v>61</v>
      </c>
      <c r="AC70" s="179" t="s">
        <v>92</v>
      </c>
      <c r="AD70" s="171"/>
      <c r="AE70" s="171"/>
      <c r="AF70" s="171"/>
      <c r="AG70" s="171"/>
      <c r="AH70" s="171"/>
      <c r="AI70" s="174" t="s">
        <v>59</v>
      </c>
      <c r="AJ70" s="170" t="s">
        <v>173</v>
      </c>
      <c r="AK70" s="170"/>
      <c r="AL70" s="170" t="s">
        <v>319</v>
      </c>
      <c r="AM70" s="170" t="s">
        <v>173</v>
      </c>
      <c r="AN70" s="170"/>
      <c r="AO70" s="170"/>
      <c r="AP70" s="170"/>
      <c r="AQ70" s="170"/>
      <c r="AR70" s="170"/>
      <c r="AS70" s="170"/>
      <c r="AT70" s="170"/>
      <c r="AU70" s="170"/>
      <c r="AV70" s="170"/>
      <c r="AW70" s="170"/>
      <c r="AX70" s="170"/>
      <c r="AY70" s="170"/>
      <c r="AZ70" s="180" t="s">
        <v>59</v>
      </c>
      <c r="BA70" s="171">
        <f>(COUNTIF(AJ70:AL70,"*OK*")*3) + (COUNTIF(AM70:AO70,"*OK*")*2) + COUNTIF(AP70:AR70,"*OK*")+COUNTIF(AZ70:AZ70,"SI")*0.5</f>
        <v>0</v>
      </c>
      <c r="BB70" s="171" t="str">
        <f>IF(BA70&lt;0.6,"Demasiado Riesgo",IF(BA70&lt;=5,"Riesgo Medio",IF(BA70&lt;=11,"Riesgo Bajo","Cliente Blindado")))</f>
        <v>Demasiado Riesgo</v>
      </c>
      <c r="BC70" s="171"/>
      <c r="BD70" s="171"/>
      <c r="BE70" s="171">
        <v>0</v>
      </c>
      <c r="BF70" s="171"/>
      <c r="BG70" s="171"/>
      <c r="BH70" s="171"/>
      <c r="BI70" s="171"/>
      <c r="BJ70" s="171"/>
      <c r="BK70" s="171"/>
      <c r="BL70" s="171"/>
      <c r="BM70" s="171"/>
      <c r="BN70" s="171"/>
      <c r="BO70" s="171"/>
      <c r="BP70" s="171"/>
      <c r="BQ70" s="171"/>
      <c r="BR70" s="171"/>
      <c r="BS70" s="171"/>
      <c r="BT70" s="171"/>
      <c r="BU70" s="171"/>
      <c r="BV70" s="171"/>
      <c r="BW70" s="171"/>
      <c r="BX70" s="171"/>
      <c r="BY70" s="171"/>
      <c r="BZ70" s="171"/>
      <c r="CA70" s="171">
        <f>COUNTIF(AJ70:AX70,"*OK*")</f>
        <v>0</v>
      </c>
      <c r="CB70" s="171"/>
      <c r="CC70" s="171">
        <f>COUNTIF(AJ70:AX70,"*OP*")</f>
        <v>2</v>
      </c>
    </row>
    <row r="71" spans="1:81" ht="14.25" hidden="1" customHeight="1">
      <c r="A71" s="501">
        <v>30029</v>
      </c>
      <c r="B71" s="171" t="s">
        <v>320</v>
      </c>
      <c r="C71" s="468">
        <f>T71</f>
        <v>640.16999999999996</v>
      </c>
      <c r="D71" s="171">
        <f>COUNTIF(AJ71:AX71,"*OK*")</f>
        <v>2</v>
      </c>
      <c r="E71" s="171"/>
      <c r="F71" s="258" t="s">
        <v>321</v>
      </c>
      <c r="G71" s="183"/>
      <c r="H71" s="179"/>
      <c r="I71" s="179"/>
      <c r="J71" s="183"/>
      <c r="K71" s="192" t="s">
        <v>79</v>
      </c>
      <c r="L71" s="183" t="s">
        <v>69</v>
      </c>
      <c r="M71" s="183"/>
      <c r="N71" s="183"/>
      <c r="O71" s="172">
        <v>332.25</v>
      </c>
      <c r="P71" s="172">
        <v>788.02</v>
      </c>
      <c r="Q71" s="172">
        <v>644.27</v>
      </c>
      <c r="R71" s="193">
        <v>576.42999999999995</v>
      </c>
      <c r="S71" s="510">
        <v>632.7088</v>
      </c>
      <c r="T71" s="554">
        <v>640.16999999999996</v>
      </c>
      <c r="U71" s="175">
        <v>300</v>
      </c>
      <c r="V71" s="176">
        <v>500</v>
      </c>
      <c r="W71" s="194"/>
      <c r="X71" s="205" t="s">
        <v>70</v>
      </c>
      <c r="Y71" s="177" t="s">
        <v>71</v>
      </c>
      <c r="Z71" s="178" t="s">
        <v>322</v>
      </c>
      <c r="AA71" s="176" t="s">
        <v>71</v>
      </c>
      <c r="AB71" s="195" t="s">
        <v>65</v>
      </c>
      <c r="AC71" s="179" t="s">
        <v>92</v>
      </c>
      <c r="AD71" s="171"/>
      <c r="AE71" s="171"/>
      <c r="AF71" s="171"/>
      <c r="AG71" s="171"/>
      <c r="AH71" s="171"/>
      <c r="AI71" s="174" t="s">
        <v>59</v>
      </c>
      <c r="AJ71" s="170"/>
      <c r="AK71" s="170" t="s">
        <v>111</v>
      </c>
      <c r="AL71" s="170" t="s">
        <v>111</v>
      </c>
      <c r="AM71" s="170" t="s">
        <v>173</v>
      </c>
      <c r="AN71" s="170"/>
      <c r="AO71" s="170"/>
      <c r="AP71" s="170"/>
      <c r="AQ71" s="170"/>
      <c r="AR71" s="170"/>
      <c r="AS71" s="170"/>
      <c r="AT71" s="170"/>
      <c r="AU71" s="170"/>
      <c r="AV71" s="170"/>
      <c r="AW71" s="170"/>
      <c r="AX71" s="170"/>
      <c r="AY71" s="170"/>
      <c r="AZ71" s="180" t="s">
        <v>59</v>
      </c>
      <c r="BA71" s="171">
        <f>(COUNTIF(AJ71:AL71,"*OK*")*3) + (COUNTIF(AM71:AO71,"*OK*")*2) + COUNTIF(AP71:AR71,"*OK*")+COUNTIF(AZ71:AZ71,"SI")*0.5</f>
        <v>6</v>
      </c>
      <c r="BB71" s="171" t="str">
        <f>IF(BA71&lt;0.6,"Demasiado Riesgo",IF(BA71&lt;=5,"Riesgo Medio",IF(BA71&lt;=11,"Riesgo Bajo","Cliente Blindado")))</f>
        <v>Riesgo Bajo</v>
      </c>
      <c r="BC71" s="171"/>
      <c r="BD71" s="171"/>
      <c r="BE71" s="171">
        <v>0</v>
      </c>
      <c r="BF71" s="171"/>
      <c r="BG71" s="171"/>
      <c r="BH71" s="171"/>
      <c r="BI71" s="171"/>
      <c r="BJ71" s="171"/>
      <c r="BK71" s="171"/>
      <c r="BL71" s="171"/>
      <c r="BM71" s="171"/>
      <c r="BN71" s="171"/>
      <c r="BO71" s="171"/>
      <c r="BP71" s="171"/>
      <c r="BQ71" s="171"/>
      <c r="BR71" s="171"/>
      <c r="BS71" s="171"/>
      <c r="BT71" s="171"/>
      <c r="BU71" s="171"/>
      <c r="BV71" s="171"/>
      <c r="BW71" s="171"/>
      <c r="BX71" s="171"/>
      <c r="BY71" s="171"/>
      <c r="BZ71" s="171"/>
      <c r="CA71" s="171">
        <f>COUNTIF(AJ71:AX71,"*OK*")</f>
        <v>2</v>
      </c>
      <c r="CB71" s="171"/>
      <c r="CC71" s="171">
        <f>COUNTIF(AJ71:AX71,"*OP*")</f>
        <v>1</v>
      </c>
    </row>
    <row r="72" spans="1:81" ht="14.25" hidden="1" customHeight="1">
      <c r="A72" s="500">
        <v>26665</v>
      </c>
      <c r="B72" s="173" t="s">
        <v>323</v>
      </c>
      <c r="C72" s="468">
        <f>T72</f>
        <v>662.64</v>
      </c>
      <c r="D72" s="171">
        <f>COUNTIF(AJ72:AX72,"*OK*")</f>
        <v>0</v>
      </c>
      <c r="E72" s="171"/>
      <c r="F72" s="201" t="s">
        <v>324</v>
      </c>
      <c r="G72" s="183"/>
      <c r="H72" s="179"/>
      <c r="I72" s="179"/>
      <c r="J72" s="183"/>
      <c r="K72" s="198" t="s">
        <v>79</v>
      </c>
      <c r="L72" s="183" t="s">
        <v>69</v>
      </c>
      <c r="M72" s="183"/>
      <c r="N72" s="183"/>
      <c r="O72" s="172">
        <v>714.35</v>
      </c>
      <c r="P72" s="172">
        <v>640.35</v>
      </c>
      <c r="Q72" s="172">
        <v>615.91</v>
      </c>
      <c r="R72" s="193">
        <v>614.28</v>
      </c>
      <c r="S72" s="510">
        <v>683.81659999999999</v>
      </c>
      <c r="T72" s="550">
        <v>662.64</v>
      </c>
      <c r="U72" s="175"/>
      <c r="V72" s="176">
        <v>300</v>
      </c>
      <c r="W72" s="194" t="s">
        <v>252</v>
      </c>
      <c r="X72" s="205" t="s">
        <v>253</v>
      </c>
      <c r="Y72" s="177" t="s">
        <v>162</v>
      </c>
      <c r="Z72" s="178" t="s">
        <v>325</v>
      </c>
      <c r="AA72" s="176" t="s">
        <v>162</v>
      </c>
      <c r="AB72" s="195" t="s">
        <v>240</v>
      </c>
      <c r="AC72" s="179" t="s">
        <v>92</v>
      </c>
      <c r="AD72" s="171"/>
      <c r="AE72" s="171"/>
      <c r="AF72" s="171"/>
      <c r="AG72" s="171"/>
      <c r="AH72" s="171"/>
      <c r="AI72" s="174" t="s">
        <v>127</v>
      </c>
      <c r="AJ72" s="170"/>
      <c r="AK72" s="170"/>
      <c r="AL72" s="170"/>
      <c r="AM72" s="170"/>
      <c r="AN72" s="170"/>
      <c r="AO72" s="170"/>
      <c r="AP72" s="170"/>
      <c r="AQ72" s="170"/>
      <c r="AR72" s="170"/>
      <c r="AS72" s="170"/>
      <c r="AT72" s="170"/>
      <c r="AU72" s="170"/>
      <c r="AV72" s="170"/>
      <c r="AW72" s="170"/>
      <c r="AX72" s="170"/>
      <c r="AY72" s="170"/>
      <c r="AZ72" s="180" t="s">
        <v>59</v>
      </c>
      <c r="BA72" s="171">
        <f>(COUNTIF(AJ72:AL72,"*OK*")*3) + (COUNTIF(AM72:AO72,"*OK*")*2) + COUNTIF(AP72:AR72,"*OK*")+COUNTIF(AZ72:AZ72,"SI")*0.5</f>
        <v>0</v>
      </c>
      <c r="BB72" s="171" t="str">
        <f>IF(BA72&lt;0.6,"Demasiado Riesgo",IF(BA72&lt;=5,"Riesgo Medio",IF(BA72&lt;=11,"Riesgo Bajo","Cliente Blindado")))</f>
        <v>Demasiado Riesgo</v>
      </c>
      <c r="BC72" s="171"/>
      <c r="BD72" s="171"/>
      <c r="BE72" s="171">
        <v>0</v>
      </c>
      <c r="BF72" s="171"/>
      <c r="BG72" s="171"/>
      <c r="BH72" s="171"/>
      <c r="BI72" s="171"/>
      <c r="BJ72" s="171"/>
      <c r="BK72" s="171"/>
      <c r="BL72" s="171"/>
      <c r="BM72" s="171"/>
      <c r="BN72" s="171"/>
      <c r="BO72" s="171"/>
      <c r="BP72" s="171"/>
      <c r="BQ72" s="171"/>
      <c r="BR72" s="171"/>
      <c r="BS72" s="171"/>
      <c r="BT72" s="171"/>
      <c r="BU72" s="171"/>
      <c r="BV72" s="171"/>
      <c r="BW72" s="171"/>
      <c r="BX72" s="171"/>
      <c r="BY72" s="171"/>
      <c r="BZ72" s="171"/>
      <c r="CA72" s="171">
        <f>COUNTIF(AJ72:AX72,"*OK*")</f>
        <v>0</v>
      </c>
      <c r="CB72" s="171"/>
      <c r="CC72" s="171">
        <f>COUNTIF(AJ72:AX72,"*OP*")</f>
        <v>0</v>
      </c>
    </row>
    <row r="73" spans="1:81" ht="14.25" hidden="1" customHeight="1">
      <c r="A73" s="501">
        <v>1207</v>
      </c>
      <c r="B73" s="162" t="s">
        <v>326</v>
      </c>
      <c r="C73" s="468">
        <f>T73</f>
        <v>692.85</v>
      </c>
      <c r="D73" s="160">
        <f>COUNTIF(AJ73:AX73,"*OK*")</f>
        <v>0</v>
      </c>
      <c r="E73" s="160"/>
      <c r="F73" s="197" t="s">
        <v>327</v>
      </c>
      <c r="G73" s="182"/>
      <c r="H73" s="168" t="s">
        <v>328</v>
      </c>
      <c r="I73" s="495" t="s">
        <v>329</v>
      </c>
      <c r="J73" s="182"/>
      <c r="K73" s="196" t="s">
        <v>79</v>
      </c>
      <c r="L73" s="182" t="s">
        <v>69</v>
      </c>
      <c r="M73" s="182"/>
      <c r="N73" s="182"/>
      <c r="O73" s="161">
        <v>611.62</v>
      </c>
      <c r="P73" s="161">
        <v>661.98</v>
      </c>
      <c r="Q73" s="161">
        <v>650.27</v>
      </c>
      <c r="R73" s="186">
        <v>691.23</v>
      </c>
      <c r="S73" s="510">
        <v>695.45920000000001</v>
      </c>
      <c r="T73" s="551">
        <v>692.85</v>
      </c>
      <c r="U73" s="164"/>
      <c r="V73" s="165">
        <v>200</v>
      </c>
      <c r="W73" s="187" t="s">
        <v>70</v>
      </c>
      <c r="X73" s="166" t="s">
        <v>70</v>
      </c>
      <c r="Y73" s="166" t="s">
        <v>152</v>
      </c>
      <c r="Z73" s="167" t="s">
        <v>330</v>
      </c>
      <c r="AA73" s="165" t="s">
        <v>147</v>
      </c>
      <c r="AB73" s="188" t="s">
        <v>65</v>
      </c>
      <c r="AC73" s="168" t="s">
        <v>92</v>
      </c>
      <c r="AD73" s="160"/>
      <c r="AE73" s="160"/>
      <c r="AF73" s="160"/>
      <c r="AG73" s="160"/>
      <c r="AH73" s="160"/>
      <c r="AI73" s="163" t="s">
        <v>59</v>
      </c>
      <c r="AJ73" s="170"/>
      <c r="AK73" s="170"/>
      <c r="AL73" s="170"/>
      <c r="AM73" s="170"/>
      <c r="AN73" s="170"/>
      <c r="AO73" s="170"/>
      <c r="AP73" s="170"/>
      <c r="AQ73" s="170"/>
      <c r="AR73" s="170"/>
      <c r="AS73" s="170"/>
      <c r="AT73" s="170"/>
      <c r="AU73" s="170"/>
      <c r="AV73" s="170"/>
      <c r="AW73" s="170"/>
      <c r="AX73" s="170"/>
      <c r="AY73" s="170"/>
      <c r="AZ73" s="169" t="s">
        <v>59</v>
      </c>
      <c r="BA73" s="160">
        <f>(COUNTIF(AJ73:AL73,"*OK*")*3) + (COUNTIF(AM73:AO73,"*OK*")*2) + COUNTIF(AP73:AR73,"*OK*")+COUNTIF(AZ73:AZ73,"SI")*0.5</f>
        <v>0</v>
      </c>
      <c r="BB73" s="160" t="str">
        <f>IF(BA73&lt;0.6,"Demasiado Riesgo",IF(BA73&lt;=5,"Riesgo Medio",IF(BA73&lt;=11,"Riesgo Bajo","Cliente Blindado")))</f>
        <v>Demasiado Riesgo</v>
      </c>
      <c r="BC73" s="160"/>
      <c r="BD73" s="160"/>
      <c r="BE73" s="160">
        <v>0</v>
      </c>
      <c r="BF73" s="160"/>
      <c r="BG73" s="160"/>
      <c r="BH73" s="160"/>
      <c r="BI73" s="160"/>
      <c r="BJ73" s="160"/>
      <c r="BK73" s="160"/>
      <c r="BL73" s="160"/>
      <c r="BM73" s="160"/>
      <c r="BN73" s="160"/>
      <c r="BO73" s="160"/>
      <c r="BP73" s="160"/>
      <c r="BQ73" s="160"/>
      <c r="BR73" s="160"/>
      <c r="BS73" s="160"/>
      <c r="BT73" s="160"/>
      <c r="BU73" s="160"/>
      <c r="BV73" s="160"/>
      <c r="BW73" s="160"/>
      <c r="BX73" s="160"/>
      <c r="BY73" s="160"/>
      <c r="BZ73" s="160"/>
      <c r="CA73" s="160">
        <f>COUNTIF(AJ73:AX73,"*OK*")</f>
        <v>0</v>
      </c>
      <c r="CB73" s="160"/>
      <c r="CC73" s="160">
        <f>COUNTIF(AJ73:AX73,"*OP*")</f>
        <v>0</v>
      </c>
    </row>
    <row r="74" spans="1:81" s="121" customFormat="1" ht="14.25" hidden="1" customHeight="1">
      <c r="A74" s="240">
        <v>36858</v>
      </c>
      <c r="B74" s="171"/>
      <c r="C74" s="468">
        <f>T74</f>
        <v>738.79</v>
      </c>
      <c r="D74" s="171">
        <f>COUNTIF(AJ74:AX74,"*OK*")</f>
        <v>0</v>
      </c>
      <c r="E74" s="171"/>
      <c r="F74" s="261" t="s">
        <v>331</v>
      </c>
      <c r="G74" s="183"/>
      <c r="H74" s="179" t="s">
        <v>332</v>
      </c>
      <c r="I74" s="179"/>
      <c r="J74" s="183"/>
      <c r="K74" s="192" t="s">
        <v>79</v>
      </c>
      <c r="L74" s="202" t="s">
        <v>69</v>
      </c>
      <c r="M74" s="183"/>
      <c r="N74" s="183"/>
      <c r="O74" s="172"/>
      <c r="P74" s="172"/>
      <c r="Q74" s="172">
        <v>1573.95</v>
      </c>
      <c r="R74" s="193">
        <v>755.87</v>
      </c>
      <c r="S74" s="510">
        <v>757.37879999999996</v>
      </c>
      <c r="T74" s="550">
        <v>738.79</v>
      </c>
      <c r="U74" s="175"/>
      <c r="V74" s="176">
        <v>400</v>
      </c>
      <c r="W74" s="194"/>
      <c r="X74" s="177" t="s">
        <v>231</v>
      </c>
      <c r="Y74" s="177">
        <v>6</v>
      </c>
      <c r="Z74" s="178" t="s">
        <v>333</v>
      </c>
      <c r="AA74" s="176" t="s">
        <v>286</v>
      </c>
      <c r="AB74" s="195" t="s">
        <v>288</v>
      </c>
      <c r="AC74" s="179"/>
      <c r="AD74" s="171"/>
      <c r="AE74" s="171"/>
      <c r="AF74" s="171"/>
      <c r="AG74" s="171"/>
      <c r="AH74" s="171"/>
      <c r="AI74" s="174" t="s">
        <v>59</v>
      </c>
      <c r="AJ74" s="170"/>
      <c r="AK74" s="170"/>
      <c r="AL74" s="170"/>
      <c r="AM74" s="170"/>
      <c r="AN74" s="170"/>
      <c r="AO74" s="170"/>
      <c r="AP74" s="170"/>
      <c r="AQ74" s="170"/>
      <c r="AR74" s="170"/>
      <c r="AS74" s="170"/>
      <c r="AT74" s="170"/>
      <c r="AU74" s="170"/>
      <c r="AV74" s="170"/>
      <c r="AW74" s="170"/>
      <c r="AX74" s="170"/>
      <c r="AY74" s="170"/>
      <c r="AZ74" s="180" t="s">
        <v>59</v>
      </c>
      <c r="BA74" s="171">
        <f>(COUNTIF(AJ74:AL74,"*OK*")*3) + (COUNTIF(AM74:AO74,"*OK*")*2) + COUNTIF(AP74:AR74,"*OK*")+COUNTIF(AZ74:AZ74,"SI")*0.5</f>
        <v>0</v>
      </c>
      <c r="BB74" s="171" t="str">
        <f>IF(BA74&lt;0.6,"Demasiado Riesgo",IF(BA74&lt;=5,"Riesgo Medio",IF(BA74&lt;=11,"Riesgo Bajo","Cliente Blindado")))</f>
        <v>Demasiado Riesgo</v>
      </c>
      <c r="BC74" s="171"/>
      <c r="BD74" s="171"/>
      <c r="BE74" s="171">
        <v>0</v>
      </c>
      <c r="BF74" s="171"/>
      <c r="BG74" s="171"/>
      <c r="BH74" s="171"/>
      <c r="BI74" s="171"/>
      <c r="BJ74" s="171"/>
      <c r="BK74" s="171"/>
      <c r="BL74" s="171"/>
      <c r="BM74" s="171"/>
      <c r="BN74" s="171"/>
      <c r="BO74" s="171"/>
      <c r="BP74" s="171"/>
      <c r="BQ74" s="171"/>
      <c r="BR74" s="171"/>
      <c r="BS74" s="171"/>
      <c r="BT74" s="171"/>
      <c r="BU74" s="171"/>
      <c r="BV74" s="171"/>
      <c r="BW74" s="171"/>
      <c r="BX74" s="171"/>
      <c r="BY74" s="171"/>
      <c r="BZ74" s="171"/>
      <c r="CA74" s="171">
        <f>COUNTIF(AJ74:AX74,"*OK*")</f>
        <v>0</v>
      </c>
      <c r="CB74" s="171"/>
      <c r="CC74" s="171">
        <f>COUNTIF(AJ74:AX74,"*OP*")</f>
        <v>0</v>
      </c>
    </row>
    <row r="75" spans="1:81" ht="14.25" hidden="1" customHeight="1">
      <c r="A75" s="241">
        <v>35601</v>
      </c>
      <c r="B75" s="160" t="s">
        <v>334</v>
      </c>
      <c r="C75" s="468">
        <f>T75</f>
        <v>782.79</v>
      </c>
      <c r="D75" s="160">
        <f>COUNTIF(AJ75:AX75,"*OK*")</f>
        <v>0</v>
      </c>
      <c r="E75" s="160"/>
      <c r="F75" s="197" t="s">
        <v>335</v>
      </c>
      <c r="G75" s="182"/>
      <c r="H75" s="168" t="s">
        <v>336</v>
      </c>
      <c r="I75" s="495" t="s">
        <v>283</v>
      </c>
      <c r="J75" s="182"/>
      <c r="K75" s="182" t="s">
        <v>79</v>
      </c>
      <c r="L75" s="182" t="s">
        <v>69</v>
      </c>
      <c r="M75" s="182"/>
      <c r="N75" s="182"/>
      <c r="O75" s="161">
        <v>742.45</v>
      </c>
      <c r="P75" s="161">
        <v>785.23</v>
      </c>
      <c r="Q75" s="161">
        <v>740.03</v>
      </c>
      <c r="R75" s="186">
        <v>772.41</v>
      </c>
      <c r="S75" s="510">
        <v>788.5752</v>
      </c>
      <c r="T75" s="551">
        <v>782.79</v>
      </c>
      <c r="U75" s="164"/>
      <c r="V75" s="165">
        <v>300</v>
      </c>
      <c r="W75" s="187"/>
      <c r="X75" s="166" t="s">
        <v>70</v>
      </c>
      <c r="Y75" s="166" t="s">
        <v>243</v>
      </c>
      <c r="Z75" s="167" t="s">
        <v>337</v>
      </c>
      <c r="AA75" s="165" t="s">
        <v>338</v>
      </c>
      <c r="AB75" s="188" t="s">
        <v>339</v>
      </c>
      <c r="AC75" s="168" t="s">
        <v>97</v>
      </c>
      <c r="AD75" s="160"/>
      <c r="AE75" s="160"/>
      <c r="AF75" s="160"/>
      <c r="AG75" s="160"/>
      <c r="AH75" s="160"/>
      <c r="AI75" s="163" t="s">
        <v>59</v>
      </c>
      <c r="AJ75" s="170"/>
      <c r="AK75" s="170"/>
      <c r="AL75" s="170"/>
      <c r="AM75" s="170"/>
      <c r="AN75" s="170"/>
      <c r="AO75" s="170"/>
      <c r="AP75" s="170"/>
      <c r="AQ75" s="170"/>
      <c r="AR75" s="170"/>
      <c r="AS75" s="170"/>
      <c r="AT75" s="170"/>
      <c r="AU75" s="170"/>
      <c r="AV75" s="170"/>
      <c r="AW75" s="170"/>
      <c r="AX75" s="170"/>
      <c r="AY75" s="170"/>
      <c r="AZ75" s="169" t="s">
        <v>59</v>
      </c>
      <c r="BA75" s="160">
        <f>(COUNTIF(AJ75:AL75,"*OK*")*3) + (COUNTIF(AM75:AO75,"*OK*")*2) + COUNTIF(AP75:AR75,"*OK*")+COUNTIF(AZ75:AZ75,"SI")*0.5</f>
        <v>0</v>
      </c>
      <c r="BB75" s="160" t="str">
        <f>IF(BA75&lt;0.6,"Demasiado Riesgo",IF(BA75&lt;=5,"Riesgo Medio",IF(BA75&lt;=11,"Riesgo Bajo","Cliente Blindado")))</f>
        <v>Demasiado Riesgo</v>
      </c>
      <c r="BC75" s="160"/>
      <c r="BD75" s="160"/>
      <c r="BE75" s="160">
        <v>0</v>
      </c>
      <c r="BF75" s="160"/>
      <c r="BG75" s="160"/>
      <c r="BH75" s="160"/>
      <c r="BI75" s="160"/>
      <c r="BJ75" s="160"/>
      <c r="BK75" s="160"/>
      <c r="BL75" s="160"/>
      <c r="BM75" s="160"/>
      <c r="BN75" s="160"/>
      <c r="BO75" s="160"/>
      <c r="BP75" s="160"/>
      <c r="BQ75" s="160"/>
      <c r="BR75" s="160"/>
      <c r="BS75" s="160"/>
      <c r="BT75" s="160"/>
      <c r="BU75" s="160"/>
      <c r="BV75" s="160"/>
      <c r="BW75" s="160"/>
      <c r="BX75" s="160"/>
      <c r="BY75" s="160"/>
      <c r="BZ75" s="160"/>
      <c r="CA75" s="160">
        <f>COUNTIF(AJ75:AX75,"*OK*")</f>
        <v>0</v>
      </c>
      <c r="CB75" s="160"/>
      <c r="CC75" s="160">
        <f>COUNTIF(AJ75:AX75,"*OP*")</f>
        <v>0</v>
      </c>
    </row>
    <row r="76" spans="1:81" s="204" customFormat="1" ht="14.25" hidden="1" customHeight="1">
      <c r="A76" s="501">
        <v>22786</v>
      </c>
      <c r="B76" s="162" t="s">
        <v>166</v>
      </c>
      <c r="C76" s="468">
        <f>T76</f>
        <v>833.57</v>
      </c>
      <c r="D76" s="160">
        <f>COUNTIF(AJ76:AX76,"*OK*")</f>
        <v>0</v>
      </c>
      <c r="E76" s="160"/>
      <c r="F76" s="260" t="s">
        <v>340</v>
      </c>
      <c r="G76" s="182"/>
      <c r="H76" s="168" t="s">
        <v>341</v>
      </c>
      <c r="I76" s="168"/>
      <c r="J76" s="182"/>
      <c r="K76" s="196" t="s">
        <v>79</v>
      </c>
      <c r="L76" s="182" t="s">
        <v>69</v>
      </c>
      <c r="M76" s="182"/>
      <c r="N76" s="182"/>
      <c r="O76" s="161">
        <v>864.85</v>
      </c>
      <c r="P76" s="161">
        <v>936.04</v>
      </c>
      <c r="Q76" s="161">
        <v>885.35</v>
      </c>
      <c r="R76" s="186">
        <v>923.35</v>
      </c>
      <c r="S76" s="510">
        <v>943.37159999999994</v>
      </c>
      <c r="T76" s="551">
        <v>833.57</v>
      </c>
      <c r="U76" s="164"/>
      <c r="V76" s="165">
        <v>300</v>
      </c>
      <c r="W76" s="187" t="s">
        <v>70</v>
      </c>
      <c r="X76" s="166" t="s">
        <v>70</v>
      </c>
      <c r="Y76" s="166" t="s">
        <v>302</v>
      </c>
      <c r="Z76" s="167" t="s">
        <v>342</v>
      </c>
      <c r="AA76" s="165" t="s">
        <v>343</v>
      </c>
      <c r="AB76" s="188" t="s">
        <v>65</v>
      </c>
      <c r="AC76" s="168" t="s">
        <v>92</v>
      </c>
      <c r="AD76" s="160"/>
      <c r="AE76" s="160"/>
      <c r="AF76" s="160"/>
      <c r="AG76" s="160"/>
      <c r="AH76" s="160"/>
      <c r="AI76" s="163" t="s">
        <v>344</v>
      </c>
      <c r="AJ76" s="170"/>
      <c r="AK76" s="170" t="s">
        <v>345</v>
      </c>
      <c r="AL76" s="170" t="s">
        <v>173</v>
      </c>
      <c r="AM76" s="170"/>
      <c r="AN76" s="170" t="s">
        <v>346</v>
      </c>
      <c r="AO76" s="170"/>
      <c r="AP76" s="170"/>
      <c r="AQ76" s="170"/>
      <c r="AR76" s="170"/>
      <c r="AS76" s="170"/>
      <c r="AT76" s="170"/>
      <c r="AU76" s="170"/>
      <c r="AV76" s="170"/>
      <c r="AW76" s="170"/>
      <c r="AX76" s="170"/>
      <c r="AY76" s="170"/>
      <c r="AZ76" s="169" t="s">
        <v>59</v>
      </c>
      <c r="BA76" s="160">
        <f>(COUNTIF(AJ76:AL76,"*OK*")*3) + (COUNTIF(AM76:AO76,"*OK*")*2) + COUNTIF(AP76:AR76,"*OK*")+COUNTIF(AZ76:AZ76,"SI")*0.5</f>
        <v>0</v>
      </c>
      <c r="BB76" s="160" t="str">
        <f>IF(BA76&lt;0.6,"Demasiado Riesgo",IF(BA76&lt;=5,"Riesgo Medio",IF(BA76&lt;=11,"Riesgo Bajo","Cliente Blindado")))</f>
        <v>Demasiado Riesgo</v>
      </c>
      <c r="BC76" s="160"/>
      <c r="BD76" s="160"/>
      <c r="BE76" s="160">
        <v>0</v>
      </c>
      <c r="BF76" s="160"/>
      <c r="BG76" s="160"/>
      <c r="BH76" s="160"/>
      <c r="BI76" s="160"/>
      <c r="BJ76" s="160"/>
      <c r="BK76" s="160"/>
      <c r="BL76" s="160"/>
      <c r="BM76" s="160"/>
      <c r="BN76" s="160"/>
      <c r="BO76" s="160"/>
      <c r="BP76" s="160"/>
      <c r="BQ76" s="160"/>
      <c r="BR76" s="160"/>
      <c r="BS76" s="160"/>
      <c r="BT76" s="160"/>
      <c r="BU76" s="160"/>
      <c r="BV76" s="160"/>
      <c r="BW76" s="160"/>
      <c r="BX76" s="160"/>
      <c r="BY76" s="160"/>
      <c r="BZ76" s="160"/>
      <c r="CA76" s="160">
        <f>COUNTIF(AJ76:AX76,"*OK*")</f>
        <v>0</v>
      </c>
      <c r="CB76" s="160"/>
      <c r="CC76" s="160">
        <f>COUNTIF(AJ76:AX76,"*OP*")</f>
        <v>2</v>
      </c>
    </row>
    <row r="77" spans="1:81" ht="14.25" hidden="1" customHeight="1">
      <c r="A77" s="501">
        <v>26084</v>
      </c>
      <c r="B77" s="162" t="s">
        <v>347</v>
      </c>
      <c r="C77" s="468">
        <f>T77</f>
        <v>834.69</v>
      </c>
      <c r="D77" s="160">
        <f>COUNTIF(AJ77:AX77,"*OK*")</f>
        <v>1</v>
      </c>
      <c r="E77" s="160"/>
      <c r="F77" s="260" t="s">
        <v>348</v>
      </c>
      <c r="G77" s="182"/>
      <c r="H77" s="168" t="s">
        <v>349</v>
      </c>
      <c r="I77" s="168"/>
      <c r="J77" s="182"/>
      <c r="K77" s="196" t="s">
        <v>79</v>
      </c>
      <c r="L77" s="182" t="s">
        <v>69</v>
      </c>
      <c r="M77" s="182"/>
      <c r="N77" s="182"/>
      <c r="O77" s="161">
        <v>1089.82</v>
      </c>
      <c r="P77" s="161">
        <v>1088.82</v>
      </c>
      <c r="Q77" s="161">
        <v>1031.23</v>
      </c>
      <c r="R77" s="186">
        <v>1061.1199999999999</v>
      </c>
      <c r="S77" s="510">
        <v>831.45640000000003</v>
      </c>
      <c r="T77" s="553">
        <v>834.69</v>
      </c>
      <c r="U77" s="164"/>
      <c r="V77" s="165">
        <v>300</v>
      </c>
      <c r="W77" s="187" t="s">
        <v>70</v>
      </c>
      <c r="X77" s="203" t="s">
        <v>70</v>
      </c>
      <c r="Y77" s="166" t="s">
        <v>141</v>
      </c>
      <c r="Z77" s="167" t="s">
        <v>350</v>
      </c>
      <c r="AA77" s="165" t="s">
        <v>71</v>
      </c>
      <c r="AB77" s="188" t="s">
        <v>159</v>
      </c>
      <c r="AC77" s="168" t="s">
        <v>92</v>
      </c>
      <c r="AD77" s="160"/>
      <c r="AE77" s="160"/>
      <c r="AF77" s="160"/>
      <c r="AG77" s="160"/>
      <c r="AH77" s="160"/>
      <c r="AI77" s="163" t="s">
        <v>127</v>
      </c>
      <c r="AJ77" s="170"/>
      <c r="AK77" s="170" t="s">
        <v>351</v>
      </c>
      <c r="AL77" s="170"/>
      <c r="AM77" s="170"/>
      <c r="AN77" s="189" t="s">
        <v>111</v>
      </c>
      <c r="AO77" s="170"/>
      <c r="AP77" s="170"/>
      <c r="AQ77" s="170"/>
      <c r="AR77" s="170"/>
      <c r="AS77" s="170"/>
      <c r="AT77" s="170"/>
      <c r="AU77" s="170"/>
      <c r="AV77" s="170"/>
      <c r="AW77" s="170"/>
      <c r="AX77" s="170"/>
      <c r="AY77" s="170"/>
      <c r="AZ77" s="169" t="s">
        <v>178</v>
      </c>
      <c r="BA77" s="160">
        <f>(COUNTIF(AJ77:AL77,"*OK*")*3) + (COUNTIF(AM77:AO77,"*OK*")*2) + COUNTIF(AP77:AR77,"*OK*")+COUNTIF(AZ77:AZ77,"SI")*0.5</f>
        <v>2</v>
      </c>
      <c r="BB77" s="160" t="str">
        <f>IF(BA77&lt;0.6,"Demasiado Riesgo",IF(BA77&lt;=5,"Riesgo Medio",IF(BA77&lt;=11,"Riesgo Bajo","Cliente Blindado")))</f>
        <v>Riesgo Medio</v>
      </c>
      <c r="BC77" s="160"/>
      <c r="BD77" s="160"/>
      <c r="BE77" s="160">
        <v>0</v>
      </c>
      <c r="BF77" s="160"/>
      <c r="BG77" s="160"/>
      <c r="BH77" s="160"/>
      <c r="BI77" s="160"/>
      <c r="BJ77" s="160"/>
      <c r="BK77" s="160"/>
      <c r="BL77" s="160"/>
      <c r="BM77" s="160"/>
      <c r="BN77" s="160"/>
      <c r="BO77" s="160"/>
      <c r="BP77" s="160"/>
      <c r="BQ77" s="160"/>
      <c r="BR77" s="160"/>
      <c r="BS77" s="160"/>
      <c r="BT77" s="160"/>
      <c r="BU77" s="160"/>
      <c r="BV77" s="160"/>
      <c r="BW77" s="160"/>
      <c r="BX77" s="160"/>
      <c r="BY77" s="160"/>
      <c r="BZ77" s="160"/>
      <c r="CA77" s="160">
        <f>COUNTIF(AJ77:AX77,"*OK*")</f>
        <v>1</v>
      </c>
      <c r="CB77" s="160"/>
      <c r="CC77" s="160">
        <f>COUNTIF(AJ77:AX77,"*OP*")</f>
        <v>1</v>
      </c>
    </row>
    <row r="78" spans="1:81" ht="14.25" hidden="1" customHeight="1">
      <c r="A78" s="240">
        <v>36114</v>
      </c>
      <c r="B78" s="171"/>
      <c r="C78" s="468">
        <f>T78</f>
        <v>885.52</v>
      </c>
      <c r="D78" s="171">
        <f>COUNTIF(AJ78:AX78,"*OK*")</f>
        <v>0</v>
      </c>
      <c r="E78" s="171"/>
      <c r="F78" s="191" t="s">
        <v>352</v>
      </c>
      <c r="G78" s="183"/>
      <c r="H78" s="179"/>
      <c r="I78" s="179"/>
      <c r="J78" s="183"/>
      <c r="K78" s="192" t="s">
        <v>79</v>
      </c>
      <c r="L78" s="183" t="s">
        <v>69</v>
      </c>
      <c r="M78" s="183"/>
      <c r="N78" s="183"/>
      <c r="O78" s="172"/>
      <c r="P78" s="172"/>
      <c r="Q78" s="172">
        <v>770.08</v>
      </c>
      <c r="R78" s="193">
        <v>806.84</v>
      </c>
      <c r="S78" s="510">
        <v>807.98630000000003</v>
      </c>
      <c r="T78" s="553">
        <v>885.52</v>
      </c>
      <c r="U78" s="175"/>
      <c r="V78" s="176">
        <v>100</v>
      </c>
      <c r="W78" s="194"/>
      <c r="X78" s="205" t="s">
        <v>70</v>
      </c>
      <c r="Y78" s="177" t="s">
        <v>270</v>
      </c>
      <c r="Z78" s="178" t="s">
        <v>353</v>
      </c>
      <c r="AA78" s="176" t="s">
        <v>59</v>
      </c>
      <c r="AB78" s="195" t="s">
        <v>65</v>
      </c>
      <c r="AC78" s="179"/>
      <c r="AD78" s="171"/>
      <c r="AE78" s="171"/>
      <c r="AF78" s="171"/>
      <c r="AG78" s="171"/>
      <c r="AH78" s="171"/>
      <c r="AI78" s="174" t="s">
        <v>59</v>
      </c>
      <c r="AJ78" s="170"/>
      <c r="AK78" s="170"/>
      <c r="AL78" s="170"/>
      <c r="AM78" s="170"/>
      <c r="AN78" s="170"/>
      <c r="AO78" s="170"/>
      <c r="AP78" s="170"/>
      <c r="AQ78" s="170"/>
      <c r="AR78" s="170"/>
      <c r="AS78" s="170"/>
      <c r="AT78" s="170"/>
      <c r="AU78" s="170"/>
      <c r="AV78" s="170"/>
      <c r="AW78" s="170"/>
      <c r="AX78" s="170"/>
      <c r="AY78" s="170"/>
      <c r="AZ78" s="180" t="s">
        <v>59</v>
      </c>
      <c r="BA78" s="171">
        <f>(COUNTIF(AJ78:AL78,"*OK*")*3) + (COUNTIF(AM78:AO78,"*OK*")*2) + COUNTIF(AP78:AR78,"*OK*")+COUNTIF(AZ78:AZ78,"SI")*0.5</f>
        <v>0</v>
      </c>
      <c r="BB78" s="171" t="str">
        <f>IF(BA78&lt;0.6,"Demasiado Riesgo",IF(BA78&lt;=5,"Riesgo Medio",IF(BA78&lt;=11,"Riesgo Bajo","Cliente Blindado")))</f>
        <v>Demasiado Riesgo</v>
      </c>
      <c r="BC78" s="171"/>
      <c r="BD78" s="171"/>
      <c r="BE78" s="171">
        <v>0</v>
      </c>
      <c r="BF78" s="171"/>
      <c r="BG78" s="171"/>
      <c r="BH78" s="171"/>
      <c r="BI78" s="171"/>
      <c r="BJ78" s="171"/>
      <c r="BK78" s="171"/>
      <c r="BL78" s="171"/>
      <c r="BM78" s="171"/>
      <c r="BN78" s="171"/>
      <c r="BO78" s="171"/>
      <c r="BP78" s="171"/>
      <c r="BQ78" s="171"/>
      <c r="BR78" s="171"/>
      <c r="BS78" s="171"/>
      <c r="BT78" s="171"/>
      <c r="BU78" s="171"/>
      <c r="BV78" s="171"/>
      <c r="BW78" s="171"/>
      <c r="BX78" s="171"/>
      <c r="BY78" s="171"/>
      <c r="BZ78" s="171"/>
      <c r="CA78" s="171">
        <f>COUNTIF(AJ78:AX78,"*OK*")</f>
        <v>0</v>
      </c>
      <c r="CB78" s="171"/>
      <c r="CC78" s="171">
        <f>COUNTIF(AJ78:AX78,"*OP*")</f>
        <v>0</v>
      </c>
    </row>
    <row r="79" spans="1:81" ht="14.25" hidden="1" customHeight="1">
      <c r="A79" s="501">
        <v>6341</v>
      </c>
      <c r="B79" s="162" t="s">
        <v>354</v>
      </c>
      <c r="C79" s="468">
        <f>T79</f>
        <v>946.99</v>
      </c>
      <c r="D79" s="160">
        <f>COUNTIF(AJ79:AX79,"*OK*")</f>
        <v>0</v>
      </c>
      <c r="E79" s="160"/>
      <c r="F79" s="197" t="s">
        <v>355</v>
      </c>
      <c r="G79" s="182"/>
      <c r="H79" s="168" t="s">
        <v>356</v>
      </c>
      <c r="I79" s="495" t="s">
        <v>283</v>
      </c>
      <c r="J79" s="182"/>
      <c r="K79" s="196" t="s">
        <v>79</v>
      </c>
      <c r="L79" s="182" t="s">
        <v>69</v>
      </c>
      <c r="M79" s="182"/>
      <c r="N79" s="182"/>
      <c r="O79" s="161">
        <v>854.05</v>
      </c>
      <c r="P79" s="161">
        <v>904.72</v>
      </c>
      <c r="Q79" s="161">
        <v>874.45</v>
      </c>
      <c r="R79" s="186">
        <v>868.85</v>
      </c>
      <c r="S79" s="510">
        <v>884.81780000000003</v>
      </c>
      <c r="T79" s="553">
        <v>946.99</v>
      </c>
      <c r="U79" s="164"/>
      <c r="V79" s="165">
        <v>200</v>
      </c>
      <c r="W79" s="187" t="s">
        <v>88</v>
      </c>
      <c r="X79" s="203" t="s">
        <v>247</v>
      </c>
      <c r="Y79" s="166" t="s">
        <v>286</v>
      </c>
      <c r="Z79" s="167" t="s">
        <v>357</v>
      </c>
      <c r="AA79" s="165" t="s">
        <v>358</v>
      </c>
      <c r="AB79" s="188" t="s">
        <v>104</v>
      </c>
      <c r="AC79" s="168" t="s">
        <v>92</v>
      </c>
      <c r="AD79" s="160"/>
      <c r="AE79" s="160"/>
      <c r="AF79" s="160"/>
      <c r="AG79" s="160"/>
      <c r="AH79" s="160"/>
      <c r="AI79" s="163" t="s">
        <v>127</v>
      </c>
      <c r="AJ79" s="170" t="s">
        <v>173</v>
      </c>
      <c r="AK79" s="170"/>
      <c r="AL79" s="170" t="s">
        <v>173</v>
      </c>
      <c r="AM79" s="170"/>
      <c r="AN79" s="170"/>
      <c r="AO79" s="170"/>
      <c r="AP79" s="170"/>
      <c r="AQ79" s="170"/>
      <c r="AR79" s="170"/>
      <c r="AS79" s="170"/>
      <c r="AT79" s="170"/>
      <c r="AU79" s="170"/>
      <c r="AV79" s="170"/>
      <c r="AW79" s="170"/>
      <c r="AX79" s="170"/>
      <c r="AY79" s="170"/>
      <c r="AZ79" s="169" t="s">
        <v>178</v>
      </c>
      <c r="BA79" s="160">
        <f>(COUNTIF(AJ79:AL79,"*OK*")*3) + (COUNTIF(AM79:AO79,"*OK*")*2) + COUNTIF(AP79:AR79,"*OK*")+COUNTIF(AZ79:AZ79,"SI")*0.5</f>
        <v>0</v>
      </c>
      <c r="BB79" s="160" t="str">
        <f>IF(BA79&lt;0.6,"Demasiado Riesgo",IF(BA79&lt;=5,"Riesgo Medio",IF(BA79&lt;=11,"Riesgo Bajo","Cliente Blindado")))</f>
        <v>Demasiado Riesgo</v>
      </c>
      <c r="BC79" s="160"/>
      <c r="BD79" s="160"/>
      <c r="BE79" s="160">
        <v>0</v>
      </c>
      <c r="BF79" s="160"/>
      <c r="BG79" s="160"/>
      <c r="BH79" s="160"/>
      <c r="BI79" s="160"/>
      <c r="BJ79" s="160"/>
      <c r="BK79" s="160"/>
      <c r="BL79" s="160"/>
      <c r="BM79" s="160"/>
      <c r="BN79" s="160"/>
      <c r="BO79" s="160"/>
      <c r="BP79" s="160"/>
      <c r="BQ79" s="160"/>
      <c r="BR79" s="160"/>
      <c r="BS79" s="160"/>
      <c r="BT79" s="160"/>
      <c r="BU79" s="160"/>
      <c r="BV79" s="160"/>
      <c r="BW79" s="160"/>
      <c r="BX79" s="160"/>
      <c r="BY79" s="160"/>
      <c r="BZ79" s="160"/>
      <c r="CA79" s="160">
        <f>COUNTIF(AJ79:AX79,"*OK*")</f>
        <v>0</v>
      </c>
      <c r="CB79" s="160"/>
      <c r="CC79" s="160">
        <f>COUNTIF(AJ79:AX79,"*OP*")</f>
        <v>2</v>
      </c>
    </row>
    <row r="80" spans="1:81" ht="14.25" hidden="1" customHeight="1">
      <c r="A80" s="500">
        <v>24766</v>
      </c>
      <c r="B80" s="173" t="s">
        <v>359</v>
      </c>
      <c r="C80" s="468">
        <f>T80</f>
        <v>1029.6199999999999</v>
      </c>
      <c r="D80" s="171">
        <f>COUNTIF(AJ80:AX80,"*OK*")</f>
        <v>1</v>
      </c>
      <c r="E80" s="171"/>
      <c r="F80" s="197" t="s">
        <v>360</v>
      </c>
      <c r="G80" s="183" t="s">
        <v>361</v>
      </c>
      <c r="H80" s="351" t="s">
        <v>362</v>
      </c>
      <c r="I80" s="495" t="s">
        <v>329</v>
      </c>
      <c r="J80" s="183"/>
      <c r="K80" s="198" t="s">
        <v>79</v>
      </c>
      <c r="L80" s="183" t="s">
        <v>69</v>
      </c>
      <c r="M80" s="183"/>
      <c r="N80" s="183"/>
      <c r="O80" s="172">
        <v>1362.93</v>
      </c>
      <c r="P80" s="172">
        <v>1354.17</v>
      </c>
      <c r="Q80" s="172">
        <v>1254.71</v>
      </c>
      <c r="R80" s="193">
        <v>1008.74</v>
      </c>
      <c r="S80" s="510">
        <v>1022.3089</v>
      </c>
      <c r="T80" s="554">
        <v>1029.6199999999999</v>
      </c>
      <c r="U80" s="175"/>
      <c r="V80" s="176">
        <v>600</v>
      </c>
      <c r="W80" s="194" t="s">
        <v>70</v>
      </c>
      <c r="X80" s="205" t="s">
        <v>70</v>
      </c>
      <c r="Y80" s="177" t="s">
        <v>363</v>
      </c>
      <c r="Z80" s="178" t="s">
        <v>364</v>
      </c>
      <c r="AA80" s="176" t="s">
        <v>365</v>
      </c>
      <c r="AB80" s="195" t="s">
        <v>65</v>
      </c>
      <c r="AC80" s="179" t="s">
        <v>139</v>
      </c>
      <c r="AD80" s="171"/>
      <c r="AE80" s="171"/>
      <c r="AF80" s="171"/>
      <c r="AG80" s="171"/>
      <c r="AH80" s="171"/>
      <c r="AI80" s="174" t="s">
        <v>127</v>
      </c>
      <c r="AJ80" s="170"/>
      <c r="AK80" s="170" t="s">
        <v>366</v>
      </c>
      <c r="AL80" s="170" t="s">
        <v>367</v>
      </c>
      <c r="AM80" s="170"/>
      <c r="AN80" s="170" t="s">
        <v>368</v>
      </c>
      <c r="AO80" s="170"/>
      <c r="AP80" s="189" t="s">
        <v>111</v>
      </c>
      <c r="AQ80" s="170"/>
      <c r="AR80" s="170" t="s">
        <v>369</v>
      </c>
      <c r="AS80" s="170"/>
      <c r="AT80" s="170"/>
      <c r="AU80" s="170"/>
      <c r="AV80" s="170"/>
      <c r="AW80" s="170"/>
      <c r="AX80" s="170"/>
      <c r="AY80" s="170"/>
      <c r="AZ80" s="180" t="s">
        <v>59</v>
      </c>
      <c r="BA80" s="171">
        <f>(COUNTIF(AJ80:AL80,"*OK*")*3) + (COUNTIF(AM80:AO80,"*OK*")*2) + COUNTIF(AP80:AR80,"*OK*")+COUNTIF(AZ80:AZ80,"SI")*0.5</f>
        <v>1</v>
      </c>
      <c r="BB80" s="171" t="str">
        <f>IF(BA80&lt;0.6,"Demasiado Riesgo",IF(BA80&lt;=5,"Riesgo Medio",IF(BA80&lt;=11,"Riesgo Bajo","Cliente Blindado")))</f>
        <v>Riesgo Medio</v>
      </c>
      <c r="BC80" s="171"/>
      <c r="BD80" s="171"/>
      <c r="BE80" s="171">
        <v>0</v>
      </c>
      <c r="BF80" s="171"/>
      <c r="BG80" s="171"/>
      <c r="BH80" s="171"/>
      <c r="BI80" s="171"/>
      <c r="BJ80" s="171"/>
      <c r="BK80" s="171"/>
      <c r="BL80" s="171"/>
      <c r="BM80" s="171"/>
      <c r="BN80" s="171"/>
      <c r="BO80" s="171"/>
      <c r="BP80" s="171"/>
      <c r="BQ80" s="171"/>
      <c r="BR80" s="171"/>
      <c r="BS80" s="171"/>
      <c r="BT80" s="171"/>
      <c r="BU80" s="171"/>
      <c r="BV80" s="171"/>
      <c r="BW80" s="171"/>
      <c r="BX80" s="171"/>
      <c r="BY80" s="171"/>
      <c r="BZ80" s="171"/>
      <c r="CA80" s="171">
        <f>COUNTIF(AJ80:AX80,"*OK*")</f>
        <v>1</v>
      </c>
      <c r="CB80" s="171"/>
      <c r="CC80" s="171">
        <f>COUNTIF(AJ80:AX80,"*OP*")</f>
        <v>2</v>
      </c>
    </row>
    <row r="81" spans="1:81" ht="14.25" hidden="1" customHeight="1">
      <c r="A81" s="240">
        <v>32312</v>
      </c>
      <c r="B81" s="171" t="s">
        <v>370</v>
      </c>
      <c r="C81" s="468">
        <f>T81</f>
        <v>1247.8900000000001</v>
      </c>
      <c r="D81" s="171">
        <f>COUNTIF(AJ81:AX81,"*OK*")</f>
        <v>0</v>
      </c>
      <c r="E81" s="171"/>
      <c r="F81" s="260" t="s">
        <v>371</v>
      </c>
      <c r="G81" s="183" t="s">
        <v>372</v>
      </c>
      <c r="H81" s="179" t="s">
        <v>373</v>
      </c>
      <c r="I81" s="179"/>
      <c r="J81" s="183"/>
      <c r="K81" s="183" t="s">
        <v>79</v>
      </c>
      <c r="L81" s="183" t="s">
        <v>69</v>
      </c>
      <c r="M81" s="183"/>
      <c r="N81" s="183"/>
      <c r="O81" s="172">
        <v>1044.07</v>
      </c>
      <c r="P81" s="172">
        <v>1388.5</v>
      </c>
      <c r="Q81" s="172">
        <v>1179.6300000000001</v>
      </c>
      <c r="R81" s="193">
        <v>1219.8900000000001</v>
      </c>
      <c r="S81" s="510">
        <v>1217.8143</v>
      </c>
      <c r="T81" s="554">
        <v>1247.8900000000001</v>
      </c>
      <c r="U81" s="175"/>
      <c r="V81" s="176">
        <v>300</v>
      </c>
      <c r="W81" s="194" t="s">
        <v>70</v>
      </c>
      <c r="X81" s="205" t="s">
        <v>70</v>
      </c>
      <c r="Y81" s="177" t="s">
        <v>270</v>
      </c>
      <c r="Z81" s="178" t="s">
        <v>374</v>
      </c>
      <c r="AA81" s="176" t="s">
        <v>202</v>
      </c>
      <c r="AB81" s="195" t="s">
        <v>65</v>
      </c>
      <c r="AC81" s="179" t="s">
        <v>97</v>
      </c>
      <c r="AD81" s="171"/>
      <c r="AE81" s="171"/>
      <c r="AF81" s="171"/>
      <c r="AG81" s="171"/>
      <c r="AH81" s="171"/>
      <c r="AI81" s="174" t="s">
        <v>59</v>
      </c>
      <c r="AJ81" s="170"/>
      <c r="AK81" s="170"/>
      <c r="AL81" s="170"/>
      <c r="AM81" s="170"/>
      <c r="AN81" s="170"/>
      <c r="AO81" s="170"/>
      <c r="AP81" s="170"/>
      <c r="AQ81" s="170"/>
      <c r="AR81" s="170"/>
      <c r="AS81" s="170"/>
      <c r="AT81" s="170"/>
      <c r="AU81" s="170"/>
      <c r="AV81" s="170"/>
      <c r="AW81" s="170"/>
      <c r="AX81" s="170"/>
      <c r="AY81" s="170"/>
      <c r="AZ81" s="180" t="s">
        <v>59</v>
      </c>
      <c r="BA81" s="171">
        <f>(COUNTIF(AJ81:AL81,"*OK*")*3) + (COUNTIF(AM81:AO81,"*OK*")*2) + COUNTIF(AP81:AR81,"*OK*")+COUNTIF(AZ81:AZ81,"SI")*0.5</f>
        <v>0</v>
      </c>
      <c r="BB81" s="171" t="str">
        <f>IF(BA81&lt;0.6,"Demasiado Riesgo",IF(BA81&lt;=5,"Riesgo Medio",IF(BA81&lt;=11,"Riesgo Bajo","Cliente Blindado")))</f>
        <v>Demasiado Riesgo</v>
      </c>
      <c r="BC81" s="171"/>
      <c r="BD81" s="171"/>
      <c r="BE81" s="171">
        <v>0</v>
      </c>
      <c r="BF81" s="171"/>
      <c r="BG81" s="171"/>
      <c r="BH81" s="171"/>
      <c r="BI81" s="171"/>
      <c r="BJ81" s="171"/>
      <c r="BK81" s="171"/>
      <c r="BL81" s="171"/>
      <c r="BM81" s="171"/>
      <c r="BN81" s="171"/>
      <c r="BO81" s="171"/>
      <c r="BP81" s="171"/>
      <c r="BQ81" s="171"/>
      <c r="BR81" s="171"/>
      <c r="BS81" s="171"/>
      <c r="BT81" s="171"/>
      <c r="BU81" s="171"/>
      <c r="BV81" s="171"/>
      <c r="BW81" s="171"/>
      <c r="BX81" s="171"/>
      <c r="BY81" s="171"/>
      <c r="BZ81" s="171"/>
      <c r="CA81" s="171">
        <f>COUNTIF(AJ81:AX81,"*OK*")</f>
        <v>0</v>
      </c>
      <c r="CB81" s="171"/>
      <c r="CC81" s="171">
        <f>COUNTIF(AJ81:AX81,"*OP*")</f>
        <v>0</v>
      </c>
    </row>
    <row r="82" spans="1:81" ht="14.25" hidden="1" customHeight="1">
      <c r="A82" s="504">
        <v>22501</v>
      </c>
      <c r="B82" s="199" t="s">
        <v>375</v>
      </c>
      <c r="C82" s="468">
        <f>T82</f>
        <v>1248.74</v>
      </c>
      <c r="D82" s="160">
        <f>COUNTIF(AJ82:AX82,"*OK*")</f>
        <v>2</v>
      </c>
      <c r="E82" s="160"/>
      <c r="F82" s="259" t="s">
        <v>376</v>
      </c>
      <c r="G82" s="182"/>
      <c r="H82" s="168" t="s">
        <v>377</v>
      </c>
      <c r="I82" s="168"/>
      <c r="J82" s="182"/>
      <c r="K82" s="196" t="s">
        <v>79</v>
      </c>
      <c r="L82" s="182" t="s">
        <v>69</v>
      </c>
      <c r="M82" s="182"/>
      <c r="N82" s="182"/>
      <c r="O82" s="161">
        <v>1167.9000000000001</v>
      </c>
      <c r="P82" s="161">
        <v>1166.83</v>
      </c>
      <c r="Q82" s="161">
        <v>1156.68</v>
      </c>
      <c r="R82" s="186">
        <v>1205.44</v>
      </c>
      <c r="S82" s="510">
        <v>1250.8895</v>
      </c>
      <c r="T82" s="551">
        <v>1248.74</v>
      </c>
      <c r="U82" s="164"/>
      <c r="V82" s="165">
        <v>300</v>
      </c>
      <c r="W82" s="187" t="s">
        <v>187</v>
      </c>
      <c r="X82" s="203" t="s">
        <v>124</v>
      </c>
      <c r="Y82" s="166" t="s">
        <v>80</v>
      </c>
      <c r="Z82" s="167" t="s">
        <v>378</v>
      </c>
      <c r="AA82" s="165" t="s">
        <v>222</v>
      </c>
      <c r="AB82" s="188" t="s">
        <v>104</v>
      </c>
      <c r="AC82" s="168" t="s">
        <v>92</v>
      </c>
      <c r="AD82" s="160"/>
      <c r="AE82" s="160"/>
      <c r="AF82" s="160"/>
      <c r="AG82" s="160"/>
      <c r="AH82" s="160"/>
      <c r="AI82" s="163" t="s">
        <v>127</v>
      </c>
      <c r="AJ82" s="170"/>
      <c r="AK82" s="170"/>
      <c r="AL82" s="189" t="s">
        <v>111</v>
      </c>
      <c r="AM82" s="170"/>
      <c r="AN82" s="189" t="s">
        <v>111</v>
      </c>
      <c r="AO82" s="170"/>
      <c r="AP82" s="170"/>
      <c r="AQ82" s="170"/>
      <c r="AR82" s="170"/>
      <c r="AS82" s="170"/>
      <c r="AT82" s="170"/>
      <c r="AU82" s="170"/>
      <c r="AV82" s="170"/>
      <c r="AW82" s="170"/>
      <c r="AX82" s="170"/>
      <c r="AY82" s="170"/>
      <c r="AZ82" s="169" t="s">
        <v>178</v>
      </c>
      <c r="BA82" s="160">
        <f>(COUNTIF(AJ82:AL82,"*OK*")*3) + (COUNTIF(AM82:AO82,"*OK*")*2) + COUNTIF(AP82:AR82,"*OK*")+COUNTIF(AZ82:AZ82,"SI")*0.5</f>
        <v>5</v>
      </c>
      <c r="BB82" s="160" t="str">
        <f>IF(BA82&lt;0.6,"Demasiado Riesgo",IF(BA82&lt;=5,"Riesgo Medio",IF(BA82&lt;=11,"Riesgo Bajo","Cliente Blindado")))</f>
        <v>Riesgo Medio</v>
      </c>
      <c r="BC82" s="160"/>
      <c r="BD82" s="160"/>
      <c r="BE82" s="160">
        <v>0</v>
      </c>
      <c r="BF82" s="160"/>
      <c r="BG82" s="160"/>
      <c r="BH82" s="160"/>
      <c r="BI82" s="160"/>
      <c r="BJ82" s="160"/>
      <c r="BK82" s="160"/>
      <c r="BL82" s="160"/>
      <c r="BM82" s="160"/>
      <c r="BN82" s="160"/>
      <c r="BO82" s="160"/>
      <c r="BP82" s="160"/>
      <c r="BQ82" s="160"/>
      <c r="BR82" s="160"/>
      <c r="BS82" s="160"/>
      <c r="BT82" s="160"/>
      <c r="BU82" s="160"/>
      <c r="BV82" s="160"/>
      <c r="BW82" s="160"/>
      <c r="BX82" s="160"/>
      <c r="BY82" s="160"/>
      <c r="BZ82" s="160"/>
      <c r="CA82" s="160">
        <f>COUNTIF(AJ82:AX82,"*OK*")</f>
        <v>2</v>
      </c>
      <c r="CB82" s="160"/>
      <c r="CC82" s="160">
        <f>COUNTIF(AJ82:AX82,"*OP*")</f>
        <v>0</v>
      </c>
    </row>
    <row r="83" spans="1:81" ht="14.25" hidden="1" customHeight="1">
      <c r="A83" s="500">
        <v>28668</v>
      </c>
      <c r="B83" s="200" t="s">
        <v>379</v>
      </c>
      <c r="C83" s="468">
        <f>T83</f>
        <v>1265.6199999999999</v>
      </c>
      <c r="D83" s="171">
        <f>COUNTIF(AJ83:AX83,"*OK*")</f>
        <v>0</v>
      </c>
      <c r="E83" s="171"/>
      <c r="F83" s="197" t="s">
        <v>380</v>
      </c>
      <c r="G83" s="183"/>
      <c r="H83" s="179" t="s">
        <v>381</v>
      </c>
      <c r="I83" s="495" t="s">
        <v>329</v>
      </c>
      <c r="J83" s="183"/>
      <c r="K83" s="198" t="s">
        <v>79</v>
      </c>
      <c r="L83" s="183" t="s">
        <v>69</v>
      </c>
      <c r="M83" s="183" t="s">
        <v>284</v>
      </c>
      <c r="N83" s="183"/>
      <c r="O83" s="172">
        <v>1183.75</v>
      </c>
      <c r="P83" s="172">
        <v>1209.71</v>
      </c>
      <c r="Q83" s="172">
        <v>1145.97</v>
      </c>
      <c r="R83" s="193">
        <v>1181.08</v>
      </c>
      <c r="S83" s="510">
        <v>1213.1493</v>
      </c>
      <c r="T83" s="554">
        <v>1265.6199999999999</v>
      </c>
      <c r="U83" s="175"/>
      <c r="V83" s="176">
        <v>200</v>
      </c>
      <c r="W83" s="194" t="s">
        <v>382</v>
      </c>
      <c r="X83" s="177" t="s">
        <v>383</v>
      </c>
      <c r="Y83" s="177" t="s">
        <v>152</v>
      </c>
      <c r="Z83" s="178" t="s">
        <v>384</v>
      </c>
      <c r="AA83" s="176" t="s">
        <v>147</v>
      </c>
      <c r="AB83" s="195" t="s">
        <v>177</v>
      </c>
      <c r="AC83" s="179" t="s">
        <v>97</v>
      </c>
      <c r="AD83" s="171"/>
      <c r="AE83" s="171"/>
      <c r="AF83" s="171"/>
      <c r="AG83" s="171"/>
      <c r="AH83" s="171"/>
      <c r="AI83" s="174" t="s">
        <v>127</v>
      </c>
      <c r="AJ83" s="170"/>
      <c r="AK83" s="170"/>
      <c r="AL83" s="170" t="s">
        <v>385</v>
      </c>
      <c r="AM83" s="170" t="s">
        <v>173</v>
      </c>
      <c r="AN83" s="170"/>
      <c r="AO83" s="170"/>
      <c r="AP83" s="170"/>
      <c r="AQ83" s="170"/>
      <c r="AR83" s="170"/>
      <c r="AS83" s="170"/>
      <c r="AT83" s="170"/>
      <c r="AU83" s="170"/>
      <c r="AV83" s="170"/>
      <c r="AW83" s="170"/>
      <c r="AX83" s="170"/>
      <c r="AY83" s="170"/>
      <c r="AZ83" s="180" t="s">
        <v>59</v>
      </c>
      <c r="BA83" s="171">
        <f>(COUNTIF(AJ83:AL83,"*OK*")*3) + (COUNTIF(AM83:AO83,"*OK*")*2) + COUNTIF(AP83:AR83,"*OK*")+COUNTIF(AZ83:AZ83,"SI")*0.5</f>
        <v>0</v>
      </c>
      <c r="BB83" s="171" t="str">
        <f>IF(BA83&lt;0.6,"Demasiado Riesgo",IF(BA83&lt;=5,"Riesgo Medio",IF(BA83&lt;=11,"Riesgo Bajo","Cliente Blindado")))</f>
        <v>Demasiado Riesgo</v>
      </c>
      <c r="BC83" s="171"/>
      <c r="BD83" s="171"/>
      <c r="BE83" s="171">
        <v>0</v>
      </c>
      <c r="BF83" s="171"/>
      <c r="BG83" s="171"/>
      <c r="BH83" s="171"/>
      <c r="BI83" s="171"/>
      <c r="BJ83" s="171"/>
      <c r="BK83" s="171"/>
      <c r="BL83" s="171"/>
      <c r="BM83" s="171"/>
      <c r="BN83" s="171"/>
      <c r="BO83" s="171"/>
      <c r="BP83" s="171"/>
      <c r="BQ83" s="171"/>
      <c r="BR83" s="171"/>
      <c r="BS83" s="171"/>
      <c r="BT83" s="171"/>
      <c r="BU83" s="171"/>
      <c r="BV83" s="171"/>
      <c r="BW83" s="171"/>
      <c r="BX83" s="171"/>
      <c r="BY83" s="171"/>
      <c r="BZ83" s="171"/>
      <c r="CA83" s="171">
        <f>COUNTIF(AJ83:AX83,"*OK*")</f>
        <v>0</v>
      </c>
      <c r="CB83" s="171"/>
      <c r="CC83" s="171">
        <f>COUNTIF(AJ83:AX83,"*OP*")</f>
        <v>1</v>
      </c>
    </row>
    <row r="84" spans="1:81" ht="14.25" hidden="1" customHeight="1">
      <c r="A84" s="241">
        <v>33731</v>
      </c>
      <c r="B84" s="160" t="s">
        <v>386</v>
      </c>
      <c r="C84" s="468">
        <f>T84</f>
        <v>1419.3</v>
      </c>
      <c r="D84" s="160">
        <f>COUNTIF(AJ84:AX84,"*OK*")</f>
        <v>0</v>
      </c>
      <c r="E84" s="160"/>
      <c r="F84" s="197" t="s">
        <v>387</v>
      </c>
      <c r="G84" s="182"/>
      <c r="H84" s="182" t="s">
        <v>388</v>
      </c>
      <c r="I84" s="495" t="s">
        <v>329</v>
      </c>
      <c r="J84" s="182"/>
      <c r="K84" s="182" t="s">
        <v>79</v>
      </c>
      <c r="L84" s="182" t="s">
        <v>69</v>
      </c>
      <c r="M84" s="182"/>
      <c r="N84" s="182"/>
      <c r="O84" s="161">
        <v>1218.08</v>
      </c>
      <c r="P84" s="161">
        <v>1170.6099999999999</v>
      </c>
      <c r="Q84" s="161">
        <v>1135.45</v>
      </c>
      <c r="R84" s="186">
        <v>1315.65</v>
      </c>
      <c r="S84" s="510">
        <v>1446.5878</v>
      </c>
      <c r="T84" s="551">
        <v>1419.3</v>
      </c>
      <c r="U84" s="164"/>
      <c r="V84" s="165">
        <v>250</v>
      </c>
      <c r="W84" s="187"/>
      <c r="X84" s="203" t="s">
        <v>285</v>
      </c>
      <c r="Y84" s="166" t="s">
        <v>80</v>
      </c>
      <c r="Z84" s="167" t="s">
        <v>389</v>
      </c>
      <c r="AA84" s="165" t="s">
        <v>259</v>
      </c>
      <c r="AB84" s="188" t="s">
        <v>61</v>
      </c>
      <c r="AC84" s="168" t="s">
        <v>97</v>
      </c>
      <c r="AD84" s="160"/>
      <c r="AE84" s="160"/>
      <c r="AF84" s="160"/>
      <c r="AG84" s="160"/>
      <c r="AH84" s="160"/>
      <c r="AI84" s="163" t="s">
        <v>59</v>
      </c>
      <c r="AJ84" s="170"/>
      <c r="AK84" s="170"/>
      <c r="AL84" s="170" t="s">
        <v>173</v>
      </c>
      <c r="AM84" s="170" t="s">
        <v>390</v>
      </c>
      <c r="AN84" s="170"/>
      <c r="AO84" s="170"/>
      <c r="AP84" s="170"/>
      <c r="AQ84" s="170"/>
      <c r="AR84" s="170"/>
      <c r="AS84" s="170"/>
      <c r="AT84" s="170"/>
      <c r="AU84" s="170"/>
      <c r="AV84" s="170"/>
      <c r="AW84" s="170"/>
      <c r="AX84" s="170"/>
      <c r="AY84" s="170"/>
      <c r="AZ84" s="169" t="s">
        <v>59</v>
      </c>
      <c r="BA84" s="160">
        <f>(COUNTIF(AJ84:AL84,"*OK*")*3) + (COUNTIF(AM84:AO84,"*OK*")*2) + COUNTIF(AP84:AR84,"*OK*")+COUNTIF(AZ84:AZ84,"SI")*0.5</f>
        <v>0</v>
      </c>
      <c r="BB84" s="160" t="str">
        <f>IF(BA84&lt;0.6,"Demasiado Riesgo",IF(BA84&lt;=5,"Riesgo Medio",IF(BA84&lt;=11,"Riesgo Bajo","Cliente Blindado")))</f>
        <v>Demasiado Riesgo</v>
      </c>
      <c r="BC84" s="160"/>
      <c r="BD84" s="160"/>
      <c r="BE84" s="160">
        <v>0</v>
      </c>
      <c r="BF84" s="160"/>
      <c r="BG84" s="160"/>
      <c r="BH84" s="160"/>
      <c r="BI84" s="160"/>
      <c r="BJ84" s="160"/>
      <c r="BK84" s="160"/>
      <c r="BL84" s="160"/>
      <c r="BM84" s="160"/>
      <c r="BN84" s="160"/>
      <c r="BO84" s="160"/>
      <c r="BP84" s="160"/>
      <c r="BQ84" s="160"/>
      <c r="BR84" s="160"/>
      <c r="BS84" s="160"/>
      <c r="BT84" s="160"/>
      <c r="BU84" s="160"/>
      <c r="BV84" s="160"/>
      <c r="BW84" s="160"/>
      <c r="BX84" s="160"/>
      <c r="BY84" s="160"/>
      <c r="BZ84" s="160"/>
      <c r="CA84" s="160">
        <f>COUNTIF(AJ84:AX84,"*OK*")</f>
        <v>0</v>
      </c>
      <c r="CB84" s="160"/>
      <c r="CC84" s="160">
        <f>COUNTIF(AJ84:AX84,"*OP*")</f>
        <v>1</v>
      </c>
    </row>
    <row r="85" spans="1:81" ht="14.25" hidden="1" customHeight="1">
      <c r="A85" s="501">
        <v>26102</v>
      </c>
      <c r="B85" s="162" t="s">
        <v>391</v>
      </c>
      <c r="C85" s="468">
        <f>T85</f>
        <v>1467.56</v>
      </c>
      <c r="D85" s="160">
        <f>COUNTIF(AJ85:AX85,"*OK*")</f>
        <v>1</v>
      </c>
      <c r="E85" s="160"/>
      <c r="F85" s="260" t="s">
        <v>392</v>
      </c>
      <c r="G85" s="182" t="s">
        <v>393</v>
      </c>
      <c r="H85" s="182" t="s">
        <v>394</v>
      </c>
      <c r="I85" s="182"/>
      <c r="J85" s="182"/>
      <c r="K85" s="196" t="s">
        <v>79</v>
      </c>
      <c r="L85" s="182" t="s">
        <v>69</v>
      </c>
      <c r="M85" s="182" t="s">
        <v>284</v>
      </c>
      <c r="N85" s="182"/>
      <c r="O85" s="161">
        <v>1244.95</v>
      </c>
      <c r="P85" s="161">
        <v>1189.6099999999999</v>
      </c>
      <c r="Q85" s="161">
        <v>1274.8900000000001</v>
      </c>
      <c r="R85" s="186">
        <v>1289.6199999999999</v>
      </c>
      <c r="S85" s="510">
        <v>1283.7945999999999</v>
      </c>
      <c r="T85" s="553">
        <v>1467.56</v>
      </c>
      <c r="U85" s="164"/>
      <c r="V85" s="165">
        <v>150</v>
      </c>
      <c r="W85" s="187" t="s">
        <v>130</v>
      </c>
      <c r="X85" s="203" t="s">
        <v>285</v>
      </c>
      <c r="Y85" s="166" t="s">
        <v>286</v>
      </c>
      <c r="Z85" s="167" t="s">
        <v>395</v>
      </c>
      <c r="AA85" s="165" t="s">
        <v>222</v>
      </c>
      <c r="AB85" s="188" t="s">
        <v>177</v>
      </c>
      <c r="AC85" s="168" t="s">
        <v>92</v>
      </c>
      <c r="AD85" s="160"/>
      <c r="AE85" s="160"/>
      <c r="AF85" s="160"/>
      <c r="AG85" s="160"/>
      <c r="AH85" s="160"/>
      <c r="AI85" s="167" t="s">
        <v>127</v>
      </c>
      <c r="AJ85" s="170"/>
      <c r="AK85" s="170"/>
      <c r="AL85" s="170"/>
      <c r="AM85" s="170"/>
      <c r="AN85" s="170"/>
      <c r="AO85" s="170"/>
      <c r="AP85" s="189" t="s">
        <v>111</v>
      </c>
      <c r="AQ85" s="170"/>
      <c r="AR85" s="170"/>
      <c r="AS85" s="170"/>
      <c r="AT85" s="170"/>
      <c r="AU85" s="170"/>
      <c r="AV85" s="170"/>
      <c r="AW85" s="170"/>
      <c r="AX85" s="170"/>
      <c r="AY85" s="170"/>
      <c r="AZ85" s="169" t="s">
        <v>127</v>
      </c>
      <c r="BA85" s="160">
        <f>(COUNTIF(AJ85:AL85,"*OK*")*3) + (COUNTIF(AM85:AO85,"*OK*")*2) + COUNTIF(AP85:AR85,"*OK*")+COUNTIF(AZ85:AZ85,"SI")*0.5</f>
        <v>1.5</v>
      </c>
      <c r="BB85" s="160" t="str">
        <f>IF(BA85&lt;0.6,"Demasiado Riesgo",IF(BA85&lt;=5,"Riesgo Medio",IF(BA85&lt;=11,"Riesgo Bajo","Cliente Blindado")))</f>
        <v>Riesgo Medio</v>
      </c>
      <c r="BC85" s="160"/>
      <c r="BD85" s="160"/>
      <c r="BE85" s="160">
        <v>0</v>
      </c>
      <c r="BF85" s="160"/>
      <c r="BG85" s="160"/>
      <c r="BH85" s="160"/>
      <c r="BI85" s="160"/>
      <c r="BJ85" s="160"/>
      <c r="BK85" s="160"/>
      <c r="BL85" s="160"/>
      <c r="BM85" s="160"/>
      <c r="BN85" s="160"/>
      <c r="BO85" s="160"/>
      <c r="BP85" s="160"/>
      <c r="BQ85" s="160"/>
      <c r="BR85" s="160"/>
      <c r="BS85" s="160"/>
      <c r="BT85" s="160"/>
      <c r="BU85" s="160"/>
      <c r="BV85" s="160"/>
      <c r="BW85" s="160"/>
      <c r="BX85" s="160"/>
      <c r="BY85" s="160"/>
      <c r="BZ85" s="160"/>
      <c r="CA85" s="160">
        <f>COUNTIF(AJ85:AX85,"*OK*")</f>
        <v>1</v>
      </c>
      <c r="CB85" s="160"/>
      <c r="CC85" s="160">
        <f>COUNTIF(AJ85:AX85,"*OP*")</f>
        <v>0</v>
      </c>
    </row>
    <row r="86" spans="1:81" s="121" customFormat="1" ht="14.25" hidden="1" customHeight="1">
      <c r="A86" s="240">
        <v>33503</v>
      </c>
      <c r="B86" s="171" t="s">
        <v>396</v>
      </c>
      <c r="C86" s="468">
        <f>T86</f>
        <v>1552.84</v>
      </c>
      <c r="D86" s="171">
        <f>COUNTIF(AJ86:AX86,"*OK*")</f>
        <v>1</v>
      </c>
      <c r="E86" s="171"/>
      <c r="F86" s="350" t="s">
        <v>397</v>
      </c>
      <c r="G86" s="183"/>
      <c r="H86" s="495" t="s">
        <v>398</v>
      </c>
      <c r="I86" s="495" t="s">
        <v>329</v>
      </c>
      <c r="J86" s="183"/>
      <c r="K86" s="198" t="s">
        <v>79</v>
      </c>
      <c r="L86" s="183" t="s">
        <v>69</v>
      </c>
      <c r="M86" s="183"/>
      <c r="N86" s="183" t="s">
        <v>136</v>
      </c>
      <c r="O86" s="172">
        <v>962.87</v>
      </c>
      <c r="P86" s="172">
        <v>961.98</v>
      </c>
      <c r="Q86" s="172">
        <v>1265.51</v>
      </c>
      <c r="R86" s="193">
        <v>1306.25</v>
      </c>
      <c r="S86" s="510">
        <v>1323.8242</v>
      </c>
      <c r="T86" s="554">
        <v>1552.84</v>
      </c>
      <c r="U86" s="175"/>
      <c r="V86" s="176">
        <v>200</v>
      </c>
      <c r="W86" s="194" t="s">
        <v>70</v>
      </c>
      <c r="X86" s="205" t="s">
        <v>70</v>
      </c>
      <c r="Y86" s="177" t="s">
        <v>162</v>
      </c>
      <c r="Z86" s="178" t="s">
        <v>399</v>
      </c>
      <c r="AA86" s="176" t="s">
        <v>162</v>
      </c>
      <c r="AB86" s="195" t="s">
        <v>240</v>
      </c>
      <c r="AC86" s="179" t="s">
        <v>92</v>
      </c>
      <c r="AD86" s="171"/>
      <c r="AE86" s="171"/>
      <c r="AF86" s="171"/>
      <c r="AG86" s="171"/>
      <c r="AH86" s="171"/>
      <c r="AI86" s="180" t="s">
        <v>127</v>
      </c>
      <c r="AJ86" s="170"/>
      <c r="AK86" s="170" t="s">
        <v>400</v>
      </c>
      <c r="AL86" s="170" t="s">
        <v>173</v>
      </c>
      <c r="AM86" s="170" t="s">
        <v>401</v>
      </c>
      <c r="AN86" s="189" t="s">
        <v>111</v>
      </c>
      <c r="AO86" s="170"/>
      <c r="AP86" s="170"/>
      <c r="AQ86" s="170"/>
      <c r="AR86" s="170"/>
      <c r="AS86" s="170"/>
      <c r="AT86" s="170"/>
      <c r="AU86" s="170"/>
      <c r="AV86" s="170"/>
      <c r="AW86" s="170"/>
      <c r="AX86" s="170"/>
      <c r="AY86" s="170"/>
      <c r="AZ86" s="180" t="s">
        <v>178</v>
      </c>
      <c r="BA86" s="171">
        <f>(COUNTIF(AJ86:AL86,"*OK*")*3) + (COUNTIF(AM86:AO86,"*OK*")*2) + COUNTIF(AP86:AR86,"*OK*")+COUNTIF(AZ86:AZ86,"SI")*0.5</f>
        <v>2</v>
      </c>
      <c r="BB86" s="171" t="str">
        <f>IF(BA86&lt;0.6,"Demasiado Riesgo",IF(BA86&lt;=5,"Riesgo Medio",IF(BA86&lt;=11,"Riesgo Bajo","Cliente Blindado")))</f>
        <v>Riesgo Medio</v>
      </c>
      <c r="BC86" s="171"/>
      <c r="BD86" s="171"/>
      <c r="BE86" s="171">
        <v>0</v>
      </c>
      <c r="BF86" s="171"/>
      <c r="BG86" s="171"/>
      <c r="BH86" s="171"/>
      <c r="BI86" s="171"/>
      <c r="BJ86" s="171"/>
      <c r="BK86" s="171"/>
      <c r="BL86" s="171"/>
      <c r="BM86" s="171"/>
      <c r="BN86" s="171"/>
      <c r="BO86" s="171"/>
      <c r="BP86" s="171"/>
      <c r="BQ86" s="171"/>
      <c r="BR86" s="171"/>
      <c r="BS86" s="171"/>
      <c r="BT86" s="171"/>
      <c r="BU86" s="171"/>
      <c r="BV86" s="171"/>
      <c r="BW86" s="171"/>
      <c r="BX86" s="171"/>
      <c r="BY86" s="171"/>
      <c r="BZ86" s="171"/>
      <c r="CA86" s="171">
        <f>COUNTIF(AJ86:AX86,"*OK*")</f>
        <v>1</v>
      </c>
      <c r="CB86" s="171"/>
      <c r="CC86" s="171">
        <f>COUNTIF(AJ86:AX86,"*OP*")</f>
        <v>2</v>
      </c>
    </row>
    <row r="87" spans="1:81" ht="14.25" hidden="1" customHeight="1">
      <c r="A87" s="567">
        <v>31781</v>
      </c>
      <c r="B87" s="173" t="s">
        <v>402</v>
      </c>
      <c r="C87" s="468">
        <f>T87</f>
        <v>1806.37</v>
      </c>
      <c r="D87" s="171">
        <f>COUNTIF(AJ87:AX87,"*OK*")</f>
        <v>0</v>
      </c>
      <c r="E87" s="171"/>
      <c r="F87" s="197" t="s">
        <v>403</v>
      </c>
      <c r="G87" s="183"/>
      <c r="H87" s="495" t="s">
        <v>404</v>
      </c>
      <c r="I87" s="495" t="s">
        <v>283</v>
      </c>
      <c r="J87" s="183"/>
      <c r="K87" s="198" t="s">
        <v>79</v>
      </c>
      <c r="L87" s="183" t="s">
        <v>69</v>
      </c>
      <c r="M87" s="183" t="s">
        <v>284</v>
      </c>
      <c r="N87" s="183"/>
      <c r="O87" s="172">
        <v>2193.2600000000002</v>
      </c>
      <c r="P87" s="172">
        <v>2095.65</v>
      </c>
      <c r="Q87" s="172">
        <v>1721.32</v>
      </c>
      <c r="R87" s="193">
        <v>1776.73</v>
      </c>
      <c r="S87" s="510">
        <v>1831.5446999999999</v>
      </c>
      <c r="T87" s="550">
        <v>1806.37</v>
      </c>
      <c r="U87" s="175"/>
      <c r="V87" s="176">
        <v>300</v>
      </c>
      <c r="W87" s="194" t="s">
        <v>278</v>
      </c>
      <c r="X87" s="205" t="s">
        <v>278</v>
      </c>
      <c r="Y87" s="177" t="s">
        <v>162</v>
      </c>
      <c r="Z87" s="178" t="s">
        <v>405</v>
      </c>
      <c r="AA87" s="176" t="s">
        <v>162</v>
      </c>
      <c r="AB87" s="195" t="s">
        <v>240</v>
      </c>
      <c r="AC87" s="179" t="s">
        <v>97</v>
      </c>
      <c r="AD87" s="171"/>
      <c r="AE87" s="171"/>
      <c r="AF87" s="171"/>
      <c r="AG87" s="171"/>
      <c r="AH87" s="171"/>
      <c r="AI87" s="174" t="s">
        <v>127</v>
      </c>
      <c r="AJ87" s="170"/>
      <c r="AK87" s="170"/>
      <c r="AL87" s="170" t="s">
        <v>406</v>
      </c>
      <c r="AM87" s="170" t="s">
        <v>173</v>
      </c>
      <c r="AN87" s="170" t="s">
        <v>173</v>
      </c>
      <c r="AO87" s="170"/>
      <c r="AP87" s="170"/>
      <c r="AQ87" s="170"/>
      <c r="AR87" s="170"/>
      <c r="AS87" s="170"/>
      <c r="AT87" s="170"/>
      <c r="AU87" s="170"/>
      <c r="AV87" s="170"/>
      <c r="AW87" s="170"/>
      <c r="AX87" s="170"/>
      <c r="AY87" s="170"/>
      <c r="AZ87" s="180" t="s">
        <v>59</v>
      </c>
      <c r="BA87" s="171">
        <f>(COUNTIF(AJ87:AL87,"*OK*")*3) + (COUNTIF(AM87:AO87,"*OK*")*2) + COUNTIF(AP87:AR87,"*OK*")+COUNTIF(AZ87:AZ87,"SI")*0.5</f>
        <v>0</v>
      </c>
      <c r="BB87" s="171" t="str">
        <f>IF(BA87&lt;0.6,"Demasiado Riesgo",IF(BA87&lt;=5,"Riesgo Medio",IF(BA87&lt;=11,"Riesgo Bajo","Cliente Blindado")))</f>
        <v>Demasiado Riesgo</v>
      </c>
      <c r="BC87" s="171"/>
      <c r="BD87" s="171"/>
      <c r="BE87" s="171">
        <v>0</v>
      </c>
      <c r="BF87" s="171"/>
      <c r="BG87" s="171"/>
      <c r="BH87" s="171"/>
      <c r="BI87" s="171"/>
      <c r="BJ87" s="171"/>
      <c r="BK87" s="171"/>
      <c r="BL87" s="171"/>
      <c r="BM87" s="171"/>
      <c r="BN87" s="171"/>
      <c r="BO87" s="171"/>
      <c r="BP87" s="171"/>
      <c r="BQ87" s="171"/>
      <c r="BR87" s="171"/>
      <c r="BS87" s="171"/>
      <c r="BT87" s="171"/>
      <c r="BU87" s="171"/>
      <c r="BV87" s="171"/>
      <c r="BW87" s="171"/>
      <c r="BX87" s="171"/>
      <c r="BY87" s="171"/>
      <c r="BZ87" s="171"/>
      <c r="CA87" s="171">
        <f>COUNTIF(AJ87:AX87,"*OK*")</f>
        <v>0</v>
      </c>
      <c r="CB87" s="171"/>
      <c r="CC87" s="171">
        <f>COUNTIF(AJ87:AX87,"*OP*")</f>
        <v>3</v>
      </c>
    </row>
    <row r="88" spans="1:81" s="204" customFormat="1" ht="14.25" hidden="1" customHeight="1">
      <c r="A88" s="501">
        <v>31120</v>
      </c>
      <c r="B88" s="162" t="s">
        <v>407</v>
      </c>
      <c r="C88" s="468">
        <f>T88</f>
        <v>2021.82</v>
      </c>
      <c r="D88" s="160">
        <f>COUNTIF(AJ88:AX88,"*OK*")</f>
        <v>2</v>
      </c>
      <c r="E88" s="160"/>
      <c r="F88" s="259" t="s">
        <v>408</v>
      </c>
      <c r="G88" s="182" t="s">
        <v>409</v>
      </c>
      <c r="H88" s="168" t="s">
        <v>410</v>
      </c>
      <c r="I88" s="168"/>
      <c r="J88" s="182"/>
      <c r="K88" s="196" t="s">
        <v>79</v>
      </c>
      <c r="L88" s="182" t="s">
        <v>69</v>
      </c>
      <c r="M88" s="182"/>
      <c r="N88" s="182"/>
      <c r="O88" s="161">
        <v>1653.11</v>
      </c>
      <c r="P88" s="161">
        <v>2016.69</v>
      </c>
      <c r="Q88" s="161">
        <v>1954.18</v>
      </c>
      <c r="R88" s="186">
        <v>2017.09</v>
      </c>
      <c r="S88" s="510">
        <v>2044.2294999999999</v>
      </c>
      <c r="T88" s="551">
        <v>2021.82</v>
      </c>
      <c r="U88" s="164"/>
      <c r="V88" s="165">
        <v>800</v>
      </c>
      <c r="W88" s="187" t="s">
        <v>70</v>
      </c>
      <c r="X88" s="166" t="s">
        <v>70</v>
      </c>
      <c r="Y88" s="166" t="s">
        <v>363</v>
      </c>
      <c r="Z88" s="167" t="s">
        <v>411</v>
      </c>
      <c r="AA88" s="165" t="s">
        <v>412</v>
      </c>
      <c r="AB88" s="188" t="s">
        <v>65</v>
      </c>
      <c r="AC88" s="168" t="s">
        <v>97</v>
      </c>
      <c r="AD88" s="160"/>
      <c r="AE88" s="160"/>
      <c r="AF88" s="160"/>
      <c r="AG88" s="160"/>
      <c r="AH88" s="160"/>
      <c r="AI88" s="167" t="s">
        <v>127</v>
      </c>
      <c r="AJ88" s="170"/>
      <c r="AK88" s="170"/>
      <c r="AL88" s="170"/>
      <c r="AM88" s="170"/>
      <c r="AN88" s="170"/>
      <c r="AO88" s="189" t="s">
        <v>111</v>
      </c>
      <c r="AP88" s="189" t="s">
        <v>111</v>
      </c>
      <c r="AQ88" s="170"/>
      <c r="AR88" s="170"/>
      <c r="AS88" s="170"/>
      <c r="AT88" s="170"/>
      <c r="AU88" s="170"/>
      <c r="AV88" s="170"/>
      <c r="AW88" s="170"/>
      <c r="AX88" s="170"/>
      <c r="AY88" s="170"/>
      <c r="AZ88" s="167" t="s">
        <v>178</v>
      </c>
      <c r="BA88" s="160">
        <f>(COUNTIF(AJ88:AL88,"*OK*")*3) + (COUNTIF(AM88:AO88,"*OK*")*2) + COUNTIF(AP88:AR88,"*OK*")+COUNTIF(AZ88:AZ88,"SI")*0.5</f>
        <v>3</v>
      </c>
      <c r="BB88" s="160" t="str">
        <f>IF(BA88&lt;0.6,"Demasiado Riesgo",IF(BA88&lt;=5,"Riesgo Medio",IF(BA88&lt;=11,"Riesgo Bajo","Cliente Blindado")))</f>
        <v>Riesgo Medio</v>
      </c>
      <c r="BC88" s="160"/>
      <c r="BD88" s="160"/>
      <c r="BE88" s="160">
        <v>0</v>
      </c>
      <c r="BF88" s="160"/>
      <c r="BG88" s="160"/>
      <c r="BH88" s="160"/>
      <c r="BI88" s="160"/>
      <c r="BJ88" s="160"/>
      <c r="BK88" s="160"/>
      <c r="BL88" s="160"/>
      <c r="BM88" s="160"/>
      <c r="BN88" s="160"/>
      <c r="BO88" s="160"/>
      <c r="BP88" s="160"/>
      <c r="BQ88" s="160"/>
      <c r="BR88" s="160"/>
      <c r="BS88" s="160"/>
      <c r="BT88" s="160"/>
      <c r="BU88" s="160"/>
      <c r="BV88" s="160"/>
      <c r="BW88" s="160"/>
      <c r="BX88" s="160"/>
      <c r="BY88" s="160"/>
      <c r="BZ88" s="160"/>
      <c r="CA88" s="160">
        <f>COUNTIF(AJ88:AX88,"*OK*")</f>
        <v>2</v>
      </c>
      <c r="CB88" s="160"/>
      <c r="CC88" s="160">
        <f>COUNTIF(AJ88:AX88,"*OP*")</f>
        <v>0</v>
      </c>
    </row>
    <row r="89" spans="1:81" ht="14.25" hidden="1" customHeight="1">
      <c r="A89" s="240">
        <v>32725</v>
      </c>
      <c r="B89" s="171" t="s">
        <v>413</v>
      </c>
      <c r="C89" s="468">
        <f>T89</f>
        <v>3838.96</v>
      </c>
      <c r="D89" s="171">
        <f>COUNTIF(AJ89:AX89,"*OK*")</f>
        <v>1</v>
      </c>
      <c r="E89" s="171"/>
      <c r="F89" s="191" t="s">
        <v>414</v>
      </c>
      <c r="G89" s="183" t="s">
        <v>415</v>
      </c>
      <c r="H89" s="179" t="s">
        <v>416</v>
      </c>
      <c r="I89" s="179"/>
      <c r="J89" s="183"/>
      <c r="K89" s="192" t="s">
        <v>79</v>
      </c>
      <c r="L89" s="183" t="s">
        <v>69</v>
      </c>
      <c r="M89" s="183" t="s">
        <v>284</v>
      </c>
      <c r="N89" s="183" t="s">
        <v>136</v>
      </c>
      <c r="O89" s="172">
        <v>1621.79</v>
      </c>
      <c r="P89" s="172">
        <v>1899.63</v>
      </c>
      <c r="Q89" s="172">
        <v>2064.25</v>
      </c>
      <c r="R89" s="193">
        <v>2613.52</v>
      </c>
      <c r="S89" s="510">
        <v>2817.7265000000002</v>
      </c>
      <c r="T89" s="554">
        <v>3838.96</v>
      </c>
      <c r="U89" s="175"/>
      <c r="V89" s="176">
        <v>500</v>
      </c>
      <c r="W89" s="194" t="s">
        <v>70</v>
      </c>
      <c r="X89" s="177" t="s">
        <v>70</v>
      </c>
      <c r="Y89" s="177" t="s">
        <v>162</v>
      </c>
      <c r="Z89" s="178" t="s">
        <v>417</v>
      </c>
      <c r="AA89" s="176" t="s">
        <v>162</v>
      </c>
      <c r="AB89" s="195" t="s">
        <v>65</v>
      </c>
      <c r="AC89" s="179" t="s">
        <v>97</v>
      </c>
      <c r="AD89" s="171"/>
      <c r="AE89" s="171"/>
      <c r="AF89" s="171"/>
      <c r="AG89" s="171"/>
      <c r="AH89" s="171"/>
      <c r="AI89" s="180" t="s">
        <v>127</v>
      </c>
      <c r="AJ89" s="170"/>
      <c r="AK89" s="170"/>
      <c r="AL89" s="170"/>
      <c r="AM89" s="170"/>
      <c r="AN89" s="170" t="s">
        <v>418</v>
      </c>
      <c r="AO89" s="170"/>
      <c r="AP89" s="170"/>
      <c r="AQ89" s="170"/>
      <c r="AR89" s="170"/>
      <c r="AS89" s="170"/>
      <c r="AT89" s="170"/>
      <c r="AU89" s="170"/>
      <c r="AV89" s="170"/>
      <c r="AW89" s="170"/>
      <c r="AX89" s="170"/>
      <c r="AY89" s="170"/>
      <c r="AZ89" s="180" t="s">
        <v>59</v>
      </c>
      <c r="BA89" s="171">
        <f>(COUNTIF(AJ89:AL89,"*OK*")*3) + (COUNTIF(AM89:AO89,"*OK*")*2) + COUNTIF(AP89:AR89,"*OK*")+COUNTIF(AZ89:AZ89,"SI")*0.5</f>
        <v>2</v>
      </c>
      <c r="BB89" s="171" t="str">
        <f>IF(BA89&lt;0.6,"Demasiado Riesgo",IF(BA89&lt;=5,"Riesgo Medio",IF(BA89&lt;=11,"Riesgo Bajo","Cliente Blindado")))</f>
        <v>Riesgo Medio</v>
      </c>
      <c r="BC89" s="171"/>
      <c r="BD89" s="171"/>
      <c r="BE89" s="171">
        <v>0</v>
      </c>
      <c r="BF89" s="171"/>
      <c r="BG89" s="171"/>
      <c r="BH89" s="171"/>
      <c r="BI89" s="171"/>
      <c r="BJ89" s="171"/>
      <c r="BK89" s="171"/>
      <c r="BL89" s="171"/>
      <c r="BM89" s="171"/>
      <c r="BN89" s="171"/>
      <c r="BO89" s="171"/>
      <c r="BP89" s="171"/>
      <c r="BQ89" s="171"/>
      <c r="BR89" s="171"/>
      <c r="BS89" s="171"/>
      <c r="BT89" s="171"/>
      <c r="BU89" s="171"/>
      <c r="BV89" s="171"/>
      <c r="BW89" s="171"/>
      <c r="BX89" s="171"/>
      <c r="BY89" s="171"/>
      <c r="BZ89" s="171"/>
      <c r="CA89" s="171">
        <f>COUNTIF(AJ89:AX89,"*OK*")</f>
        <v>1</v>
      </c>
      <c r="CB89" s="171"/>
      <c r="CC89" s="171">
        <f>COUNTIF(AJ89:AX89,"*OP*")</f>
        <v>0</v>
      </c>
    </row>
    <row r="90" spans="1:81" s="121" customFormat="1" ht="14.25" hidden="1" customHeight="1">
      <c r="A90" s="241">
        <v>29157</v>
      </c>
      <c r="B90" s="160" t="s">
        <v>419</v>
      </c>
      <c r="C90" s="468">
        <f>T90</f>
        <v>5804.78</v>
      </c>
      <c r="D90" s="160">
        <v>1</v>
      </c>
      <c r="E90" s="160"/>
      <c r="F90" s="184" t="s">
        <v>420</v>
      </c>
      <c r="G90" s="182" t="s">
        <v>421</v>
      </c>
      <c r="H90" s="168"/>
      <c r="I90" s="168"/>
      <c r="J90" s="182"/>
      <c r="K90" s="185" t="s">
        <v>79</v>
      </c>
      <c r="L90" s="182" t="s">
        <v>69</v>
      </c>
      <c r="M90" s="182" t="s">
        <v>284</v>
      </c>
      <c r="N90" s="182" t="s">
        <v>422</v>
      </c>
      <c r="O90" s="161">
        <v>2440.36</v>
      </c>
      <c r="P90" s="161">
        <v>3186.1</v>
      </c>
      <c r="Q90" s="161">
        <v>4304.34</v>
      </c>
      <c r="R90" s="186">
        <v>4411.6400000000003</v>
      </c>
      <c r="S90" s="510">
        <v>4070.0877999999998</v>
      </c>
      <c r="T90" s="553">
        <v>5804.78</v>
      </c>
      <c r="U90" s="164"/>
      <c r="V90" s="165">
        <v>5000</v>
      </c>
      <c r="W90" s="187" t="s">
        <v>70</v>
      </c>
      <c r="X90" s="166" t="s">
        <v>70</v>
      </c>
      <c r="Y90" s="166" t="s">
        <v>270</v>
      </c>
      <c r="Z90" s="167" t="s">
        <v>423</v>
      </c>
      <c r="AA90" s="165" t="s">
        <v>118</v>
      </c>
      <c r="AB90" s="188" t="s">
        <v>65</v>
      </c>
      <c r="AC90" s="168" t="s">
        <v>97</v>
      </c>
      <c r="AD90" s="160"/>
      <c r="AE90" s="160"/>
      <c r="AF90" s="160"/>
      <c r="AG90" s="160"/>
      <c r="AH90" s="160"/>
      <c r="AI90" s="167" t="s">
        <v>127</v>
      </c>
      <c r="AJ90" s="170"/>
      <c r="AK90" s="170"/>
      <c r="AL90" s="590" t="s">
        <v>424</v>
      </c>
      <c r="AM90" s="170" t="s">
        <v>418</v>
      </c>
      <c r="AN90" s="170"/>
      <c r="AO90" s="170"/>
      <c r="AP90" s="170"/>
      <c r="AQ90" s="170"/>
      <c r="AR90" s="170"/>
      <c r="AS90" s="170"/>
      <c r="AT90" s="170"/>
      <c r="AU90" s="170"/>
      <c r="AV90" s="170"/>
      <c r="AW90" s="170"/>
      <c r="AX90" s="170"/>
      <c r="AY90" s="190" t="s">
        <v>425</v>
      </c>
      <c r="AZ90" s="167" t="s">
        <v>178</v>
      </c>
      <c r="BA90" s="160">
        <f>(COUNTIF(AJ90:AL90,"*OK*")*3) + (COUNTIF(AM90:AO90,"*OK*")*2) + COUNTIF(AP90:AR90,"*OK*")+COUNTIF(AZ90:AZ90,"SI")*0.5</f>
        <v>2</v>
      </c>
      <c r="BB90" s="160" t="str">
        <f>IF(BA90&lt;0.6,"Demasiado Riesgo",IF(BA90&lt;=5,"Riesgo Medio",IF(BA90&lt;=11,"Riesgo Bajo","Cliente Blindado")))</f>
        <v>Riesgo Medio</v>
      </c>
      <c r="BC90" s="160"/>
      <c r="BD90" s="160"/>
      <c r="BE90" s="160">
        <v>0</v>
      </c>
      <c r="BF90" s="160"/>
      <c r="BG90" s="160"/>
      <c r="BH90" s="160"/>
      <c r="BI90" s="160"/>
      <c r="BJ90" s="160"/>
      <c r="BK90" s="160"/>
      <c r="BL90" s="160"/>
      <c r="BM90" s="160"/>
      <c r="BN90" s="160"/>
      <c r="BO90" s="160"/>
      <c r="BP90" s="160"/>
      <c r="BQ90" s="160"/>
      <c r="BR90" s="160"/>
      <c r="BS90" s="160"/>
      <c r="BT90" s="160"/>
      <c r="BU90" s="160"/>
      <c r="BV90" s="160"/>
      <c r="BW90" s="160"/>
      <c r="BX90" s="160"/>
      <c r="BY90" s="160"/>
      <c r="BZ90" s="160"/>
      <c r="CA90" s="160">
        <f>COUNTIF(AJ90:AX90,"*OK*")</f>
        <v>1</v>
      </c>
      <c r="CB90" s="160"/>
      <c r="CC90" s="160">
        <f>COUNTIF(AJ90:AX90,"*OP*")</f>
        <v>1</v>
      </c>
    </row>
    <row r="91" spans="1:81" s="121" customFormat="1" ht="14.25" hidden="1" customHeight="1">
      <c r="A91" s="501">
        <v>21190</v>
      </c>
      <c r="B91" s="162" t="s">
        <v>426</v>
      </c>
      <c r="C91" s="468" t="str">
        <f>T91</f>
        <v> </v>
      </c>
      <c r="D91" s="160">
        <f>COUNTIF(AJ91:AX91,"*OK*")</f>
        <v>0</v>
      </c>
      <c r="E91" s="160"/>
      <c r="F91" s="201" t="s">
        <v>427</v>
      </c>
      <c r="G91" s="182"/>
      <c r="H91" s="168"/>
      <c r="I91" s="168"/>
      <c r="J91" s="182"/>
      <c r="K91" s="196" t="s">
        <v>79</v>
      </c>
      <c r="L91" s="182" t="s">
        <v>69</v>
      </c>
      <c r="M91" s="182"/>
      <c r="N91" s="182" t="s">
        <v>136</v>
      </c>
      <c r="O91" s="161">
        <v>659.8</v>
      </c>
      <c r="P91" s="161">
        <v>659.2</v>
      </c>
      <c r="Q91" s="161">
        <v>628.21</v>
      </c>
      <c r="R91" s="186">
        <v>648.42999999999995</v>
      </c>
      <c r="S91" s="510">
        <v>657.15179999999998</v>
      </c>
      <c r="T91" s="551" t="s">
        <v>59</v>
      </c>
      <c r="U91" s="164"/>
      <c r="V91" s="165">
        <v>200</v>
      </c>
      <c r="W91" s="187" t="s">
        <v>70</v>
      </c>
      <c r="X91" s="166" t="s">
        <v>70</v>
      </c>
      <c r="Y91" s="166" t="s">
        <v>80</v>
      </c>
      <c r="Z91" s="167" t="s">
        <v>428</v>
      </c>
      <c r="AA91" s="165" t="s">
        <v>222</v>
      </c>
      <c r="AB91" s="188" t="s">
        <v>119</v>
      </c>
      <c r="AC91" s="168" t="s">
        <v>92</v>
      </c>
      <c r="AD91" s="160"/>
      <c r="AE91" s="160"/>
      <c r="AF91" s="160"/>
      <c r="AG91" s="160"/>
      <c r="AH91" s="160"/>
      <c r="AI91" s="169" t="s">
        <v>59</v>
      </c>
      <c r="AJ91" s="170"/>
      <c r="AK91" s="170"/>
      <c r="AL91" s="170"/>
      <c r="AM91" s="170"/>
      <c r="AN91" s="170"/>
      <c r="AO91" s="170"/>
      <c r="AP91" s="170"/>
      <c r="AQ91" s="170"/>
      <c r="AR91" s="170"/>
      <c r="AS91" s="170"/>
      <c r="AT91" s="170"/>
      <c r="AU91" s="170"/>
      <c r="AV91" s="170"/>
      <c r="AW91" s="170"/>
      <c r="AX91" s="170"/>
      <c r="AY91" s="170"/>
      <c r="AZ91" s="167" t="s">
        <v>59</v>
      </c>
      <c r="BA91" s="160">
        <f>(COUNTIF(AJ91:AL91,"*OK*")*3) + (COUNTIF(AM91:AO91,"*OK*")*2) + COUNTIF(AP91:AR91,"*OK*")+COUNTIF(AZ91:AZ91,"SI")*0.5</f>
        <v>0</v>
      </c>
      <c r="BB91" s="160" t="str">
        <f>IF(BA91&lt;0.6,"Demasiado Riesgo",IF(BA91&lt;=5,"Riesgo Medio",IF(BA91&lt;=11,"Riesgo Bajo","Cliente Blindado")))</f>
        <v>Demasiado Riesgo</v>
      </c>
      <c r="BC91" s="160"/>
      <c r="BD91" s="160"/>
      <c r="BE91" s="160">
        <v>0</v>
      </c>
      <c r="BF91" s="160"/>
      <c r="BG91" s="160"/>
      <c r="BH91" s="160"/>
      <c r="BI91" s="160"/>
      <c r="BJ91" s="160"/>
      <c r="BK91" s="160"/>
      <c r="BL91" s="160"/>
      <c r="BM91" s="160"/>
      <c r="BN91" s="160"/>
      <c r="BO91" s="160"/>
      <c r="BP91" s="160"/>
      <c r="BQ91" s="160"/>
      <c r="BR91" s="160"/>
      <c r="BS91" s="160"/>
      <c r="BT91" s="160"/>
      <c r="BU91" s="160"/>
      <c r="BV91" s="160"/>
      <c r="BW91" s="160"/>
      <c r="BX91" s="160"/>
      <c r="BY91" s="160"/>
      <c r="BZ91" s="160"/>
      <c r="CA91" s="160">
        <f>COUNTIF(AJ91:AX91,"*OK*")</f>
        <v>0</v>
      </c>
      <c r="CB91" s="160"/>
      <c r="CC91" s="160">
        <f>COUNTIF(AJ91:AX91,"*OP*")</f>
        <v>0</v>
      </c>
    </row>
    <row r="92" spans="1:81" ht="14.25" hidden="1" customHeight="1">
      <c r="A92" s="500">
        <v>23536</v>
      </c>
      <c r="B92" s="173" t="s">
        <v>429</v>
      </c>
      <c r="C92" s="468" t="str">
        <f>T92</f>
        <v> </v>
      </c>
      <c r="D92" s="171">
        <f>COUNTIF(AJ92:AX92,"*OK*")</f>
        <v>0</v>
      </c>
      <c r="E92" s="171"/>
      <c r="F92" s="183" t="s">
        <v>430</v>
      </c>
      <c r="G92" s="183"/>
      <c r="H92" s="179"/>
      <c r="I92" s="179"/>
      <c r="J92" s="183"/>
      <c r="K92" s="198" t="s">
        <v>79</v>
      </c>
      <c r="L92" s="183" t="s">
        <v>69</v>
      </c>
      <c r="M92" s="183"/>
      <c r="N92" s="183" t="s">
        <v>136</v>
      </c>
      <c r="O92" s="172">
        <v>537.37</v>
      </c>
      <c r="P92" s="172">
        <v>514.5</v>
      </c>
      <c r="Q92" s="172">
        <v>511.94</v>
      </c>
      <c r="R92" s="193">
        <v>524.11</v>
      </c>
      <c r="S92" s="510">
        <v>536.78340000000003</v>
      </c>
      <c r="T92" s="550" t="s">
        <v>59</v>
      </c>
      <c r="U92" s="175"/>
      <c r="V92" s="176">
        <v>300</v>
      </c>
      <c r="W92" s="194"/>
      <c r="X92" s="177" t="s">
        <v>247</v>
      </c>
      <c r="Y92" s="177" t="s">
        <v>80</v>
      </c>
      <c r="Z92" s="178" t="s">
        <v>431</v>
      </c>
      <c r="AA92" s="176" t="s">
        <v>59</v>
      </c>
      <c r="AB92" s="195" t="s">
        <v>65</v>
      </c>
      <c r="AC92" s="179" t="s">
        <v>84</v>
      </c>
      <c r="AD92" s="171"/>
      <c r="AE92" s="171"/>
      <c r="AF92" s="171"/>
      <c r="AG92" s="171"/>
      <c r="AH92" s="171"/>
      <c r="AI92" s="174" t="s">
        <v>59</v>
      </c>
      <c r="AJ92" s="170"/>
      <c r="AK92" s="170"/>
      <c r="AL92" s="170"/>
      <c r="AM92" s="170"/>
      <c r="AN92" s="170"/>
      <c r="AO92" s="170"/>
      <c r="AP92" s="170"/>
      <c r="AQ92" s="170"/>
      <c r="AR92" s="170"/>
      <c r="AS92" s="170"/>
      <c r="AT92" s="170"/>
      <c r="AU92" s="170"/>
      <c r="AV92" s="170"/>
      <c r="AW92" s="170"/>
      <c r="AX92" s="170"/>
      <c r="AY92" s="170"/>
      <c r="AZ92" s="178" t="s">
        <v>59</v>
      </c>
      <c r="BA92" s="171">
        <f>(COUNTIF(AJ92:AL92,"*OK*")*3) + (COUNTIF(AM92:AO92,"*OK*")*2) + COUNTIF(AP92:AR92,"*OK*")+COUNTIF(AZ92:AZ92,"SI")*0.5</f>
        <v>0</v>
      </c>
      <c r="BB92" s="171" t="str">
        <f>IF(BA92&lt;0.6,"Demasiado Riesgo",IF(BA92&lt;=5,"Riesgo Medio",IF(BA92&lt;=11,"Riesgo Bajo","Cliente Blindado")))</f>
        <v>Demasiado Riesgo</v>
      </c>
      <c r="BC92" s="171"/>
      <c r="BD92" s="171"/>
      <c r="BE92" s="171">
        <v>0</v>
      </c>
      <c r="BF92" s="171"/>
      <c r="BG92" s="171"/>
      <c r="BH92" s="171"/>
      <c r="BI92" s="171"/>
      <c r="BJ92" s="171"/>
      <c r="BK92" s="171"/>
      <c r="BL92" s="171"/>
      <c r="BM92" s="171"/>
      <c r="BN92" s="171"/>
      <c r="BO92" s="171"/>
      <c r="BP92" s="171"/>
      <c r="BQ92" s="171"/>
      <c r="BR92" s="171"/>
      <c r="BS92" s="171"/>
      <c r="BT92" s="171"/>
      <c r="BU92" s="171"/>
      <c r="BV92" s="171"/>
      <c r="BW92" s="171"/>
      <c r="BX92" s="171"/>
      <c r="BY92" s="171"/>
      <c r="BZ92" s="171"/>
      <c r="CA92" s="171">
        <f>COUNTIF(AJ92:AX92,"*OK*")</f>
        <v>0</v>
      </c>
      <c r="CB92" s="171"/>
      <c r="CC92" s="171">
        <f>COUNTIF(AJ92:AX92,"*OP*")</f>
        <v>0</v>
      </c>
    </row>
    <row r="93" spans="1:81" ht="14.25" hidden="1" customHeight="1">
      <c r="A93" s="241">
        <v>30258</v>
      </c>
      <c r="B93" s="160" t="s">
        <v>432</v>
      </c>
      <c r="C93" s="468" t="str">
        <f>T93</f>
        <v> </v>
      </c>
      <c r="D93" s="160">
        <f>COUNTIF(AJ93:AX93,"*OK*")</f>
        <v>0</v>
      </c>
      <c r="E93" s="160"/>
      <c r="F93" s="182" t="s">
        <v>433</v>
      </c>
      <c r="G93" s="182"/>
      <c r="H93" s="168"/>
      <c r="I93" s="168"/>
      <c r="J93" s="182"/>
      <c r="K93" s="196" t="s">
        <v>68</v>
      </c>
      <c r="L93" s="182" t="s">
        <v>69</v>
      </c>
      <c r="M93" s="182"/>
      <c r="N93" s="182"/>
      <c r="O93" s="161">
        <v>396.91</v>
      </c>
      <c r="P93" s="161">
        <v>327.45</v>
      </c>
      <c r="Q93" s="161">
        <v>343.55</v>
      </c>
      <c r="R93" s="186">
        <v>369.39</v>
      </c>
      <c r="S93" s="510">
        <v>353.39260000000002</v>
      </c>
      <c r="T93" s="550" t="s">
        <v>59</v>
      </c>
      <c r="U93" s="164"/>
      <c r="V93" s="165">
        <v>200</v>
      </c>
      <c r="W93" s="187" t="s">
        <v>70</v>
      </c>
      <c r="X93" s="207" t="s">
        <v>70</v>
      </c>
      <c r="Y93" s="166" t="s">
        <v>152</v>
      </c>
      <c r="Z93" s="167" t="s">
        <v>434</v>
      </c>
      <c r="AA93" s="165" t="s">
        <v>132</v>
      </c>
      <c r="AB93" s="188" t="s">
        <v>65</v>
      </c>
      <c r="AC93" s="168" t="s">
        <v>92</v>
      </c>
      <c r="AD93" s="160"/>
      <c r="AE93" s="160"/>
      <c r="AF93" s="160"/>
      <c r="AG93" s="160"/>
      <c r="AH93" s="160"/>
      <c r="AI93" s="167" t="s">
        <v>59</v>
      </c>
      <c r="AJ93" s="170"/>
      <c r="AK93" s="170"/>
      <c r="AL93" s="170"/>
      <c r="AM93" s="170"/>
      <c r="AN93" s="170"/>
      <c r="AO93" s="170"/>
      <c r="AP93" s="170"/>
      <c r="AQ93" s="170"/>
      <c r="AR93" s="170"/>
      <c r="AS93" s="170"/>
      <c r="AT93" s="170"/>
      <c r="AU93" s="170"/>
      <c r="AV93" s="170"/>
      <c r="AW93" s="170"/>
      <c r="AX93" s="170"/>
      <c r="AY93" s="170"/>
      <c r="AZ93" s="167" t="s">
        <v>59</v>
      </c>
      <c r="BA93" s="160">
        <f>(COUNTIF(AJ93:AL93,"*OK*")*3) + (COUNTIF(AM93:AO93,"*OK*")*2) + COUNTIF(AP93:AR93,"*OK*")+COUNTIF(AZ93:AZ93,"SI")*0.5</f>
        <v>0</v>
      </c>
      <c r="BB93" s="160" t="str">
        <f>IF(BA93&lt;0.6,"Demasiado Riesgo",IF(BA93&lt;=5,"Riesgo Medio",IF(BA93&lt;=11,"Riesgo Bajo","Cliente Blindado")))</f>
        <v>Demasiado Riesgo</v>
      </c>
      <c r="BC93" s="160"/>
      <c r="BD93" s="160"/>
      <c r="BE93" s="160">
        <v>0</v>
      </c>
      <c r="BF93" s="160"/>
      <c r="BG93" s="160"/>
      <c r="BH93" s="160"/>
      <c r="BI93" s="160"/>
      <c r="BJ93" s="160"/>
      <c r="BK93" s="160"/>
      <c r="BL93" s="160"/>
      <c r="BM93" s="160"/>
      <c r="BN93" s="160"/>
      <c r="BO93" s="160"/>
      <c r="BP93" s="160"/>
      <c r="BQ93" s="160"/>
      <c r="BR93" s="160"/>
      <c r="BS93" s="160"/>
      <c r="BT93" s="160"/>
      <c r="BU93" s="160"/>
      <c r="BV93" s="160"/>
      <c r="BW93" s="160"/>
      <c r="BX93" s="160"/>
      <c r="BY93" s="160"/>
      <c r="BZ93" s="160"/>
      <c r="CA93" s="160">
        <f>COUNTIF(AJ93:AX93,"*OK*")</f>
        <v>0</v>
      </c>
      <c r="CB93" s="160"/>
      <c r="CC93" s="160">
        <f>COUNTIF(AJ93:AX93,"*OP*")</f>
        <v>0</v>
      </c>
    </row>
    <row r="94" spans="1:81" ht="14.25" hidden="1" customHeight="1">
      <c r="A94" s="240">
        <v>6508</v>
      </c>
      <c r="B94" s="171"/>
      <c r="C94" s="468" t="str">
        <f>T94</f>
        <v> </v>
      </c>
      <c r="D94" s="171">
        <f>COUNTIF(AJ94:AX94,"*OK*")</f>
        <v>0</v>
      </c>
      <c r="E94" s="171"/>
      <c r="F94" s="191" t="s">
        <v>435</v>
      </c>
      <c r="G94" s="183"/>
      <c r="H94" s="179"/>
      <c r="I94" s="179"/>
      <c r="J94" s="183"/>
      <c r="K94" s="192" t="s">
        <v>68</v>
      </c>
      <c r="L94" s="183" t="s">
        <v>69</v>
      </c>
      <c r="M94" s="183"/>
      <c r="N94" s="183"/>
      <c r="O94" s="172">
        <v>139.43</v>
      </c>
      <c r="P94" s="172">
        <v>134.02000000000001</v>
      </c>
      <c r="Q94" s="172">
        <v>119.67</v>
      </c>
      <c r="R94" s="193">
        <v>158</v>
      </c>
      <c r="S94" s="510"/>
      <c r="T94" s="551" t="s">
        <v>59</v>
      </c>
      <c r="U94" s="175"/>
      <c r="V94" s="176">
        <v>100</v>
      </c>
      <c r="W94" s="194"/>
      <c r="X94" s="211" t="s">
        <v>70</v>
      </c>
      <c r="Y94" s="177" t="s">
        <v>80</v>
      </c>
      <c r="Z94" s="178" t="s">
        <v>436</v>
      </c>
      <c r="AA94" s="176" t="s">
        <v>59</v>
      </c>
      <c r="AB94" s="195" t="s">
        <v>104</v>
      </c>
      <c r="AC94" s="179"/>
      <c r="AD94" s="171"/>
      <c r="AE94" s="171"/>
      <c r="AF94" s="171"/>
      <c r="AG94" s="171"/>
      <c r="AH94" s="171"/>
      <c r="AI94" s="178" t="s">
        <v>59</v>
      </c>
      <c r="AJ94" s="216"/>
      <c r="AK94" s="216"/>
      <c r="AL94" s="216"/>
      <c r="AM94" s="216"/>
      <c r="AN94" s="216"/>
      <c r="AO94" s="216"/>
      <c r="AP94" s="216"/>
      <c r="AQ94" s="216"/>
      <c r="AR94" s="216"/>
      <c r="AS94" s="216"/>
      <c r="AT94" s="216"/>
      <c r="AU94" s="216"/>
      <c r="AV94" s="216"/>
      <c r="AW94" s="216"/>
      <c r="AX94" s="216"/>
      <c r="AY94" s="216"/>
      <c r="AZ94" s="178" t="s">
        <v>59</v>
      </c>
      <c r="BA94" s="171">
        <f>(COUNTIF(AJ94:AL94,"*OK*")*3) + (COUNTIF(AM94:AO94,"*OK*")*2) + COUNTIF(AP94:AR94,"*OK*")+COUNTIF(AZ94:AZ94,"SI")*0.5</f>
        <v>0</v>
      </c>
      <c r="BB94" s="171" t="str">
        <f>IF(BA94&lt;0.6,"Demasiado Riesgo",IF(BA94&lt;=5,"Riesgo Medio",IF(BA94&lt;=11,"Riesgo Bajo","Cliente Blindado")))</f>
        <v>Demasiado Riesgo</v>
      </c>
      <c r="BC94" s="171"/>
      <c r="BD94" s="171"/>
      <c r="BE94" s="171">
        <v>0</v>
      </c>
      <c r="BF94" s="171"/>
      <c r="BG94" s="171"/>
      <c r="BH94" s="171"/>
      <c r="BI94" s="171"/>
      <c r="BJ94" s="171"/>
      <c r="BK94" s="171"/>
      <c r="BL94" s="171"/>
      <c r="BM94" s="171"/>
      <c r="BN94" s="171"/>
      <c r="BO94" s="171"/>
      <c r="BP94" s="171"/>
      <c r="BQ94" s="171"/>
      <c r="BR94" s="171"/>
      <c r="BS94" s="171"/>
      <c r="BT94" s="171"/>
      <c r="BU94" s="171"/>
      <c r="BV94" s="171"/>
      <c r="BW94" s="171"/>
      <c r="BX94" s="171"/>
      <c r="BY94" s="171"/>
      <c r="BZ94" s="171"/>
      <c r="CA94" s="171">
        <f>COUNTIF(AJ94:AX94,"*OK*")</f>
        <v>0</v>
      </c>
      <c r="CB94" s="171"/>
      <c r="CC94" s="171">
        <f>COUNTIF(AJ94:AX94,"*OP*")</f>
        <v>0</v>
      </c>
    </row>
    <row r="95" spans="1:81" s="121" customFormat="1" ht="14.25" hidden="1" customHeight="1">
      <c r="A95" s="500"/>
      <c r="B95" s="173"/>
      <c r="C95" s="468" t="str">
        <f>T95</f>
        <v> </v>
      </c>
      <c r="D95" s="171">
        <f>COUNTIF(AJ95:AX95,"*OK*")</f>
        <v>0</v>
      </c>
      <c r="E95" s="171"/>
      <c r="F95" s="183" t="s">
        <v>437</v>
      </c>
      <c r="G95" s="183"/>
      <c r="H95" s="179"/>
      <c r="I95" s="179"/>
      <c r="J95" s="183"/>
      <c r="K95" s="192" t="s">
        <v>68</v>
      </c>
      <c r="L95" s="183" t="s">
        <v>69</v>
      </c>
      <c r="M95" s="183"/>
      <c r="N95" s="183"/>
      <c r="O95" s="172">
        <v>474.29</v>
      </c>
      <c r="P95" s="172">
        <v>465.59</v>
      </c>
      <c r="Q95" s="172">
        <v>425.32</v>
      </c>
      <c r="R95" s="193">
        <v>0</v>
      </c>
      <c r="S95" s="510"/>
      <c r="T95" s="550" t="s">
        <v>59</v>
      </c>
      <c r="U95" s="175"/>
      <c r="V95" s="176">
        <v>300</v>
      </c>
      <c r="W95" s="194"/>
      <c r="X95" s="211" t="s">
        <v>70</v>
      </c>
      <c r="Y95" s="177" t="s">
        <v>95</v>
      </c>
      <c r="Z95" s="178" t="s">
        <v>438</v>
      </c>
      <c r="AA95" s="176" t="s">
        <v>59</v>
      </c>
      <c r="AB95" s="195" t="s">
        <v>65</v>
      </c>
      <c r="AC95" s="179" t="s">
        <v>84</v>
      </c>
      <c r="AD95" s="171"/>
      <c r="AE95" s="171"/>
      <c r="AF95" s="171"/>
      <c r="AG95" s="171"/>
      <c r="AH95" s="171"/>
      <c r="AI95" s="180" t="s">
        <v>59</v>
      </c>
      <c r="AJ95" s="170"/>
      <c r="AK95" s="170"/>
      <c r="AL95" s="170"/>
      <c r="AM95" s="170"/>
      <c r="AN95" s="170"/>
      <c r="AO95" s="170"/>
      <c r="AP95" s="170"/>
      <c r="AQ95" s="170"/>
      <c r="AR95" s="170"/>
      <c r="AS95" s="170"/>
      <c r="AT95" s="170"/>
      <c r="AU95" s="170"/>
      <c r="AV95" s="170"/>
      <c r="AW95" s="170"/>
      <c r="AX95" s="170"/>
      <c r="AY95" s="170"/>
      <c r="AZ95" s="180" t="s">
        <v>59</v>
      </c>
      <c r="BA95" s="171">
        <f>(COUNTIF(AJ95:AL95,"*OK*")*3) + (COUNTIF(AM95:AO95,"*OK*")*2) + COUNTIF(AP95:AR95,"*OK*")+COUNTIF(AZ95:AZ95,"SI")*0.5</f>
        <v>0</v>
      </c>
      <c r="BB95" s="171" t="str">
        <f>IF(BA95&lt;0.6,"Demasiado Riesgo",IF(BA95&lt;=5,"Riesgo Medio",IF(BA95&lt;=11,"Riesgo Bajo","Cliente Blindado")))</f>
        <v>Demasiado Riesgo</v>
      </c>
      <c r="BC95" s="171"/>
      <c r="BD95" s="171"/>
      <c r="BE95" s="171">
        <v>0</v>
      </c>
      <c r="BF95" s="171"/>
      <c r="BG95" s="171"/>
      <c r="BH95" s="171"/>
      <c r="BI95" s="171"/>
      <c r="BJ95" s="171"/>
      <c r="BK95" s="171"/>
      <c r="BL95" s="171"/>
      <c r="BM95" s="171"/>
      <c r="BN95" s="171"/>
      <c r="BO95" s="171"/>
      <c r="BP95" s="171"/>
      <c r="BQ95" s="171"/>
      <c r="BR95" s="171"/>
      <c r="BS95" s="171"/>
      <c r="BT95" s="171"/>
      <c r="BU95" s="171"/>
      <c r="BV95" s="171"/>
      <c r="BW95" s="171"/>
      <c r="BX95" s="171"/>
      <c r="BY95" s="171"/>
      <c r="BZ95" s="171"/>
      <c r="CA95" s="171">
        <f>COUNTIF(AJ95:AX95,"*OK*")</f>
        <v>0</v>
      </c>
      <c r="CB95" s="171"/>
      <c r="CC95" s="171">
        <f>COUNTIF(AJ95:AX95,"*OP*")</f>
        <v>0</v>
      </c>
    </row>
    <row r="96" spans="1:81" s="121" customFormat="1" ht="14.25" hidden="1" customHeight="1">
      <c r="A96" s="241"/>
      <c r="B96" s="160"/>
      <c r="C96" s="468" t="str">
        <f>T96</f>
        <v> </v>
      </c>
      <c r="D96" s="160">
        <f>COUNTIF(AJ96:AX96,"*OK*")</f>
        <v>0</v>
      </c>
      <c r="E96" s="160"/>
      <c r="F96" s="182" t="s">
        <v>439</v>
      </c>
      <c r="G96" s="182" t="s">
        <v>63</v>
      </c>
      <c r="H96" s="168"/>
      <c r="I96" s="168"/>
      <c r="J96" s="182"/>
      <c r="K96" s="196" t="s">
        <v>68</v>
      </c>
      <c r="L96" s="182" t="s">
        <v>69</v>
      </c>
      <c r="M96" s="182"/>
      <c r="N96" s="182"/>
      <c r="O96" s="161">
        <v>21.94</v>
      </c>
      <c r="P96" s="161">
        <v>24.11</v>
      </c>
      <c r="Q96" s="161">
        <v>25.06</v>
      </c>
      <c r="R96" s="186">
        <v>25.87</v>
      </c>
      <c r="S96" s="510">
        <v>28.403700000000001</v>
      </c>
      <c r="T96" s="551" t="s">
        <v>59</v>
      </c>
      <c r="U96" s="164"/>
      <c r="V96" s="165">
        <v>50</v>
      </c>
      <c r="W96" s="187"/>
      <c r="X96" s="207" t="s">
        <v>70</v>
      </c>
      <c r="Y96" s="166" t="s">
        <v>71</v>
      </c>
      <c r="Z96" s="167" t="s">
        <v>76</v>
      </c>
      <c r="AA96" s="165" t="s">
        <v>59</v>
      </c>
      <c r="AB96" s="188" t="s">
        <v>65</v>
      </c>
      <c r="AC96" s="168"/>
      <c r="AD96" s="160"/>
      <c r="AE96" s="160"/>
      <c r="AF96" s="160"/>
      <c r="AG96" s="160"/>
      <c r="AH96" s="160"/>
      <c r="AI96" s="163" t="s">
        <v>59</v>
      </c>
      <c r="AJ96" s="214"/>
      <c r="AK96" s="214"/>
      <c r="AL96" s="214"/>
      <c r="AM96" s="214"/>
      <c r="AN96" s="214"/>
      <c r="AO96" s="214"/>
      <c r="AP96" s="214"/>
      <c r="AQ96" s="214"/>
      <c r="AR96" s="214"/>
      <c r="AS96" s="214"/>
      <c r="AT96" s="214"/>
      <c r="AU96" s="214"/>
      <c r="AV96" s="214"/>
      <c r="AW96" s="214"/>
      <c r="AX96" s="214"/>
      <c r="AY96" s="214"/>
      <c r="AZ96" s="167" t="s">
        <v>59</v>
      </c>
      <c r="BA96" s="160">
        <f>(COUNTIF(AJ96:AL96,"*OK*")*3) + (COUNTIF(AM96:AO96,"*OK*")*2) + COUNTIF(AP96:AR96,"*OK*")+COUNTIF(AZ96:AZ96,"SI")*0.5</f>
        <v>0</v>
      </c>
      <c r="BB96" s="160" t="str">
        <f>IF(BA96&lt;0.6,"Demasiado Riesgo",IF(BA96&lt;=5,"Riesgo Medio",IF(BA96&lt;=11,"Riesgo Bajo","Cliente Blindado")))</f>
        <v>Demasiado Riesgo</v>
      </c>
      <c r="BC96" s="160"/>
      <c r="BD96" s="160"/>
      <c r="BE96" s="160">
        <v>0</v>
      </c>
      <c r="BF96" s="160"/>
      <c r="BG96" s="160"/>
      <c r="BH96" s="160"/>
      <c r="BI96" s="160"/>
      <c r="BJ96" s="160"/>
      <c r="BK96" s="160"/>
      <c r="BL96" s="160"/>
      <c r="BM96" s="160"/>
      <c r="BN96" s="160"/>
      <c r="BO96" s="160"/>
      <c r="BP96" s="160"/>
      <c r="BQ96" s="160"/>
      <c r="BR96" s="160"/>
      <c r="BS96" s="160"/>
      <c r="BT96" s="160"/>
      <c r="BU96" s="160"/>
      <c r="BV96" s="160"/>
      <c r="BW96" s="160"/>
      <c r="BX96" s="160"/>
      <c r="BY96" s="160"/>
      <c r="BZ96" s="160"/>
      <c r="CA96" s="160">
        <f>COUNTIF(AJ96:AX96,"*OK*")</f>
        <v>0</v>
      </c>
      <c r="CB96" s="160"/>
      <c r="CC96" s="160">
        <f>COUNTIF(AJ96:AX96,"*OP*")</f>
        <v>0</v>
      </c>
    </row>
    <row r="97" spans="1:81" s="121" customFormat="1" ht="14.25" hidden="1" customHeight="1">
      <c r="A97" s="501"/>
      <c r="B97" s="162"/>
      <c r="C97" s="468" t="str">
        <f>T97</f>
        <v> </v>
      </c>
      <c r="D97" s="160">
        <f>COUNTIF(AJ97:AX97,"*OK*")</f>
        <v>0</v>
      </c>
      <c r="E97" s="160"/>
      <c r="F97" s="182" t="s">
        <v>440</v>
      </c>
      <c r="G97" s="182" t="s">
        <v>63</v>
      </c>
      <c r="H97" s="168"/>
      <c r="I97" s="168"/>
      <c r="J97" s="182"/>
      <c r="K97" s="185" t="s">
        <v>68</v>
      </c>
      <c r="L97" s="182" t="s">
        <v>69</v>
      </c>
      <c r="M97" s="182"/>
      <c r="N97" s="182"/>
      <c r="O97" s="161">
        <v>14.55</v>
      </c>
      <c r="P97" s="161">
        <v>15.86</v>
      </c>
      <c r="Q97" s="161">
        <v>15.12</v>
      </c>
      <c r="R97" s="186">
        <v>13</v>
      </c>
      <c r="S97" s="510">
        <v>0</v>
      </c>
      <c r="T97" s="551" t="s">
        <v>59</v>
      </c>
      <c r="U97" s="164"/>
      <c r="V97" s="165">
        <v>50</v>
      </c>
      <c r="W97" s="187"/>
      <c r="X97" s="166" t="s">
        <v>441</v>
      </c>
      <c r="Y97" s="166" t="s">
        <v>125</v>
      </c>
      <c r="Z97" s="167" t="s">
        <v>442</v>
      </c>
      <c r="AA97" s="165" t="s">
        <v>59</v>
      </c>
      <c r="AB97" s="188" t="s">
        <v>65</v>
      </c>
      <c r="AC97" s="168"/>
      <c r="AD97" s="160"/>
      <c r="AE97" s="160"/>
      <c r="AF97" s="160"/>
      <c r="AG97" s="160"/>
      <c r="AH97" s="160"/>
      <c r="AI97" s="167" t="s">
        <v>59</v>
      </c>
      <c r="AJ97" s="214"/>
      <c r="AK97" s="214"/>
      <c r="AL97" s="217"/>
      <c r="AM97" s="214"/>
      <c r="AN97" s="214"/>
      <c r="AO97" s="214"/>
      <c r="AP97" s="214"/>
      <c r="AQ97" s="214"/>
      <c r="AR97" s="214"/>
      <c r="AS97" s="214"/>
      <c r="AT97" s="214"/>
      <c r="AU97" s="214"/>
      <c r="AV97" s="214"/>
      <c r="AW97" s="214"/>
      <c r="AX97" s="214"/>
      <c r="AY97" s="214"/>
      <c r="AZ97" s="167" t="s">
        <v>59</v>
      </c>
      <c r="BA97" s="160">
        <f>(COUNTIF(AJ97:AL97,"*OK*")*3) + (COUNTIF(AM97:AO97,"*OK*")*2) + COUNTIF(AP97:AR97,"*OK*")+COUNTIF(AZ97:AZ97,"SI")*0.5</f>
        <v>0</v>
      </c>
      <c r="BB97" s="160" t="str">
        <f>IF(BA97&lt;0.6,"Demasiado Riesgo",IF(BA97&lt;=5,"Riesgo Medio",IF(BA97&lt;=11,"Riesgo Bajo","Cliente Blindado")))</f>
        <v>Demasiado Riesgo</v>
      </c>
      <c r="BC97" s="160"/>
      <c r="BD97" s="160"/>
      <c r="BE97" s="160">
        <v>0</v>
      </c>
      <c r="BF97" s="160"/>
      <c r="BG97" s="160"/>
      <c r="BH97" s="160"/>
      <c r="BI97" s="160"/>
      <c r="BJ97" s="160"/>
      <c r="BK97" s="160"/>
      <c r="BL97" s="160"/>
      <c r="BM97" s="160"/>
      <c r="BN97" s="160"/>
      <c r="BO97" s="160"/>
      <c r="BP97" s="160"/>
      <c r="BQ97" s="160"/>
      <c r="BR97" s="160"/>
      <c r="BS97" s="160"/>
      <c r="BT97" s="160"/>
      <c r="BU97" s="160"/>
      <c r="BV97" s="160"/>
      <c r="BW97" s="160"/>
      <c r="BX97" s="160"/>
      <c r="BY97" s="160"/>
      <c r="BZ97" s="160"/>
      <c r="CA97" s="160">
        <f>COUNTIF(AJ97:AX97,"*OK*")</f>
        <v>0</v>
      </c>
      <c r="CB97" s="160"/>
      <c r="CC97" s="160">
        <f>COUNTIF(AJ97:AX97,"*OP*")</f>
        <v>0</v>
      </c>
    </row>
    <row r="98" spans="1:81" s="121" customFormat="1" ht="14.25" hidden="1" customHeight="1">
      <c r="A98" s="241"/>
      <c r="B98" s="160"/>
      <c r="C98" s="468" t="str">
        <f>T98</f>
        <v> </v>
      </c>
      <c r="D98" s="160">
        <f>COUNTIF(AJ98:AX98,"*OK*")</f>
        <v>0</v>
      </c>
      <c r="E98" s="160"/>
      <c r="F98" s="182" t="s">
        <v>443</v>
      </c>
      <c r="G98" s="182" t="s">
        <v>63</v>
      </c>
      <c r="H98" s="168"/>
      <c r="I98" s="168"/>
      <c r="J98" s="182"/>
      <c r="K98" s="196" t="s">
        <v>68</v>
      </c>
      <c r="L98" s="182" t="s">
        <v>69</v>
      </c>
      <c r="M98" s="182"/>
      <c r="N98" s="182"/>
      <c r="O98" s="161">
        <v>4.3899999999999997</v>
      </c>
      <c r="P98" s="161">
        <v>6.58</v>
      </c>
      <c r="Q98" s="161">
        <v>6.27</v>
      </c>
      <c r="R98" s="186">
        <v>10.78</v>
      </c>
      <c r="S98" s="510">
        <v>8.7395999999999994</v>
      </c>
      <c r="T98" s="551" t="s">
        <v>59</v>
      </c>
      <c r="U98" s="164"/>
      <c r="V98" s="165">
        <v>50</v>
      </c>
      <c r="W98" s="187"/>
      <c r="X98" s="207" t="s">
        <v>70</v>
      </c>
      <c r="Y98" s="166" t="s">
        <v>71</v>
      </c>
      <c r="Z98" s="167" t="s">
        <v>76</v>
      </c>
      <c r="AA98" s="165" t="s">
        <v>59</v>
      </c>
      <c r="AB98" s="188" t="s">
        <v>65</v>
      </c>
      <c r="AC98" s="168"/>
      <c r="AD98" s="160"/>
      <c r="AE98" s="160"/>
      <c r="AF98" s="160"/>
      <c r="AG98" s="160"/>
      <c r="AH98" s="160"/>
      <c r="AI98" s="169" t="s">
        <v>59</v>
      </c>
      <c r="AJ98" s="214"/>
      <c r="AK98" s="214"/>
      <c r="AL98" s="214"/>
      <c r="AM98" s="214"/>
      <c r="AN98" s="214"/>
      <c r="AO98" s="214"/>
      <c r="AP98" s="214"/>
      <c r="AQ98" s="214"/>
      <c r="AR98" s="214"/>
      <c r="AS98" s="214"/>
      <c r="AT98" s="214"/>
      <c r="AU98" s="214"/>
      <c r="AV98" s="214"/>
      <c r="AW98" s="214"/>
      <c r="AX98" s="214"/>
      <c r="AY98" s="214"/>
      <c r="AZ98" s="169" t="s">
        <v>59</v>
      </c>
      <c r="BA98" s="160">
        <f>(COUNTIF(AJ98:AL98,"*OK*")*3) + (COUNTIF(AM98:AO98,"*OK*")*2) + COUNTIF(AP98:AR98,"*OK*")+COUNTIF(AZ98:AZ98,"SI")*0.5</f>
        <v>0</v>
      </c>
      <c r="BB98" s="160" t="str">
        <f>IF(BA98&lt;0.6,"Demasiado Riesgo",IF(BA98&lt;=5,"Riesgo Medio",IF(BA98&lt;=11,"Riesgo Bajo","Cliente Blindado")))</f>
        <v>Demasiado Riesgo</v>
      </c>
      <c r="BC98" s="160"/>
      <c r="BD98" s="160"/>
      <c r="BE98" s="160">
        <v>0</v>
      </c>
      <c r="BF98" s="160"/>
      <c r="BG98" s="160"/>
      <c r="BH98" s="160"/>
      <c r="BI98" s="160"/>
      <c r="BJ98" s="160"/>
      <c r="BK98" s="160"/>
      <c r="BL98" s="160"/>
      <c r="BM98" s="160"/>
      <c r="BN98" s="160"/>
      <c r="BO98" s="160"/>
      <c r="BP98" s="160"/>
      <c r="BQ98" s="160"/>
      <c r="BR98" s="160"/>
      <c r="BS98" s="160"/>
      <c r="BT98" s="160"/>
      <c r="BU98" s="160"/>
      <c r="BV98" s="160"/>
      <c r="BW98" s="160"/>
      <c r="BX98" s="160"/>
      <c r="BY98" s="160"/>
      <c r="BZ98" s="160"/>
      <c r="CA98" s="160">
        <f>COUNTIF(AJ98:AX98,"*OK*")</f>
        <v>0</v>
      </c>
      <c r="CB98" s="160"/>
      <c r="CC98" s="160">
        <f>COUNTIF(AJ98:AX98,"*OP*")</f>
        <v>0</v>
      </c>
    </row>
    <row r="99" spans="1:81" s="121" customFormat="1" ht="14.25" hidden="1" customHeight="1">
      <c r="A99" s="241">
        <v>35510</v>
      </c>
      <c r="B99" s="160"/>
      <c r="C99" s="468">
        <f>T99</f>
        <v>848.49</v>
      </c>
      <c r="D99" s="160">
        <f>COUNTIF(AJ99:AX99,"*OK*")</f>
        <v>0</v>
      </c>
      <c r="E99" s="160"/>
      <c r="F99" s="184" t="s">
        <v>444</v>
      </c>
      <c r="G99" s="182"/>
      <c r="H99" s="168" t="s">
        <v>445</v>
      </c>
      <c r="I99" s="168"/>
      <c r="J99" s="182"/>
      <c r="K99" s="185" t="s">
        <v>79</v>
      </c>
      <c r="L99" s="182" t="s">
        <v>446</v>
      </c>
      <c r="M99" s="182"/>
      <c r="N99" s="182"/>
      <c r="O99" s="161">
        <v>783.05</v>
      </c>
      <c r="P99" s="161">
        <v>782.34</v>
      </c>
      <c r="Q99" s="161">
        <v>745.56</v>
      </c>
      <c r="R99" s="186">
        <v>859.34</v>
      </c>
      <c r="S99" s="510">
        <v>816.30529999999999</v>
      </c>
      <c r="T99" s="553">
        <v>848.49</v>
      </c>
      <c r="U99" s="164"/>
      <c r="V99" s="165">
        <v>200</v>
      </c>
      <c r="W99" s="187"/>
      <c r="X99" s="203" t="s">
        <v>70</v>
      </c>
      <c r="Y99" s="166" t="s">
        <v>302</v>
      </c>
      <c r="Z99" s="167" t="s">
        <v>447</v>
      </c>
      <c r="AA99" s="165" t="s">
        <v>59</v>
      </c>
      <c r="AB99" s="188" t="s">
        <v>65</v>
      </c>
      <c r="AC99" s="168"/>
      <c r="AD99" s="160"/>
      <c r="AE99" s="160"/>
      <c r="AF99" s="160"/>
      <c r="AG99" s="160"/>
      <c r="AH99" s="160"/>
      <c r="AI99" s="167" t="s">
        <v>59</v>
      </c>
      <c r="AJ99" s="170"/>
      <c r="AK99" s="170"/>
      <c r="AL99" s="170"/>
      <c r="AM99" s="170"/>
      <c r="AN99" s="170"/>
      <c r="AO99" s="170"/>
      <c r="AP99" s="170"/>
      <c r="AQ99" s="170"/>
      <c r="AR99" s="170"/>
      <c r="AS99" s="170"/>
      <c r="AT99" s="170"/>
      <c r="AU99" s="170"/>
      <c r="AV99" s="170"/>
      <c r="AW99" s="170"/>
      <c r="AX99" s="170"/>
      <c r="AY99" s="170"/>
      <c r="AZ99" s="167" t="s">
        <v>59</v>
      </c>
      <c r="BA99" s="160">
        <f>(COUNTIF(AJ99:AL99,"*OK*")*3) + (COUNTIF(AM99:AO99,"*OK*")*2) + COUNTIF(AP99:AR99,"*OK*")+COUNTIF(AZ99:AZ99,"SI")*0.5</f>
        <v>0</v>
      </c>
      <c r="BB99" s="160" t="str">
        <f>IF(BA99&lt;0.6,"Demasiado Riesgo",IF(BA99&lt;=5,"Riesgo Medio",IF(BA99&lt;=11,"Riesgo Bajo","Cliente Blindado")))</f>
        <v>Demasiado Riesgo</v>
      </c>
      <c r="BC99" s="160"/>
      <c r="BD99" s="160"/>
      <c r="BE99" s="160">
        <v>0</v>
      </c>
      <c r="BF99" s="160"/>
      <c r="BG99" s="160"/>
      <c r="BH99" s="160"/>
      <c r="BI99" s="160"/>
      <c r="BJ99" s="160"/>
      <c r="BK99" s="160"/>
      <c r="BL99" s="160"/>
      <c r="BM99" s="160"/>
      <c r="BN99" s="160"/>
      <c r="BO99" s="160"/>
      <c r="BP99" s="160"/>
      <c r="BQ99" s="160"/>
      <c r="BR99" s="160"/>
      <c r="BS99" s="160"/>
      <c r="BT99" s="160"/>
      <c r="BU99" s="160"/>
      <c r="BV99" s="160"/>
      <c r="BW99" s="160"/>
      <c r="BX99" s="160"/>
      <c r="BY99" s="160"/>
      <c r="BZ99" s="160"/>
      <c r="CA99" s="160">
        <f>COUNTIF(AJ99:AX99,"*OK*")</f>
        <v>0</v>
      </c>
      <c r="CB99" s="160"/>
      <c r="CC99" s="160">
        <f>COUNTIF(AJ99:AX99,"*OP*")</f>
        <v>0</v>
      </c>
    </row>
    <row r="100" spans="1:81" ht="15" hidden="1" customHeight="1">
      <c r="A100" s="241">
        <v>37050</v>
      </c>
      <c r="B100" s="160"/>
      <c r="C100" s="468">
        <f>T100</f>
        <v>110.56</v>
      </c>
      <c r="D100" s="160">
        <f>COUNTIF(AJ100:AX100,"*OK*")</f>
        <v>0</v>
      </c>
      <c r="E100" s="160"/>
      <c r="F100" s="262" t="s">
        <v>448</v>
      </c>
      <c r="G100" s="182"/>
      <c r="H100" s="168"/>
      <c r="I100" s="168"/>
      <c r="J100" s="182"/>
      <c r="K100" s="185" t="s">
        <v>68</v>
      </c>
      <c r="L100" s="182" t="s">
        <v>449</v>
      </c>
      <c r="M100" s="182"/>
      <c r="N100" s="182"/>
      <c r="O100" s="161"/>
      <c r="P100" s="161"/>
      <c r="Q100" s="161">
        <v>323.07</v>
      </c>
      <c r="R100" s="186">
        <v>20.52</v>
      </c>
      <c r="S100" s="510">
        <v>119.5861</v>
      </c>
      <c r="T100" s="551">
        <v>110.56</v>
      </c>
      <c r="U100" s="164"/>
      <c r="V100" s="165">
        <v>500</v>
      </c>
      <c r="W100" s="187"/>
      <c r="X100" s="203" t="s">
        <v>70</v>
      </c>
      <c r="Y100" s="166" t="s">
        <v>95</v>
      </c>
      <c r="Z100" s="167" t="s">
        <v>450</v>
      </c>
      <c r="AA100" s="165" t="s">
        <v>451</v>
      </c>
      <c r="AB100" s="167" t="s">
        <v>267</v>
      </c>
      <c r="AC100" s="168"/>
      <c r="AD100" s="160"/>
      <c r="AE100" s="160"/>
      <c r="AF100" s="160"/>
      <c r="AG100" s="160"/>
      <c r="AH100" s="160"/>
      <c r="AI100" s="167" t="s">
        <v>59</v>
      </c>
      <c r="AJ100" s="170"/>
      <c r="AK100" s="170"/>
      <c r="AL100" s="170"/>
      <c r="AM100" s="170"/>
      <c r="AN100" s="170"/>
      <c r="AO100" s="170"/>
      <c r="AP100" s="170"/>
      <c r="AQ100" s="170"/>
      <c r="AR100" s="170"/>
      <c r="AS100" s="170"/>
      <c r="AT100" s="170"/>
      <c r="AU100" s="170"/>
      <c r="AV100" s="170"/>
      <c r="AW100" s="170"/>
      <c r="AX100" s="170"/>
      <c r="AY100" s="170"/>
      <c r="AZ100" s="167" t="s">
        <v>59</v>
      </c>
      <c r="BA100" s="160">
        <f>(COUNTIF(AJ100:AL100,"*OK*")*3) + (COUNTIF(AM100:AO100,"*OK*")*2) + COUNTIF(AP100:AR100,"*OK*")+COUNTIF(AZ100:AZ100,"SI")*0.5</f>
        <v>0</v>
      </c>
      <c r="BB100" s="160" t="str">
        <f>IF(BA100&lt;0.6,"Demasiado Riesgo",IF(BA100&lt;=5,"Riesgo Medio",IF(BA100&lt;=11,"Riesgo Bajo","Cliente Blindado")))</f>
        <v>Demasiado Riesgo</v>
      </c>
      <c r="BC100" s="160"/>
      <c r="BD100" s="160"/>
      <c r="BE100" s="160">
        <v>0</v>
      </c>
      <c r="BF100" s="160"/>
      <c r="BG100" s="160"/>
      <c r="BH100" s="160"/>
      <c r="BI100" s="160"/>
      <c r="BJ100" s="160"/>
      <c r="BK100" s="160"/>
      <c r="BL100" s="160"/>
      <c r="BM100" s="160"/>
      <c r="BN100" s="160"/>
      <c r="BO100" s="160"/>
      <c r="BP100" s="160"/>
      <c r="BQ100" s="160"/>
      <c r="BR100" s="160"/>
      <c r="BS100" s="160"/>
      <c r="BT100" s="160"/>
      <c r="BU100" s="160"/>
      <c r="BV100" s="160"/>
      <c r="BW100" s="160"/>
      <c r="BX100" s="160"/>
      <c r="BY100" s="160"/>
      <c r="BZ100" s="160"/>
      <c r="CA100" s="160">
        <f>COUNTIF(AJ100:AX100,"*OK*")</f>
        <v>0</v>
      </c>
      <c r="CB100" s="160"/>
      <c r="CC100" s="160">
        <f>COUNTIF(AJ100:AX100,"*OP*")</f>
        <v>0</v>
      </c>
    </row>
    <row r="101" spans="1:81" s="121" customFormat="1" ht="15" hidden="1" customHeight="1">
      <c r="A101" s="240">
        <v>36821</v>
      </c>
      <c r="B101" s="171"/>
      <c r="C101" s="468">
        <f>T101</f>
        <v>251.81</v>
      </c>
      <c r="D101" s="171">
        <f>COUNTIF(AJ101:AX101,"*OK*")</f>
        <v>0</v>
      </c>
      <c r="E101" s="171"/>
      <c r="F101" s="183" t="s">
        <v>452</v>
      </c>
      <c r="G101" s="183"/>
      <c r="H101" s="179"/>
      <c r="I101" s="179"/>
      <c r="J101" s="183"/>
      <c r="K101" s="192" t="s">
        <v>68</v>
      </c>
      <c r="L101" s="183" t="s">
        <v>449</v>
      </c>
      <c r="M101" s="183"/>
      <c r="N101" s="183"/>
      <c r="O101" s="172"/>
      <c r="P101" s="172"/>
      <c r="Q101" s="172">
        <v>246.03</v>
      </c>
      <c r="R101" s="193">
        <v>259.43</v>
      </c>
      <c r="S101" s="510">
        <v>262.9162</v>
      </c>
      <c r="T101" s="551">
        <v>251.81</v>
      </c>
      <c r="U101" s="175"/>
      <c r="V101" s="176">
        <v>100</v>
      </c>
      <c r="W101" s="194"/>
      <c r="X101" s="211" t="s">
        <v>70</v>
      </c>
      <c r="Y101" s="177" t="s">
        <v>71</v>
      </c>
      <c r="Z101" s="178" t="s">
        <v>453</v>
      </c>
      <c r="AA101" s="176" t="s">
        <v>59</v>
      </c>
      <c r="AB101" s="195" t="s">
        <v>65</v>
      </c>
      <c r="AC101" s="179"/>
      <c r="AD101" s="171"/>
      <c r="AE101" s="171"/>
      <c r="AF101" s="171"/>
      <c r="AG101" s="171"/>
      <c r="AH101" s="171"/>
      <c r="AI101" s="180" t="s">
        <v>59</v>
      </c>
      <c r="AJ101" s="170"/>
      <c r="AK101" s="170"/>
      <c r="AL101" s="170"/>
      <c r="AM101" s="170"/>
      <c r="AN101" s="170"/>
      <c r="AO101" s="170"/>
      <c r="AP101" s="170"/>
      <c r="AQ101" s="170"/>
      <c r="AR101" s="170"/>
      <c r="AS101" s="170"/>
      <c r="AT101" s="170"/>
      <c r="AU101" s="170"/>
      <c r="AV101" s="170"/>
      <c r="AW101" s="170"/>
      <c r="AX101" s="170"/>
      <c r="AY101" s="170"/>
      <c r="AZ101" s="180" t="s">
        <v>59</v>
      </c>
      <c r="BA101" s="171">
        <f>(COUNTIF(AJ101:AL101,"*OK*")*3) + (COUNTIF(AM101:AO101,"*OK*")*2) + COUNTIF(AP101:AR101,"*OK*")+COUNTIF(AZ101:AZ101,"SI")*0.5</f>
        <v>0</v>
      </c>
      <c r="BB101" s="171" t="str">
        <f>IF(BA101&lt;0.6,"Demasiado Riesgo",IF(BA101&lt;=5,"Riesgo Medio",IF(BA101&lt;=11,"Riesgo Bajo","Cliente Blindado")))</f>
        <v>Demasiado Riesgo</v>
      </c>
      <c r="BC101" s="171"/>
      <c r="BD101" s="171"/>
      <c r="BE101" s="171">
        <v>0</v>
      </c>
      <c r="BF101" s="171"/>
      <c r="BG101" s="171"/>
      <c r="BH101" s="171"/>
      <c r="BI101" s="171"/>
      <c r="BJ101" s="171"/>
      <c r="BK101" s="171"/>
      <c r="BL101" s="171"/>
      <c r="BM101" s="171"/>
      <c r="BN101" s="171"/>
      <c r="BO101" s="171"/>
      <c r="BP101" s="171"/>
      <c r="BQ101" s="171"/>
      <c r="BR101" s="171"/>
      <c r="BS101" s="171"/>
      <c r="BT101" s="171"/>
      <c r="BU101" s="171"/>
      <c r="BV101" s="171"/>
      <c r="BW101" s="171"/>
      <c r="BX101" s="171"/>
      <c r="BY101" s="171"/>
      <c r="BZ101" s="171"/>
      <c r="CA101" s="171">
        <f>COUNTIF(AJ101:AX101,"*OK*")</f>
        <v>0</v>
      </c>
      <c r="CB101" s="171"/>
      <c r="CC101" s="171">
        <f>COUNTIF(AJ101:AX101,"*OP*")</f>
        <v>0</v>
      </c>
    </row>
    <row r="102" spans="1:81" ht="15" customHeight="1">
      <c r="A102" s="240">
        <v>37535</v>
      </c>
      <c r="B102" s="171"/>
      <c r="C102" s="468">
        <f>T102</f>
        <v>292.77319999999997</v>
      </c>
      <c r="D102" s="171">
        <f>COUNTIF(AN102:AY102,"OK")</f>
        <v>0</v>
      </c>
      <c r="E102" s="171"/>
      <c r="F102" s="173" t="s">
        <v>454</v>
      </c>
      <c r="G102" s="173" t="s">
        <v>59</v>
      </c>
      <c r="H102" s="179" t="s">
        <v>455</v>
      </c>
      <c r="I102" s="179"/>
      <c r="J102" s="173" t="s">
        <v>59</v>
      </c>
      <c r="K102" s="173" t="s">
        <v>59</v>
      </c>
      <c r="L102" s="173" t="s">
        <v>456</v>
      </c>
      <c r="M102" s="173" t="s">
        <v>59</v>
      </c>
      <c r="N102" s="173" t="s">
        <v>59</v>
      </c>
      <c r="O102" s="466" t="s">
        <v>59</v>
      </c>
      <c r="P102" s="466" t="s">
        <v>59</v>
      </c>
      <c r="Q102" s="466" t="s">
        <v>59</v>
      </c>
      <c r="R102" s="467">
        <v>312.95</v>
      </c>
      <c r="S102" s="509">
        <v>222.01419999999999</v>
      </c>
      <c r="T102" s="558">
        <v>292.77319999999997</v>
      </c>
      <c r="U102" s="175"/>
      <c r="V102" s="176" t="s">
        <v>59</v>
      </c>
      <c r="W102" s="171"/>
      <c r="X102" s="205"/>
      <c r="Y102" s="177"/>
      <c r="Z102" s="178"/>
      <c r="AA102" s="174" t="s">
        <v>59</v>
      </c>
      <c r="AB102" s="178" t="s">
        <v>65</v>
      </c>
      <c r="AC102" s="179"/>
      <c r="AD102" s="171"/>
      <c r="AE102" s="171"/>
      <c r="AF102" s="171"/>
      <c r="AG102" s="171"/>
      <c r="AH102" s="171"/>
      <c r="AI102" s="178" t="s">
        <v>59</v>
      </c>
      <c r="AJ102" s="170"/>
      <c r="AK102" s="170"/>
      <c r="AL102" s="170"/>
      <c r="AM102" s="170"/>
      <c r="AN102" s="170"/>
      <c r="AO102" s="170"/>
      <c r="AP102" s="170"/>
      <c r="AQ102" s="170"/>
      <c r="AR102" s="170"/>
      <c r="AS102" s="170"/>
      <c r="AT102" s="170"/>
      <c r="AU102" s="170"/>
      <c r="AV102" s="170"/>
      <c r="AW102" s="170"/>
      <c r="AX102" s="170"/>
      <c r="AY102" s="170"/>
      <c r="AZ102" s="178" t="s">
        <v>59</v>
      </c>
      <c r="BA102" s="171">
        <f>(COUNTIF(AJ102:AL102,"*OK*")*3) + (COUNTIF(AM102:AO102,"*OK*")*2) + COUNTIF(AP102:AR102,"*OK*")+COUNTIF(AZ102:AZ102,"SI")*0.5</f>
        <v>0</v>
      </c>
      <c r="BB102" s="171" t="str">
        <f>IF(BA102&lt;0.6,"Demasiado Riesgo",IF(BA102&lt;=5,"Riesgo Medio",IF(BA102&lt;=11,"Riesgo Bajo","Cliente Blindado")))</f>
        <v>Demasiado Riesgo</v>
      </c>
      <c r="BC102" s="171"/>
      <c r="BD102" s="171"/>
      <c r="BE102" s="171">
        <v>0</v>
      </c>
      <c r="BF102" s="171"/>
      <c r="BG102" s="171"/>
      <c r="BH102" s="171"/>
      <c r="BI102" s="171"/>
      <c r="BJ102" s="171"/>
      <c r="BK102" s="171"/>
      <c r="BL102" s="171"/>
      <c r="BM102" s="171"/>
      <c r="BN102" s="171"/>
      <c r="BO102" s="171"/>
      <c r="BP102" s="171"/>
      <c r="BQ102" s="171"/>
      <c r="BR102" s="171"/>
      <c r="BS102" s="171"/>
      <c r="BT102" s="171"/>
      <c r="BU102" s="171"/>
      <c r="BV102" s="171"/>
      <c r="BW102" s="171"/>
      <c r="BX102" s="171"/>
      <c r="BY102" s="171"/>
      <c r="BZ102" s="171"/>
      <c r="CA102" s="171">
        <f>COUNTIF(AJ102:AX102,"*OK*")</f>
        <v>0</v>
      </c>
      <c r="CB102" s="171"/>
      <c r="CC102" s="171">
        <f>COUNTIF(AJ102:AX102,"*OP*")</f>
        <v>0</v>
      </c>
    </row>
    <row r="103" spans="1:81" ht="15" hidden="1" customHeight="1">
      <c r="A103" s="241">
        <v>35877</v>
      </c>
      <c r="B103" s="160"/>
      <c r="C103" s="468">
        <f>T103</f>
        <v>769.64</v>
      </c>
      <c r="D103" s="160">
        <f>COUNTIF(AJ103:AX103,"*OK*")</f>
        <v>0</v>
      </c>
      <c r="E103" s="160"/>
      <c r="F103" s="184" t="s">
        <v>457</v>
      </c>
      <c r="G103" s="182"/>
      <c r="H103" s="168"/>
      <c r="I103" s="168"/>
      <c r="J103" s="182"/>
      <c r="K103" s="185" t="s">
        <v>79</v>
      </c>
      <c r="L103" s="182" t="s">
        <v>449</v>
      </c>
      <c r="M103" s="182"/>
      <c r="N103" s="182"/>
      <c r="O103" s="161"/>
      <c r="P103" s="161"/>
      <c r="Q103" s="161">
        <v>900.74</v>
      </c>
      <c r="R103" s="186">
        <v>785.23</v>
      </c>
      <c r="S103" s="510">
        <v>778.17639999999994</v>
      </c>
      <c r="T103" s="550">
        <v>769.64</v>
      </c>
      <c r="U103" s="164"/>
      <c r="V103" s="165">
        <v>500</v>
      </c>
      <c r="W103" s="187"/>
      <c r="X103" s="166" t="s">
        <v>70</v>
      </c>
      <c r="Y103" s="166" t="s">
        <v>89</v>
      </c>
      <c r="Z103" s="167" t="s">
        <v>458</v>
      </c>
      <c r="AA103" s="165" t="s">
        <v>59</v>
      </c>
      <c r="AB103" s="188" t="s">
        <v>65</v>
      </c>
      <c r="AC103" s="168"/>
      <c r="AD103" s="160"/>
      <c r="AE103" s="160"/>
      <c r="AF103" s="160"/>
      <c r="AG103" s="160"/>
      <c r="AH103" s="160"/>
      <c r="AI103" s="167" t="s">
        <v>59</v>
      </c>
      <c r="AJ103" s="170"/>
      <c r="AK103" s="170"/>
      <c r="AL103" s="170"/>
      <c r="AM103" s="170"/>
      <c r="AN103" s="170"/>
      <c r="AO103" s="170"/>
      <c r="AP103" s="170"/>
      <c r="AQ103" s="170"/>
      <c r="AR103" s="170"/>
      <c r="AS103" s="170"/>
      <c r="AT103" s="170"/>
      <c r="AU103" s="170"/>
      <c r="AV103" s="170"/>
      <c r="AW103" s="170"/>
      <c r="AX103" s="170"/>
      <c r="AY103" s="170"/>
      <c r="AZ103" s="167" t="s">
        <v>59</v>
      </c>
      <c r="BA103" s="160">
        <f>(COUNTIF(AJ103:AL103,"*OK*")*3) + (COUNTIF(AM103:AO103,"*OK*")*2) + COUNTIF(AP103:AR103,"*OK*")+COUNTIF(AZ103:AZ103,"SI")*0.5</f>
        <v>0</v>
      </c>
      <c r="BB103" s="160" t="str">
        <f>IF(BA103&lt;0.6,"Demasiado Riesgo",IF(BA103&lt;=5,"Riesgo Medio",IF(BA103&lt;=11,"Riesgo Bajo","Cliente Blindado")))</f>
        <v>Demasiado Riesgo</v>
      </c>
      <c r="BC103" s="160"/>
      <c r="BD103" s="160"/>
      <c r="BE103" s="160">
        <v>0</v>
      </c>
      <c r="BF103" s="160"/>
      <c r="BG103" s="160"/>
      <c r="BH103" s="160"/>
      <c r="BI103" s="160"/>
      <c r="BJ103" s="160"/>
      <c r="BK103" s="160"/>
      <c r="BL103" s="160"/>
      <c r="BM103" s="160"/>
      <c r="BN103" s="160"/>
      <c r="BO103" s="160"/>
      <c r="BP103" s="160"/>
      <c r="BQ103" s="160"/>
      <c r="BR103" s="160"/>
      <c r="BS103" s="160"/>
      <c r="BT103" s="160"/>
      <c r="BU103" s="160"/>
      <c r="BV103" s="160"/>
      <c r="BW103" s="160"/>
      <c r="BX103" s="160"/>
      <c r="BY103" s="160"/>
      <c r="BZ103" s="160"/>
      <c r="CA103" s="160">
        <f>COUNTIF(AJ103:AX103,"*OK*")</f>
        <v>0</v>
      </c>
      <c r="CB103" s="160"/>
      <c r="CC103" s="160">
        <f>COUNTIF(AJ103:AX103,"*OP*")</f>
        <v>0</v>
      </c>
    </row>
    <row r="104" spans="1:81" ht="15" hidden="1" customHeight="1">
      <c r="A104" s="501">
        <v>31422</v>
      </c>
      <c r="B104" s="162"/>
      <c r="C104" s="468">
        <f>T104</f>
        <v>918.83</v>
      </c>
      <c r="D104" s="160">
        <f>COUNTIF(AJ104:AX104,"*OK*")</f>
        <v>0</v>
      </c>
      <c r="E104" s="160"/>
      <c r="F104" s="184" t="s">
        <v>459</v>
      </c>
      <c r="G104" s="182"/>
      <c r="H104" s="168"/>
      <c r="I104" s="168"/>
      <c r="J104" s="182"/>
      <c r="K104" s="182" t="s">
        <v>79</v>
      </c>
      <c r="L104" s="182" t="s">
        <v>449</v>
      </c>
      <c r="M104" s="182"/>
      <c r="N104" s="182"/>
      <c r="O104" s="161">
        <v>856.03</v>
      </c>
      <c r="P104" s="161">
        <v>868.46</v>
      </c>
      <c r="Q104" s="161">
        <v>869.2</v>
      </c>
      <c r="R104" s="186">
        <v>878.98</v>
      </c>
      <c r="S104" s="510">
        <v>903.98220000000003</v>
      </c>
      <c r="T104" s="554">
        <v>918.83</v>
      </c>
      <c r="U104" s="164"/>
      <c r="V104" s="165">
        <v>600</v>
      </c>
      <c r="W104" s="187"/>
      <c r="X104" s="203" t="s">
        <v>460</v>
      </c>
      <c r="Y104" s="166" t="s">
        <v>152</v>
      </c>
      <c r="Z104" s="167" t="s">
        <v>461</v>
      </c>
      <c r="AA104" s="165" t="s">
        <v>59</v>
      </c>
      <c r="AB104" s="188" t="s">
        <v>65</v>
      </c>
      <c r="AC104" s="168"/>
      <c r="AD104" s="160"/>
      <c r="AE104" s="160"/>
      <c r="AF104" s="160"/>
      <c r="AG104" s="160"/>
      <c r="AH104" s="160"/>
      <c r="AI104" s="167" t="s">
        <v>59</v>
      </c>
      <c r="AJ104" s="170"/>
      <c r="AK104" s="170"/>
      <c r="AL104" s="170"/>
      <c r="AM104" s="170"/>
      <c r="AN104" s="170"/>
      <c r="AO104" s="170"/>
      <c r="AP104" s="170"/>
      <c r="AQ104" s="170"/>
      <c r="AR104" s="170"/>
      <c r="AS104" s="170"/>
      <c r="AT104" s="170"/>
      <c r="AU104" s="170"/>
      <c r="AV104" s="170"/>
      <c r="AW104" s="170"/>
      <c r="AX104" s="170"/>
      <c r="AY104" s="170"/>
      <c r="AZ104" s="167" t="s">
        <v>59</v>
      </c>
      <c r="BA104" s="160">
        <f>(COUNTIF(AJ104:AL104,"*OK*")*3) + (COUNTIF(AM104:AO104,"*OK*")*2) + COUNTIF(AP104:AR104,"*OK*")+COUNTIF(AZ104:AZ104,"SI")*0.5</f>
        <v>0</v>
      </c>
      <c r="BB104" s="160" t="str">
        <f>IF(BA104&lt;0.6,"Demasiado Riesgo",IF(BA104&lt;=5,"Riesgo Medio",IF(BA104&lt;=11,"Riesgo Bajo","Cliente Blindado")))</f>
        <v>Demasiado Riesgo</v>
      </c>
      <c r="BC104" s="160"/>
      <c r="BD104" s="160"/>
      <c r="BE104" s="160">
        <v>0</v>
      </c>
      <c r="BF104" s="160"/>
      <c r="BG104" s="160"/>
      <c r="BH104" s="160"/>
      <c r="BI104" s="160"/>
      <c r="BJ104" s="160"/>
      <c r="BK104" s="160"/>
      <c r="BL104" s="160"/>
      <c r="BM104" s="160"/>
      <c r="BN104" s="160"/>
      <c r="BO104" s="160"/>
      <c r="BP104" s="160"/>
      <c r="BQ104" s="160"/>
      <c r="BR104" s="160"/>
      <c r="BS104" s="160"/>
      <c r="BT104" s="160"/>
      <c r="BU104" s="160"/>
      <c r="BV104" s="160"/>
      <c r="BW104" s="160"/>
      <c r="BX104" s="160"/>
      <c r="BY104" s="160"/>
      <c r="BZ104" s="160"/>
      <c r="CA104" s="160">
        <f>COUNTIF(AJ104:AX104,"*OK*")</f>
        <v>0</v>
      </c>
      <c r="CB104" s="160"/>
      <c r="CC104" s="160">
        <f>COUNTIF(AJ104:AX104,"*OP*")</f>
        <v>0</v>
      </c>
    </row>
    <row r="105" spans="1:81" ht="15" hidden="1" customHeight="1">
      <c r="A105" s="240"/>
      <c r="B105" s="171"/>
      <c r="C105" s="468">
        <f>T105</f>
        <v>1276.3399999999999</v>
      </c>
      <c r="D105" s="171">
        <f>COUNTIF(AJ105:AX105,"*OK*")</f>
        <v>0</v>
      </c>
      <c r="E105" s="171"/>
      <c r="F105" s="191" t="s">
        <v>462</v>
      </c>
      <c r="G105" s="183"/>
      <c r="H105" s="179"/>
      <c r="I105" s="179"/>
      <c r="J105" s="183"/>
      <c r="K105" s="192" t="s">
        <v>79</v>
      </c>
      <c r="L105" s="183" t="s">
        <v>449</v>
      </c>
      <c r="M105" s="183"/>
      <c r="N105" s="183"/>
      <c r="O105" s="172"/>
      <c r="P105" s="172"/>
      <c r="Q105" s="172">
        <v>1585.55</v>
      </c>
      <c r="R105" s="193">
        <v>622.30999999999995</v>
      </c>
      <c r="S105" s="510">
        <v>928.61220000000003</v>
      </c>
      <c r="T105" s="553">
        <v>1276.3399999999999</v>
      </c>
      <c r="U105" s="175"/>
      <c r="V105" s="176">
        <v>150</v>
      </c>
      <c r="W105" s="194"/>
      <c r="X105" s="177" t="s">
        <v>70</v>
      </c>
      <c r="Y105" s="177" t="s">
        <v>71</v>
      </c>
      <c r="Z105" s="178" t="s">
        <v>463</v>
      </c>
      <c r="AA105" s="176" t="s">
        <v>71</v>
      </c>
      <c r="AB105" s="195" t="s">
        <v>159</v>
      </c>
      <c r="AC105" s="179"/>
      <c r="AD105" s="171"/>
      <c r="AE105" s="171"/>
      <c r="AF105" s="171"/>
      <c r="AG105" s="171"/>
      <c r="AH105" s="171"/>
      <c r="AI105" s="178" t="s">
        <v>59</v>
      </c>
      <c r="AJ105" s="170"/>
      <c r="AK105" s="170"/>
      <c r="AL105" s="170"/>
      <c r="AM105" s="170"/>
      <c r="AN105" s="170"/>
      <c r="AO105" s="170"/>
      <c r="AP105" s="170"/>
      <c r="AQ105" s="170"/>
      <c r="AR105" s="170"/>
      <c r="AS105" s="170"/>
      <c r="AT105" s="170"/>
      <c r="AU105" s="170"/>
      <c r="AV105" s="170"/>
      <c r="AW105" s="170"/>
      <c r="AX105" s="170"/>
      <c r="AY105" s="170"/>
      <c r="AZ105" s="178" t="s">
        <v>59</v>
      </c>
      <c r="BA105" s="171">
        <f>(COUNTIF(AJ105:AL105,"*OK*")*3) + (COUNTIF(AM105:AO105,"*OK*")*2) + COUNTIF(AP105:AR105,"*OK*")+COUNTIF(AZ105:AZ105,"SI")*0.5</f>
        <v>0</v>
      </c>
      <c r="BB105" s="171" t="str">
        <f>IF(BA105&lt;0.6,"Demasiado Riesgo",IF(BA105&lt;=5,"Riesgo Medio",IF(BA105&lt;=11,"Riesgo Bajo","Cliente Blindado")))</f>
        <v>Demasiado Riesgo</v>
      </c>
      <c r="BC105" s="171"/>
      <c r="BD105" s="171"/>
      <c r="BE105" s="171">
        <v>0</v>
      </c>
      <c r="BF105" s="171"/>
      <c r="BG105" s="171"/>
      <c r="BH105" s="171"/>
      <c r="BI105" s="171"/>
      <c r="BJ105" s="171"/>
      <c r="BK105" s="171"/>
      <c r="BL105" s="171"/>
      <c r="BM105" s="171"/>
      <c r="BN105" s="171"/>
      <c r="BO105" s="171"/>
      <c r="BP105" s="171"/>
      <c r="BQ105" s="171"/>
      <c r="BR105" s="171"/>
      <c r="BS105" s="171"/>
      <c r="BT105" s="171"/>
      <c r="BU105" s="171"/>
      <c r="BV105" s="171"/>
      <c r="BW105" s="171"/>
      <c r="BX105" s="171"/>
      <c r="BY105" s="171"/>
      <c r="BZ105" s="171"/>
      <c r="CA105" s="171">
        <f>COUNTIF(AJ105:AX105,"*OK*")</f>
        <v>0</v>
      </c>
      <c r="CB105" s="171"/>
      <c r="CC105" s="171">
        <f>COUNTIF(AJ105:AX105,"*OP*")</f>
        <v>0</v>
      </c>
    </row>
    <row r="106" spans="1:81" ht="15" hidden="1" customHeight="1">
      <c r="A106" s="505">
        <v>37414</v>
      </c>
      <c r="B106" s="171"/>
      <c r="C106" s="468">
        <f>T106</f>
        <v>1716.36</v>
      </c>
      <c r="D106" s="171">
        <f>COUNTIF(AN106:AY106,"OK")</f>
        <v>0</v>
      </c>
      <c r="E106" s="171"/>
      <c r="F106" s="422" t="s">
        <v>464</v>
      </c>
      <c r="G106" s="171"/>
      <c r="H106" s="179"/>
      <c r="I106" s="179"/>
      <c r="J106" s="171"/>
      <c r="K106" s="236" t="s">
        <v>79</v>
      </c>
      <c r="L106" s="171" t="s">
        <v>449</v>
      </c>
      <c r="M106" s="171"/>
      <c r="N106" s="171"/>
      <c r="O106" s="161"/>
      <c r="P106" s="161"/>
      <c r="Q106" s="161">
        <v>1718</v>
      </c>
      <c r="R106" s="186">
        <v>1755.95</v>
      </c>
      <c r="S106" s="510">
        <v>1702.9757999999999</v>
      </c>
      <c r="T106" s="559">
        <v>1716.36</v>
      </c>
      <c r="U106" s="175"/>
      <c r="V106" s="176" t="s">
        <v>59</v>
      </c>
      <c r="W106" s="171"/>
      <c r="X106" s="205"/>
      <c r="Y106" s="177"/>
      <c r="Z106" s="178"/>
      <c r="AA106" s="174" t="s">
        <v>59</v>
      </c>
      <c r="AB106" s="178"/>
      <c r="AC106" s="179"/>
      <c r="AD106" s="171"/>
      <c r="AE106" s="171"/>
      <c r="AF106" s="171"/>
      <c r="AG106" s="171"/>
      <c r="AH106" s="171"/>
      <c r="AI106" s="180"/>
      <c r="AJ106" s="170"/>
      <c r="AK106" s="170"/>
      <c r="AL106" s="170"/>
      <c r="AM106" s="170"/>
      <c r="AN106" s="170"/>
      <c r="AO106" s="170"/>
      <c r="AP106" s="170"/>
      <c r="AQ106" s="170"/>
      <c r="AR106" s="170"/>
      <c r="AS106" s="170"/>
      <c r="AT106" s="170"/>
      <c r="AU106" s="170"/>
      <c r="AV106" s="170"/>
      <c r="AW106" s="170"/>
      <c r="AX106" s="170"/>
      <c r="AY106" s="170"/>
      <c r="AZ106" s="178" t="s">
        <v>59</v>
      </c>
      <c r="BA106" s="171">
        <f>(COUNTIF(AJ106:AL106,"*OK*")*3) + (COUNTIF(AM106:AO106,"*OK*")*2) + COUNTIF(AP106:AR106,"*OK*")+COUNTIF(AZ106:AZ106,"SI")*0.5</f>
        <v>0</v>
      </c>
      <c r="BB106" s="171" t="str">
        <f>IF(BA106&lt;0.6,"Demasiado Riesgo",IF(BA106&lt;=5,"Riesgo Medio",IF(BA106&lt;=11,"Riesgo Bajo","Cliente Blindado")))</f>
        <v>Demasiado Riesgo</v>
      </c>
      <c r="BC106" s="171"/>
      <c r="BD106" s="171"/>
      <c r="BE106" s="171"/>
      <c r="BF106" s="171"/>
      <c r="BG106" s="171"/>
      <c r="BH106" s="171"/>
      <c r="BI106" s="171"/>
      <c r="BJ106" s="171"/>
      <c r="BK106" s="171"/>
      <c r="BL106" s="171"/>
      <c r="BM106" s="171"/>
      <c r="BN106" s="171"/>
      <c r="BO106" s="171"/>
      <c r="BP106" s="171"/>
      <c r="BQ106" s="171"/>
      <c r="BR106" s="171"/>
      <c r="BS106" s="171"/>
      <c r="BT106" s="171"/>
      <c r="BU106" s="171"/>
      <c r="BV106" s="171"/>
      <c r="BW106" s="171"/>
      <c r="BX106" s="171"/>
      <c r="BY106" s="171"/>
      <c r="BZ106" s="171"/>
      <c r="CA106" s="171">
        <f>COUNTIF(AJ106:AX106,"*OK*")</f>
        <v>0</v>
      </c>
      <c r="CB106" s="171"/>
      <c r="CC106" s="171">
        <f>COUNTIF(AJ106:AX106,"*OP*")</f>
        <v>0</v>
      </c>
    </row>
    <row r="107" spans="1:81" ht="15" hidden="1" customHeight="1">
      <c r="A107" s="241">
        <v>37409</v>
      </c>
      <c r="B107" s="160"/>
      <c r="C107" s="468">
        <f>T107</f>
        <v>557092</v>
      </c>
      <c r="D107" s="160">
        <f>COUNTIF(AN107:AY107,"OK")</f>
        <v>0</v>
      </c>
      <c r="E107" s="160"/>
      <c r="F107" s="181" t="s">
        <v>465</v>
      </c>
      <c r="G107" s="162" t="s">
        <v>59</v>
      </c>
      <c r="H107" s="168"/>
      <c r="I107" s="168"/>
      <c r="J107" s="162" t="s">
        <v>59</v>
      </c>
      <c r="K107" s="162" t="s">
        <v>59</v>
      </c>
      <c r="L107" s="162" t="s">
        <v>449</v>
      </c>
      <c r="M107" s="162" t="s">
        <v>59</v>
      </c>
      <c r="N107" s="162" t="s">
        <v>59</v>
      </c>
      <c r="O107" s="162" t="s">
        <v>59</v>
      </c>
      <c r="P107" s="162" t="s">
        <v>59</v>
      </c>
      <c r="Q107" s="162" t="s">
        <v>59</v>
      </c>
      <c r="R107" s="163">
        <v>55.58</v>
      </c>
      <c r="S107" s="511">
        <v>56.326799999999999</v>
      </c>
      <c r="T107" s="552">
        <v>557092</v>
      </c>
      <c r="U107" s="164"/>
      <c r="V107" s="165" t="s">
        <v>59</v>
      </c>
      <c r="W107" s="160"/>
      <c r="X107" s="203"/>
      <c r="Y107" s="166"/>
      <c r="Z107" s="167"/>
      <c r="AA107" s="163" t="s">
        <v>59</v>
      </c>
      <c r="AB107" s="167" t="s">
        <v>240</v>
      </c>
      <c r="AC107" s="168"/>
      <c r="AD107" s="160"/>
      <c r="AE107" s="160"/>
      <c r="AF107" s="160"/>
      <c r="AG107" s="160"/>
      <c r="AH107" s="160"/>
      <c r="AI107" s="163" t="s">
        <v>59</v>
      </c>
      <c r="AJ107" s="170"/>
      <c r="AK107" s="170"/>
      <c r="AL107" s="170"/>
      <c r="AM107" s="170"/>
      <c r="AN107" s="170"/>
      <c r="AO107" s="170"/>
      <c r="AP107" s="170"/>
      <c r="AQ107" s="170"/>
      <c r="AR107" s="170"/>
      <c r="AS107" s="170"/>
      <c r="AT107" s="170"/>
      <c r="AU107" s="170"/>
      <c r="AV107" s="170"/>
      <c r="AW107" s="170"/>
      <c r="AX107" s="170"/>
      <c r="AY107" s="170"/>
      <c r="AZ107" s="169" t="s">
        <v>59</v>
      </c>
      <c r="BA107" s="160">
        <f>(COUNTIF(AJ107:AL107,"*OK*")*3) + (COUNTIF(AM107:AO107,"*OK*")*2) + COUNTIF(AP107:AR107,"*OK*")+COUNTIF(AZ107:AZ107,"SI")*0.5</f>
        <v>0</v>
      </c>
      <c r="BB107" s="160" t="str">
        <f>IF(BA107&lt;0.6,"Demasiado Riesgo",IF(BA107&lt;=5,"Riesgo Medio",IF(BA107&lt;=11,"Riesgo Bajo","Cliente Blindado")))</f>
        <v>Demasiado Riesgo</v>
      </c>
      <c r="BC107" s="160"/>
      <c r="BD107" s="160"/>
      <c r="BE107" s="160">
        <v>0</v>
      </c>
      <c r="BF107" s="160"/>
      <c r="BG107" s="160"/>
      <c r="BH107" s="160"/>
      <c r="BI107" s="160"/>
      <c r="BJ107" s="160"/>
      <c r="BK107" s="160"/>
      <c r="BL107" s="160"/>
      <c r="BM107" s="160"/>
      <c r="BN107" s="160"/>
      <c r="BO107" s="160"/>
      <c r="BP107" s="160"/>
      <c r="BQ107" s="160"/>
      <c r="BR107" s="160"/>
      <c r="BS107" s="160"/>
      <c r="BT107" s="160"/>
      <c r="BU107" s="160"/>
      <c r="BV107" s="160"/>
      <c r="BW107" s="160"/>
      <c r="BX107" s="160"/>
      <c r="BY107" s="160"/>
      <c r="BZ107" s="160"/>
      <c r="CA107" s="160">
        <f>COUNTIF(AJ107:AX107,"*OK*")</f>
        <v>0</v>
      </c>
      <c r="CB107" s="160"/>
      <c r="CC107" s="160">
        <f>COUNTIF(AJ107:AX107,"*OP*")</f>
        <v>0</v>
      </c>
    </row>
    <row r="108" spans="1:81" ht="15" hidden="1" customHeight="1">
      <c r="A108" s="241"/>
      <c r="B108" s="160"/>
      <c r="C108" s="468">
        <f>T108</f>
        <v>22.22</v>
      </c>
      <c r="D108" s="160">
        <f>COUNTIF(AJ108:AX108,"*OK*")</f>
        <v>0</v>
      </c>
      <c r="E108" s="160"/>
      <c r="F108" s="182" t="s">
        <v>466</v>
      </c>
      <c r="G108" s="229" t="s">
        <v>467</v>
      </c>
      <c r="H108" s="168"/>
      <c r="I108" s="168"/>
      <c r="J108" s="229"/>
      <c r="K108" s="196" t="s">
        <v>68</v>
      </c>
      <c r="L108" s="182" t="s">
        <v>456</v>
      </c>
      <c r="M108" s="182"/>
      <c r="N108" s="182"/>
      <c r="O108" s="161">
        <v>20.68</v>
      </c>
      <c r="P108" s="161">
        <v>16.899999999999999</v>
      </c>
      <c r="Q108" s="161">
        <v>19.690000000000001</v>
      </c>
      <c r="R108" s="186">
        <v>20.32</v>
      </c>
      <c r="S108" s="510">
        <v>22.468299999999999</v>
      </c>
      <c r="T108" s="550">
        <v>22.22</v>
      </c>
      <c r="U108" s="164"/>
      <c r="V108" s="165">
        <v>50</v>
      </c>
      <c r="W108" s="187"/>
      <c r="X108" s="208" t="s">
        <v>70</v>
      </c>
      <c r="Y108" s="166" t="s">
        <v>71</v>
      </c>
      <c r="Z108" s="167" t="s">
        <v>72</v>
      </c>
      <c r="AA108" s="165" t="s">
        <v>59</v>
      </c>
      <c r="AB108" s="188" t="s">
        <v>65</v>
      </c>
      <c r="AC108" s="168" t="s">
        <v>97</v>
      </c>
      <c r="AD108" s="160"/>
      <c r="AE108" s="160"/>
      <c r="AF108" s="160"/>
      <c r="AG108" s="160"/>
      <c r="AH108" s="160"/>
      <c r="AI108" s="163" t="s">
        <v>127</v>
      </c>
      <c r="AJ108" s="170"/>
      <c r="AK108" s="170"/>
      <c r="AL108" s="170" t="s">
        <v>173</v>
      </c>
      <c r="AM108" s="170" t="s">
        <v>173</v>
      </c>
      <c r="AN108" s="170"/>
      <c r="AO108" s="170"/>
      <c r="AP108" s="170"/>
      <c r="AQ108" s="170"/>
      <c r="AR108" s="170"/>
      <c r="AS108" s="170"/>
      <c r="AT108" s="170"/>
      <c r="AU108" s="170"/>
      <c r="AV108" s="170"/>
      <c r="AW108" s="170"/>
      <c r="AX108" s="170"/>
      <c r="AY108" s="170"/>
      <c r="AZ108" s="167" t="s">
        <v>178</v>
      </c>
      <c r="BA108" s="160">
        <f>(COUNTIF(AJ108:AL108,"*OK*")*3) + (COUNTIF(AM108:AO108,"*OK*")*2) + COUNTIF(AP108:AR108,"*OK*")+COUNTIF(AZ108:AZ108,"SI")*0.5</f>
        <v>0</v>
      </c>
      <c r="BB108" s="160" t="str">
        <f>IF(BA108&lt;0.6,"Demasiado Riesgo",IF(BA108&lt;=5,"Riesgo Medio",IF(BA108&lt;=11,"Riesgo Bajo","Cliente Blindado")))</f>
        <v>Demasiado Riesgo</v>
      </c>
      <c r="BC108" s="160"/>
      <c r="BD108" s="160"/>
      <c r="BE108" s="160">
        <v>0</v>
      </c>
      <c r="BF108" s="160"/>
      <c r="BG108" s="160"/>
      <c r="BH108" s="160"/>
      <c r="BI108" s="160"/>
      <c r="BJ108" s="160"/>
      <c r="BK108" s="160"/>
      <c r="BL108" s="160"/>
      <c r="BM108" s="160"/>
      <c r="BN108" s="160"/>
      <c r="BO108" s="160"/>
      <c r="BP108" s="160"/>
      <c r="BQ108" s="160"/>
      <c r="BR108" s="160"/>
      <c r="BS108" s="160"/>
      <c r="BT108" s="160"/>
      <c r="BU108" s="160"/>
      <c r="BV108" s="160"/>
      <c r="BW108" s="160"/>
      <c r="BX108" s="160"/>
      <c r="BY108" s="160"/>
      <c r="BZ108" s="160"/>
      <c r="CA108" s="160">
        <f>COUNTIF(AJ108:AX108,"*OK*")</f>
        <v>0</v>
      </c>
      <c r="CB108" s="160"/>
      <c r="CC108" s="160">
        <f>COUNTIF(AJ108:AX108,"*OP*")</f>
        <v>2</v>
      </c>
    </row>
    <row r="109" spans="1:81" ht="15" hidden="1" customHeight="1">
      <c r="A109" s="500"/>
      <c r="B109" s="173"/>
      <c r="C109" s="468">
        <f>T109</f>
        <v>27.23</v>
      </c>
      <c r="D109" s="171">
        <f>COUNTIF(AJ109:AX109,"*OK*")</f>
        <v>0</v>
      </c>
      <c r="E109" s="171"/>
      <c r="F109" s="183" t="s">
        <v>468</v>
      </c>
      <c r="G109" s="183" t="s">
        <v>469</v>
      </c>
      <c r="H109" s="179"/>
      <c r="I109" s="179"/>
      <c r="J109" s="183"/>
      <c r="K109" s="192" t="s">
        <v>68</v>
      </c>
      <c r="L109" s="183" t="s">
        <v>456</v>
      </c>
      <c r="M109" s="183"/>
      <c r="N109" s="183"/>
      <c r="O109" s="172">
        <v>21.72</v>
      </c>
      <c r="P109" s="172">
        <v>21.7</v>
      </c>
      <c r="Q109" s="172">
        <v>20.68</v>
      </c>
      <c r="R109" s="193">
        <v>23.29</v>
      </c>
      <c r="S109" s="510">
        <v>23.598299999999998</v>
      </c>
      <c r="T109" s="553">
        <v>27.23</v>
      </c>
      <c r="U109" s="175"/>
      <c r="V109" s="176">
        <v>150</v>
      </c>
      <c r="W109" s="194"/>
      <c r="X109" s="211" t="s">
        <v>70</v>
      </c>
      <c r="Y109" s="177" t="s">
        <v>162</v>
      </c>
      <c r="Z109" s="178" t="s">
        <v>470</v>
      </c>
      <c r="AA109" s="176" t="s">
        <v>59</v>
      </c>
      <c r="AB109" s="195" t="s">
        <v>65</v>
      </c>
      <c r="AC109" s="179" t="s">
        <v>92</v>
      </c>
      <c r="AD109" s="171"/>
      <c r="AE109" s="171"/>
      <c r="AF109" s="171"/>
      <c r="AG109" s="171"/>
      <c r="AH109" s="171"/>
      <c r="AI109" s="178" t="s">
        <v>59</v>
      </c>
      <c r="AJ109" s="170"/>
      <c r="AK109" s="170"/>
      <c r="AL109" s="170"/>
      <c r="AM109" s="170"/>
      <c r="AN109" s="170"/>
      <c r="AO109" s="170"/>
      <c r="AP109" s="170"/>
      <c r="AQ109" s="170"/>
      <c r="AR109" s="170"/>
      <c r="AS109" s="170"/>
      <c r="AT109" s="170"/>
      <c r="AU109" s="170"/>
      <c r="AV109" s="170"/>
      <c r="AW109" s="170"/>
      <c r="AX109" s="170"/>
      <c r="AY109" s="170"/>
      <c r="AZ109" s="178" t="s">
        <v>59</v>
      </c>
      <c r="BA109" s="171">
        <f>(COUNTIF(AJ109:AL109,"*OK*")*3) + (COUNTIF(AM109:AO109,"*OK*")*2) + COUNTIF(AP109:AR109,"*OK*")+COUNTIF(AZ109:AZ109,"SI")*0.5</f>
        <v>0</v>
      </c>
      <c r="BB109" s="171" t="str">
        <f>IF(BA109&lt;0.6,"Demasiado Riesgo",IF(BA109&lt;=5,"Riesgo Medio",IF(BA109&lt;=11,"Riesgo Bajo","Cliente Blindado")))</f>
        <v>Demasiado Riesgo</v>
      </c>
      <c r="BC109" s="171"/>
      <c r="BD109" s="171"/>
      <c r="BE109" s="171">
        <v>0</v>
      </c>
      <c r="BF109" s="171"/>
      <c r="BG109" s="171"/>
      <c r="BH109" s="171"/>
      <c r="BI109" s="171"/>
      <c r="BJ109" s="171"/>
      <c r="BK109" s="171"/>
      <c r="BL109" s="171"/>
      <c r="BM109" s="171"/>
      <c r="BN109" s="171"/>
      <c r="BO109" s="171"/>
      <c r="BP109" s="171"/>
      <c r="BQ109" s="171"/>
      <c r="BR109" s="171"/>
      <c r="BS109" s="171"/>
      <c r="BT109" s="171"/>
      <c r="BU109" s="171"/>
      <c r="BV109" s="171"/>
      <c r="BW109" s="171"/>
      <c r="BX109" s="171"/>
      <c r="BY109" s="171"/>
      <c r="BZ109" s="171"/>
      <c r="CA109" s="171">
        <f>COUNTIF(AJ109:AX109,"*OK*")</f>
        <v>0</v>
      </c>
      <c r="CB109" s="171"/>
      <c r="CC109" s="171">
        <f>COUNTIF(AJ109:AX109,"*OP*")</f>
        <v>0</v>
      </c>
    </row>
    <row r="110" spans="1:81" ht="15" hidden="1" customHeight="1">
      <c r="A110" s="241"/>
      <c r="B110" s="160"/>
      <c r="C110" s="468">
        <f>T110</f>
        <v>27.78</v>
      </c>
      <c r="D110" s="160">
        <f>COUNTIF(AJ110:AX110,"*OK*")</f>
        <v>0</v>
      </c>
      <c r="E110" s="160"/>
      <c r="F110" s="182" t="s">
        <v>471</v>
      </c>
      <c r="G110" s="182"/>
      <c r="H110" s="168"/>
      <c r="I110" s="168"/>
      <c r="J110" s="182"/>
      <c r="K110" s="196" t="s">
        <v>68</v>
      </c>
      <c r="L110" s="182" t="s">
        <v>456</v>
      </c>
      <c r="M110" s="182"/>
      <c r="N110" s="182"/>
      <c r="O110" s="161">
        <v>31.96</v>
      </c>
      <c r="P110" s="161">
        <v>30.05</v>
      </c>
      <c r="Q110" s="161">
        <v>28.64</v>
      </c>
      <c r="R110" s="186">
        <v>29.56</v>
      </c>
      <c r="S110" s="510">
        <v>28.0854</v>
      </c>
      <c r="T110" s="550">
        <v>27.78</v>
      </c>
      <c r="U110" s="164"/>
      <c r="V110" s="165">
        <v>50</v>
      </c>
      <c r="W110" s="187"/>
      <c r="X110" s="207" t="s">
        <v>70</v>
      </c>
      <c r="Y110" s="166" t="s">
        <v>71</v>
      </c>
      <c r="Z110" s="167" t="s">
        <v>74</v>
      </c>
      <c r="AA110" s="165" t="s">
        <v>59</v>
      </c>
      <c r="AB110" s="188" t="s">
        <v>65</v>
      </c>
      <c r="AC110" s="168"/>
      <c r="AD110" s="160"/>
      <c r="AE110" s="160"/>
      <c r="AF110" s="160"/>
      <c r="AG110" s="160"/>
      <c r="AH110" s="160"/>
      <c r="AI110" s="167" t="s">
        <v>59</v>
      </c>
      <c r="AJ110" s="230"/>
      <c r="AK110" s="230"/>
      <c r="AL110" s="230"/>
      <c r="AM110" s="230"/>
      <c r="AN110" s="230"/>
      <c r="AO110" s="230"/>
      <c r="AP110" s="230"/>
      <c r="AQ110" s="230"/>
      <c r="AR110" s="230"/>
      <c r="AS110" s="230"/>
      <c r="AT110" s="230"/>
      <c r="AU110" s="230"/>
      <c r="AV110" s="230"/>
      <c r="AW110" s="230"/>
      <c r="AX110" s="230"/>
      <c r="AY110" s="230"/>
      <c r="AZ110" s="167" t="s">
        <v>59</v>
      </c>
      <c r="BA110" s="160">
        <f>(COUNTIF(AJ110:AL110,"*OK*")*3) + (COUNTIF(AM110:AO110,"*OK*")*2) + COUNTIF(AP110:AR110,"*OK*")+COUNTIF(AZ110:AZ110,"SI")*0.5</f>
        <v>0</v>
      </c>
      <c r="BB110" s="160" t="str">
        <f>IF(BA110&lt;0.6,"Demasiado Riesgo",IF(BA110&lt;=5,"Riesgo Medio",IF(BA110&lt;=11,"Riesgo Bajo","Cliente Blindado")))</f>
        <v>Demasiado Riesgo</v>
      </c>
      <c r="BC110" s="160"/>
      <c r="BD110" s="160"/>
      <c r="BE110" s="160">
        <v>0</v>
      </c>
      <c r="BF110" s="160"/>
      <c r="BG110" s="160"/>
      <c r="BH110" s="160"/>
      <c r="BI110" s="160"/>
      <c r="BJ110" s="160"/>
      <c r="BK110" s="160"/>
      <c r="BL110" s="160"/>
      <c r="BM110" s="160"/>
      <c r="BN110" s="160"/>
      <c r="BO110" s="160"/>
      <c r="BP110" s="160"/>
      <c r="BQ110" s="160"/>
      <c r="BR110" s="160"/>
      <c r="BS110" s="160"/>
      <c r="BT110" s="160"/>
      <c r="BU110" s="160"/>
      <c r="BV110" s="160"/>
      <c r="BW110" s="160"/>
      <c r="BX110" s="160"/>
      <c r="BY110" s="160"/>
      <c r="BZ110" s="160"/>
      <c r="CA110" s="160">
        <f>COUNTIF(AJ110:AX110,"*OK*")</f>
        <v>0</v>
      </c>
      <c r="CB110" s="160"/>
      <c r="CC110" s="160">
        <f>COUNTIF(AJ110:AX110,"*OP*")</f>
        <v>0</v>
      </c>
    </row>
    <row r="111" spans="1:81" ht="15" hidden="1" customHeight="1">
      <c r="A111" s="240"/>
      <c r="B111" s="171"/>
      <c r="C111" s="468">
        <f>T111</f>
        <v>28.63</v>
      </c>
      <c r="D111" s="171">
        <f>COUNTIF(AJ111:AX111,"*OK*")</f>
        <v>0</v>
      </c>
      <c r="E111" s="171"/>
      <c r="F111" s="183" t="s">
        <v>472</v>
      </c>
      <c r="G111" s="183" t="s">
        <v>473</v>
      </c>
      <c r="H111" s="179"/>
      <c r="I111" s="179"/>
      <c r="J111" s="183"/>
      <c r="K111" s="198" t="s">
        <v>68</v>
      </c>
      <c r="L111" s="183" t="s">
        <v>456</v>
      </c>
      <c r="M111" s="183"/>
      <c r="N111" s="183"/>
      <c r="O111" s="172">
        <v>29.06</v>
      </c>
      <c r="P111" s="172">
        <v>29.03</v>
      </c>
      <c r="Q111" s="172">
        <v>27.67</v>
      </c>
      <c r="R111" s="193">
        <v>31.81</v>
      </c>
      <c r="S111" s="510">
        <v>28.943300000000001</v>
      </c>
      <c r="T111" s="551">
        <v>28.63</v>
      </c>
      <c r="U111" s="175"/>
      <c r="V111" s="176">
        <v>200</v>
      </c>
      <c r="W111" s="194"/>
      <c r="X111" s="209" t="s">
        <v>70</v>
      </c>
      <c r="Y111" s="177" t="s">
        <v>162</v>
      </c>
      <c r="Z111" s="178" t="s">
        <v>474</v>
      </c>
      <c r="AA111" s="176" t="s">
        <v>59</v>
      </c>
      <c r="AB111" s="195" t="s">
        <v>65</v>
      </c>
      <c r="AC111" s="179" t="s">
        <v>92</v>
      </c>
      <c r="AD111" s="171"/>
      <c r="AE111" s="171"/>
      <c r="AF111" s="171"/>
      <c r="AG111" s="171"/>
      <c r="AH111" s="171"/>
      <c r="AI111" s="178" t="s">
        <v>59</v>
      </c>
      <c r="AJ111" s="170"/>
      <c r="AK111" s="170"/>
      <c r="AL111" s="170"/>
      <c r="AM111" s="170"/>
      <c r="AN111" s="170"/>
      <c r="AO111" s="170"/>
      <c r="AP111" s="170"/>
      <c r="AQ111" s="170"/>
      <c r="AR111" s="170"/>
      <c r="AS111" s="170"/>
      <c r="AT111" s="170"/>
      <c r="AU111" s="170"/>
      <c r="AV111" s="170"/>
      <c r="AW111" s="170"/>
      <c r="AX111" s="170"/>
      <c r="AY111" s="170"/>
      <c r="AZ111" s="178" t="s">
        <v>59</v>
      </c>
      <c r="BA111" s="171">
        <f>(COUNTIF(AJ111:AL111,"*OK*")*3) + (COUNTIF(AM111:AO111,"*OK*")*2) + COUNTIF(AP111:AR111,"*OK*")+COUNTIF(AZ111:AZ111,"SI")*0.5</f>
        <v>0</v>
      </c>
      <c r="BB111" s="171" t="str">
        <f>IF(BA111&lt;0.6,"Demasiado Riesgo",IF(BA111&lt;=5,"Riesgo Medio",IF(BA111&lt;=11,"Riesgo Bajo","Cliente Blindado")))</f>
        <v>Demasiado Riesgo</v>
      </c>
      <c r="BC111" s="171"/>
      <c r="BD111" s="171"/>
      <c r="BE111" s="171">
        <v>0</v>
      </c>
      <c r="BF111" s="171"/>
      <c r="BG111" s="171"/>
      <c r="BH111" s="171"/>
      <c r="BI111" s="171"/>
      <c r="BJ111" s="171"/>
      <c r="BK111" s="171"/>
      <c r="BL111" s="171"/>
      <c r="BM111" s="171"/>
      <c r="BN111" s="171"/>
      <c r="BO111" s="171"/>
      <c r="BP111" s="171"/>
      <c r="BQ111" s="171"/>
      <c r="BR111" s="171"/>
      <c r="BS111" s="171"/>
      <c r="BT111" s="171"/>
      <c r="BU111" s="171"/>
      <c r="BV111" s="171"/>
      <c r="BW111" s="171"/>
      <c r="BX111" s="171"/>
      <c r="BY111" s="171"/>
      <c r="BZ111" s="171"/>
      <c r="CA111" s="171">
        <f>COUNTIF(AJ111:AX111,"*OK*")</f>
        <v>0</v>
      </c>
      <c r="CB111" s="171"/>
      <c r="CC111" s="171">
        <f>COUNTIF(AJ111:AX111,"*OP*")</f>
        <v>0</v>
      </c>
    </row>
    <row r="112" spans="1:81" ht="15" hidden="1" customHeight="1">
      <c r="A112" s="241"/>
      <c r="B112" s="160"/>
      <c r="C112" s="468">
        <f>T112</f>
        <v>28.63</v>
      </c>
      <c r="D112" s="160">
        <f>COUNTIF(AJ112:AX112,"*OK*")</f>
        <v>0</v>
      </c>
      <c r="E112" s="160"/>
      <c r="F112" s="182" t="s">
        <v>475</v>
      </c>
      <c r="G112" s="182" t="s">
        <v>473</v>
      </c>
      <c r="H112" s="168"/>
      <c r="I112" s="168"/>
      <c r="J112" s="182"/>
      <c r="K112" s="196" t="s">
        <v>68</v>
      </c>
      <c r="L112" s="182" t="s">
        <v>456</v>
      </c>
      <c r="M112" s="182"/>
      <c r="N112" s="182"/>
      <c r="O112" s="161">
        <v>29.06</v>
      </c>
      <c r="P112" s="161">
        <v>29.03</v>
      </c>
      <c r="Q112" s="161">
        <v>27.67</v>
      </c>
      <c r="R112" s="186">
        <v>31.81</v>
      </c>
      <c r="S112" s="510">
        <v>32.2363</v>
      </c>
      <c r="T112" s="550">
        <v>28.63</v>
      </c>
      <c r="U112" s="164"/>
      <c r="V112" s="165">
        <v>200</v>
      </c>
      <c r="W112" s="187"/>
      <c r="X112" s="208" t="s">
        <v>70</v>
      </c>
      <c r="Y112" s="166" t="s">
        <v>162</v>
      </c>
      <c r="Z112" s="167" t="s">
        <v>474</v>
      </c>
      <c r="AA112" s="165" t="s">
        <v>59</v>
      </c>
      <c r="AB112" s="188" t="s">
        <v>65</v>
      </c>
      <c r="AC112" s="168" t="s">
        <v>92</v>
      </c>
      <c r="AD112" s="160"/>
      <c r="AE112" s="160"/>
      <c r="AF112" s="160"/>
      <c r="AG112" s="160"/>
      <c r="AH112" s="160"/>
      <c r="AI112" s="169" t="s">
        <v>59</v>
      </c>
      <c r="AJ112" s="170"/>
      <c r="AK112" s="170"/>
      <c r="AL112" s="170"/>
      <c r="AM112" s="170"/>
      <c r="AN112" s="170"/>
      <c r="AO112" s="170"/>
      <c r="AP112" s="170"/>
      <c r="AQ112" s="170"/>
      <c r="AR112" s="170"/>
      <c r="AS112" s="170"/>
      <c r="AT112" s="170"/>
      <c r="AU112" s="170"/>
      <c r="AV112" s="170"/>
      <c r="AW112" s="170"/>
      <c r="AX112" s="170"/>
      <c r="AY112" s="170"/>
      <c r="AZ112" s="169" t="s">
        <v>59</v>
      </c>
      <c r="BA112" s="160">
        <f>(COUNTIF(AJ112:AL112,"*OK*")*3) + (COUNTIF(AM112:AO112,"*OK*")*2) + COUNTIF(AP112:AR112,"*OK*")+COUNTIF(AZ112:AZ112,"SI")*0.5</f>
        <v>0</v>
      </c>
      <c r="BB112" s="160" t="str">
        <f>IF(BA112&lt;0.6,"Demasiado Riesgo",IF(BA112&lt;=5,"Riesgo Medio",IF(BA112&lt;=11,"Riesgo Bajo","Cliente Blindado")))</f>
        <v>Demasiado Riesgo</v>
      </c>
      <c r="BC112" s="160"/>
      <c r="BD112" s="160"/>
      <c r="BE112" s="160">
        <v>0</v>
      </c>
      <c r="BF112" s="160"/>
      <c r="BG112" s="160"/>
      <c r="BH112" s="160"/>
      <c r="BI112" s="160"/>
      <c r="BJ112" s="160"/>
      <c r="BK112" s="160"/>
      <c r="BL112" s="160"/>
      <c r="BM112" s="160"/>
      <c r="BN112" s="160"/>
      <c r="BO112" s="160"/>
      <c r="BP112" s="160"/>
      <c r="BQ112" s="160"/>
      <c r="BR112" s="160"/>
      <c r="BS112" s="160"/>
      <c r="BT112" s="160"/>
      <c r="BU112" s="160"/>
      <c r="BV112" s="160"/>
      <c r="BW112" s="160"/>
      <c r="BX112" s="160"/>
      <c r="BY112" s="160"/>
      <c r="BZ112" s="160"/>
      <c r="CA112" s="160">
        <f>COUNTIF(AJ112:AX112,"*OK*")</f>
        <v>0</v>
      </c>
      <c r="CB112" s="160"/>
      <c r="CC112" s="160">
        <f>COUNTIF(AJ112:AX112,"*OP*")</f>
        <v>0</v>
      </c>
    </row>
    <row r="113" spans="1:81" ht="15" hidden="1" customHeight="1">
      <c r="A113" s="241"/>
      <c r="B113" s="160"/>
      <c r="C113" s="468">
        <f>T113</f>
        <v>33.33</v>
      </c>
      <c r="D113" s="160">
        <f>COUNTIF(AJ113:AX113,"*OK*")</f>
        <v>0</v>
      </c>
      <c r="E113" s="160"/>
      <c r="F113" s="182" t="s">
        <v>476</v>
      </c>
      <c r="G113" s="229" t="s">
        <v>467</v>
      </c>
      <c r="H113" s="168"/>
      <c r="I113" s="168"/>
      <c r="J113" s="229"/>
      <c r="K113" s="196" t="s">
        <v>68</v>
      </c>
      <c r="L113" s="182" t="s">
        <v>456</v>
      </c>
      <c r="M113" s="182"/>
      <c r="N113" s="182"/>
      <c r="O113" s="161">
        <v>33.840000000000003</v>
      </c>
      <c r="P113" s="161">
        <v>39.44</v>
      </c>
      <c r="Q113" s="161">
        <v>35.799999999999997</v>
      </c>
      <c r="R113" s="186">
        <v>36.950000000000003</v>
      </c>
      <c r="S113" s="510">
        <v>35.5749</v>
      </c>
      <c r="T113" s="550">
        <v>33.33</v>
      </c>
      <c r="U113" s="164"/>
      <c r="V113" s="165">
        <v>50</v>
      </c>
      <c r="W113" s="187"/>
      <c r="X113" s="208" t="s">
        <v>70</v>
      </c>
      <c r="Y113" s="166" t="s">
        <v>71</v>
      </c>
      <c r="Z113" s="167" t="s">
        <v>76</v>
      </c>
      <c r="AA113" s="165" t="s">
        <v>59</v>
      </c>
      <c r="AB113" s="188" t="s">
        <v>65</v>
      </c>
      <c r="AC113" s="168" t="s">
        <v>97</v>
      </c>
      <c r="AD113" s="160"/>
      <c r="AE113" s="160"/>
      <c r="AF113" s="160"/>
      <c r="AG113" s="160"/>
      <c r="AH113" s="160"/>
      <c r="AI113" s="163" t="s">
        <v>127</v>
      </c>
      <c r="AJ113" s="170"/>
      <c r="AK113" s="170"/>
      <c r="AL113" s="170" t="s">
        <v>173</v>
      </c>
      <c r="AM113" s="170" t="s">
        <v>173</v>
      </c>
      <c r="AN113" s="170"/>
      <c r="AO113" s="170"/>
      <c r="AP113" s="170"/>
      <c r="AQ113" s="170"/>
      <c r="AR113" s="170"/>
      <c r="AS113" s="170"/>
      <c r="AT113" s="170"/>
      <c r="AU113" s="170"/>
      <c r="AV113" s="170"/>
      <c r="AW113" s="170"/>
      <c r="AX113" s="170"/>
      <c r="AY113" s="170"/>
      <c r="AZ113" s="167" t="s">
        <v>178</v>
      </c>
      <c r="BA113" s="160">
        <f>(COUNTIF(AJ113:AL113,"*OK*")*3) + (COUNTIF(AM113:AO113,"*OK*")*2) + COUNTIF(AP113:AR113,"*OK*")+COUNTIF(AZ113:AZ113,"SI")*0.5</f>
        <v>0</v>
      </c>
      <c r="BB113" s="160" t="str">
        <f>IF(BA113&lt;0.6,"Demasiado Riesgo",IF(BA113&lt;=5,"Riesgo Medio",IF(BA113&lt;=11,"Riesgo Bajo","Cliente Blindado")))</f>
        <v>Demasiado Riesgo</v>
      </c>
      <c r="BC113" s="160"/>
      <c r="BD113" s="160"/>
      <c r="BE113" s="160">
        <v>0</v>
      </c>
      <c r="BF113" s="160"/>
      <c r="BG113" s="160"/>
      <c r="BH113" s="160"/>
      <c r="BI113" s="160"/>
      <c r="BJ113" s="160"/>
      <c r="BK113" s="160"/>
      <c r="BL113" s="160"/>
      <c r="BM113" s="160"/>
      <c r="BN113" s="160"/>
      <c r="BO113" s="160"/>
      <c r="BP113" s="160"/>
      <c r="BQ113" s="160"/>
      <c r="BR113" s="160"/>
      <c r="BS113" s="160"/>
      <c r="BT113" s="160"/>
      <c r="BU113" s="160"/>
      <c r="BV113" s="160"/>
      <c r="BW113" s="160"/>
      <c r="BX113" s="160"/>
      <c r="BY113" s="160"/>
      <c r="BZ113" s="160"/>
      <c r="CA113" s="160">
        <f>COUNTIF(AJ113:AX113,"*OK*")</f>
        <v>0</v>
      </c>
      <c r="CB113" s="160"/>
      <c r="CC113" s="160">
        <f>COUNTIF(AJ113:AX113,"*OP*")</f>
        <v>2</v>
      </c>
    </row>
    <row r="114" spans="1:81" ht="15" hidden="1" customHeight="1">
      <c r="A114" s="240"/>
      <c r="B114" s="171"/>
      <c r="C114" s="468">
        <f>T114</f>
        <v>35.14</v>
      </c>
      <c r="D114" s="171">
        <f>COUNTIF(AJ114:AX114,"*OK*")</f>
        <v>0</v>
      </c>
      <c r="E114" s="171"/>
      <c r="F114" s="183" t="s">
        <v>477</v>
      </c>
      <c r="G114" s="183" t="s">
        <v>473</v>
      </c>
      <c r="H114" s="179"/>
      <c r="I114" s="179"/>
      <c r="J114" s="183"/>
      <c r="K114" s="198" t="s">
        <v>68</v>
      </c>
      <c r="L114" s="183" t="s">
        <v>456</v>
      </c>
      <c r="M114" s="183"/>
      <c r="N114" s="183"/>
      <c r="O114" s="172">
        <v>32.369999999999997</v>
      </c>
      <c r="P114" s="172">
        <v>29.03</v>
      </c>
      <c r="Q114" s="172">
        <v>27.67</v>
      </c>
      <c r="R114" s="193">
        <v>31.81</v>
      </c>
      <c r="S114" s="510">
        <v>32.2363</v>
      </c>
      <c r="T114" s="553">
        <v>35.14</v>
      </c>
      <c r="U114" s="175"/>
      <c r="V114" s="176">
        <v>50</v>
      </c>
      <c r="W114" s="194"/>
      <c r="X114" s="209" t="s">
        <v>70</v>
      </c>
      <c r="Y114" s="177" t="s">
        <v>152</v>
      </c>
      <c r="Z114" s="178" t="s">
        <v>478</v>
      </c>
      <c r="AA114" s="176" t="s">
        <v>59</v>
      </c>
      <c r="AB114" s="195" t="s">
        <v>65</v>
      </c>
      <c r="AC114" s="179" t="s">
        <v>92</v>
      </c>
      <c r="AD114" s="171"/>
      <c r="AE114" s="171"/>
      <c r="AF114" s="171"/>
      <c r="AG114" s="171"/>
      <c r="AH114" s="171"/>
      <c r="AI114" s="178" t="s">
        <v>59</v>
      </c>
      <c r="AJ114" s="170"/>
      <c r="AK114" s="170"/>
      <c r="AL114" s="170"/>
      <c r="AM114" s="170"/>
      <c r="AN114" s="170"/>
      <c r="AO114" s="170"/>
      <c r="AP114" s="170"/>
      <c r="AQ114" s="545"/>
      <c r="AR114" s="170"/>
      <c r="AS114" s="170"/>
      <c r="AT114" s="170"/>
      <c r="AU114" s="170"/>
      <c r="AV114" s="170"/>
      <c r="AW114" s="170"/>
      <c r="AX114" s="170"/>
      <c r="AY114" s="170"/>
      <c r="AZ114" s="178" t="s">
        <v>59</v>
      </c>
      <c r="BA114" s="171">
        <f>(COUNTIF(AJ114:AL114,"*OK*")*3) + (COUNTIF(AM114:AO114,"*OK*")*2) + COUNTIF(AP114:AR114,"*OK*")+COUNTIF(AZ114:AZ114,"SI")*0.5</f>
        <v>0</v>
      </c>
      <c r="BB114" s="171" t="str">
        <f>IF(BA114&lt;0.6,"Demasiado Riesgo",IF(BA114&lt;=5,"Riesgo Medio",IF(BA114&lt;=11,"Riesgo Bajo","Cliente Blindado")))</f>
        <v>Demasiado Riesgo</v>
      </c>
      <c r="BC114" s="171"/>
      <c r="BD114" s="171"/>
      <c r="BE114" s="171">
        <v>0</v>
      </c>
      <c r="BF114" s="171"/>
      <c r="BG114" s="171"/>
      <c r="BH114" s="171"/>
      <c r="BI114" s="171"/>
      <c r="BJ114" s="171"/>
      <c r="BK114" s="171"/>
      <c r="BL114" s="171"/>
      <c r="BM114" s="171"/>
      <c r="BN114" s="171"/>
      <c r="BO114" s="171"/>
      <c r="BP114" s="171"/>
      <c r="BQ114" s="171"/>
      <c r="BR114" s="171"/>
      <c r="BS114" s="171"/>
      <c r="BT114" s="171"/>
      <c r="BU114" s="171"/>
      <c r="BV114" s="171"/>
      <c r="BW114" s="171"/>
      <c r="BX114" s="171"/>
      <c r="BY114" s="171"/>
      <c r="BZ114" s="171"/>
      <c r="CA114" s="171">
        <f>COUNTIF(AJ114:AX114,"*OK*")</f>
        <v>0</v>
      </c>
      <c r="CB114" s="171"/>
      <c r="CC114" s="171">
        <f>COUNTIF(AJ114:AX114,"*OP*")</f>
        <v>0</v>
      </c>
    </row>
    <row r="115" spans="1:81" ht="15" hidden="1" customHeight="1">
      <c r="A115" s="240"/>
      <c r="B115" s="171"/>
      <c r="C115" s="468">
        <f>T115</f>
        <v>53.7</v>
      </c>
      <c r="D115" s="171">
        <f>COUNTIF(AJ115:AX115,"*OK*")</f>
        <v>0</v>
      </c>
      <c r="E115" s="171"/>
      <c r="F115" s="183" t="s">
        <v>479</v>
      </c>
      <c r="G115" s="228" t="s">
        <v>467</v>
      </c>
      <c r="H115" s="179"/>
      <c r="I115" s="179"/>
      <c r="J115" s="228"/>
      <c r="K115" s="198" t="s">
        <v>68</v>
      </c>
      <c r="L115" s="183" t="s">
        <v>456</v>
      </c>
      <c r="M115" s="183"/>
      <c r="N115" s="183"/>
      <c r="O115" s="172">
        <v>60.16</v>
      </c>
      <c r="P115" s="172">
        <v>56.35</v>
      </c>
      <c r="Q115" s="172">
        <v>50.12</v>
      </c>
      <c r="R115" s="193">
        <v>49.88</v>
      </c>
      <c r="S115" s="510">
        <v>50.553699999999999</v>
      </c>
      <c r="T115" s="553">
        <v>53.7</v>
      </c>
      <c r="U115" s="175"/>
      <c r="V115" s="176">
        <v>50</v>
      </c>
      <c r="W115" s="194"/>
      <c r="X115" s="209" t="s">
        <v>70</v>
      </c>
      <c r="Y115" s="177" t="s">
        <v>71</v>
      </c>
      <c r="Z115" s="178" t="s">
        <v>480</v>
      </c>
      <c r="AA115" s="176" t="s">
        <v>59</v>
      </c>
      <c r="AB115" s="195" t="s">
        <v>65</v>
      </c>
      <c r="AC115" s="179" t="s">
        <v>97</v>
      </c>
      <c r="AD115" s="171"/>
      <c r="AE115" s="171"/>
      <c r="AF115" s="171"/>
      <c r="AG115" s="171"/>
      <c r="AH115" s="171"/>
      <c r="AI115" s="178" t="s">
        <v>127</v>
      </c>
      <c r="AJ115" s="170"/>
      <c r="AK115" s="170"/>
      <c r="AL115" s="170" t="s">
        <v>173</v>
      </c>
      <c r="AM115" s="170" t="s">
        <v>173</v>
      </c>
      <c r="AN115" s="170"/>
      <c r="AO115" s="170"/>
      <c r="AP115" s="170"/>
      <c r="AQ115" s="170"/>
      <c r="AR115" s="170"/>
      <c r="AS115" s="170"/>
      <c r="AT115" s="170"/>
      <c r="AU115" s="170"/>
      <c r="AV115" s="170"/>
      <c r="AW115" s="170"/>
      <c r="AX115" s="170"/>
      <c r="AY115" s="170"/>
      <c r="AZ115" s="178" t="s">
        <v>178</v>
      </c>
      <c r="BA115" s="171">
        <f>(COUNTIF(AJ115:AL115,"*OK*")*3) + (COUNTIF(AM115:AO115,"*OK*")*2) + COUNTIF(AP115:AR115,"*OK*")+COUNTIF(AZ115:AZ115,"SI")*0.5</f>
        <v>0</v>
      </c>
      <c r="BB115" s="171" t="str">
        <f>IF(BA115&lt;0.6,"Demasiado Riesgo",IF(BA115&lt;=5,"Riesgo Medio",IF(BA115&lt;=11,"Riesgo Bajo","Cliente Blindado")))</f>
        <v>Demasiado Riesgo</v>
      </c>
      <c r="BC115" s="171"/>
      <c r="BD115" s="171"/>
      <c r="BE115" s="171">
        <v>0</v>
      </c>
      <c r="BF115" s="171"/>
      <c r="BG115" s="171"/>
      <c r="BH115" s="171"/>
      <c r="BI115" s="171"/>
      <c r="BJ115" s="171"/>
      <c r="BK115" s="171"/>
      <c r="BL115" s="171"/>
      <c r="BM115" s="171"/>
      <c r="BN115" s="171"/>
      <c r="BO115" s="171"/>
      <c r="BP115" s="171"/>
      <c r="BQ115" s="171"/>
      <c r="BR115" s="171"/>
      <c r="BS115" s="171"/>
      <c r="BT115" s="171"/>
      <c r="BU115" s="171"/>
      <c r="BV115" s="171"/>
      <c r="BW115" s="171"/>
      <c r="BX115" s="171"/>
      <c r="BY115" s="171"/>
      <c r="BZ115" s="171"/>
      <c r="CA115" s="171">
        <f>COUNTIF(AJ115:AX115,"*OK*")</f>
        <v>0</v>
      </c>
      <c r="CB115" s="171"/>
      <c r="CC115" s="171">
        <f>COUNTIF(AJ115:AX115,"*OP*")</f>
        <v>2</v>
      </c>
    </row>
    <row r="116" spans="1:81" ht="15" hidden="1" customHeight="1">
      <c r="A116" s="241"/>
      <c r="B116" s="160"/>
      <c r="C116" s="468">
        <f>T116</f>
        <v>54.68</v>
      </c>
      <c r="D116" s="160">
        <f>COUNTIF(AJ116:AX116,"*OK*")</f>
        <v>0</v>
      </c>
      <c r="E116" s="160"/>
      <c r="F116" s="182" t="s">
        <v>481</v>
      </c>
      <c r="G116" s="182" t="s">
        <v>473</v>
      </c>
      <c r="H116" s="168"/>
      <c r="I116" s="168"/>
      <c r="J116" s="182"/>
      <c r="K116" s="196" t="s">
        <v>68</v>
      </c>
      <c r="L116" s="182" t="s">
        <v>456</v>
      </c>
      <c r="M116" s="182"/>
      <c r="N116" s="182"/>
      <c r="O116" s="161">
        <v>48.9</v>
      </c>
      <c r="P116" s="161">
        <v>45.55</v>
      </c>
      <c r="Q116" s="161">
        <v>46.56</v>
      </c>
      <c r="R116" s="186">
        <v>51.3</v>
      </c>
      <c r="S116" s="510">
        <v>45.408099999999997</v>
      </c>
      <c r="T116" s="554">
        <v>54.68</v>
      </c>
      <c r="U116" s="164"/>
      <c r="V116" s="165">
        <v>50</v>
      </c>
      <c r="W116" s="187"/>
      <c r="X116" s="203" t="s">
        <v>274</v>
      </c>
      <c r="Y116" s="166" t="s">
        <v>71</v>
      </c>
      <c r="Z116" s="167" t="s">
        <v>482</v>
      </c>
      <c r="AA116" s="165" t="s">
        <v>59</v>
      </c>
      <c r="AB116" s="188" t="s">
        <v>65</v>
      </c>
      <c r="AC116" s="168" t="s">
        <v>92</v>
      </c>
      <c r="AD116" s="160"/>
      <c r="AE116" s="160"/>
      <c r="AF116" s="160"/>
      <c r="AG116" s="160"/>
      <c r="AH116" s="160"/>
      <c r="AI116" s="167" t="s">
        <v>59</v>
      </c>
      <c r="AJ116" s="170"/>
      <c r="AK116" s="170"/>
      <c r="AL116" s="170"/>
      <c r="AM116" s="170"/>
      <c r="AN116" s="170"/>
      <c r="AO116" s="170"/>
      <c r="AP116" s="170"/>
      <c r="AQ116" s="170"/>
      <c r="AR116" s="170"/>
      <c r="AS116" s="170"/>
      <c r="AT116" s="170"/>
      <c r="AU116" s="170"/>
      <c r="AV116" s="170"/>
      <c r="AW116" s="170"/>
      <c r="AX116" s="170"/>
      <c r="AY116" s="170"/>
      <c r="AZ116" s="167" t="s">
        <v>59</v>
      </c>
      <c r="BA116" s="160">
        <f>(COUNTIF(AJ116:AL116,"*OK*")*3) + (COUNTIF(AM116:AO116,"*OK*")*2) + COUNTIF(AP116:AR116,"*OK*")+COUNTIF(AZ116:AZ116,"SI")*0.5</f>
        <v>0</v>
      </c>
      <c r="BB116" s="160" t="str">
        <f>IF(BA116&lt;0.6,"Demasiado Riesgo",IF(BA116&lt;=5,"Riesgo Medio",IF(BA116&lt;=11,"Riesgo Bajo","Cliente Blindado")))</f>
        <v>Demasiado Riesgo</v>
      </c>
      <c r="BC116" s="160"/>
      <c r="BD116" s="160"/>
      <c r="BE116" s="160">
        <v>0</v>
      </c>
      <c r="BF116" s="160"/>
      <c r="BG116" s="160"/>
      <c r="BH116" s="160"/>
      <c r="BI116" s="160"/>
      <c r="BJ116" s="160"/>
      <c r="BK116" s="160"/>
      <c r="BL116" s="160"/>
      <c r="BM116" s="160"/>
      <c r="BN116" s="160"/>
      <c r="BO116" s="160"/>
      <c r="BP116" s="160"/>
      <c r="BQ116" s="160"/>
      <c r="BR116" s="160"/>
      <c r="BS116" s="160"/>
      <c r="BT116" s="160"/>
      <c r="BU116" s="160"/>
      <c r="BV116" s="160"/>
      <c r="BW116" s="160"/>
      <c r="BX116" s="160"/>
      <c r="BY116" s="160"/>
      <c r="BZ116" s="160"/>
      <c r="CA116" s="160">
        <f>COUNTIF(AJ116:AX116,"*OK*")</f>
        <v>0</v>
      </c>
      <c r="CB116" s="160"/>
      <c r="CC116" s="160">
        <f>COUNTIF(AJ116:AX116,"*OP*")</f>
        <v>0</v>
      </c>
    </row>
    <row r="117" spans="1:81" ht="15" hidden="1" customHeight="1">
      <c r="A117" s="500">
        <v>25247</v>
      </c>
      <c r="B117" s="173" t="s">
        <v>483</v>
      </c>
      <c r="C117" s="468">
        <f>T117</f>
        <v>56.8</v>
      </c>
      <c r="D117" s="171">
        <f>COUNTIF(AJ117:AX117,"*OK*")</f>
        <v>0</v>
      </c>
      <c r="E117" s="171"/>
      <c r="F117" s="183" t="s">
        <v>484</v>
      </c>
      <c r="G117" s="183"/>
      <c r="H117" s="179"/>
      <c r="I117" s="179"/>
      <c r="J117" s="183"/>
      <c r="K117" s="192" t="s">
        <v>68</v>
      </c>
      <c r="L117" s="183" t="s">
        <v>456</v>
      </c>
      <c r="M117" s="183"/>
      <c r="N117" s="183"/>
      <c r="O117" s="172">
        <v>57.66</v>
      </c>
      <c r="P117" s="172">
        <v>57.61</v>
      </c>
      <c r="Q117" s="172">
        <v>54.9</v>
      </c>
      <c r="R117" s="193">
        <v>56.67</v>
      </c>
      <c r="S117" s="510">
        <v>57.427900000000001</v>
      </c>
      <c r="T117" s="551">
        <v>56.8</v>
      </c>
      <c r="U117" s="175"/>
      <c r="V117" s="176">
        <v>100</v>
      </c>
      <c r="W117" s="194"/>
      <c r="X117" s="209" t="s">
        <v>70</v>
      </c>
      <c r="Y117" s="177" t="s">
        <v>89</v>
      </c>
      <c r="Z117" s="178" t="s">
        <v>485</v>
      </c>
      <c r="AA117" s="176" t="s">
        <v>91</v>
      </c>
      <c r="AB117" s="195" t="s">
        <v>61</v>
      </c>
      <c r="AC117" s="179" t="s">
        <v>84</v>
      </c>
      <c r="AD117" s="171"/>
      <c r="AE117" s="171"/>
      <c r="AF117" s="171"/>
      <c r="AG117" s="171"/>
      <c r="AH117" s="171"/>
      <c r="AI117" s="180" t="s">
        <v>59</v>
      </c>
      <c r="AJ117" s="170"/>
      <c r="AK117" s="170"/>
      <c r="AL117" s="170"/>
      <c r="AM117" s="170"/>
      <c r="AN117" s="170"/>
      <c r="AO117" s="170"/>
      <c r="AP117" s="170"/>
      <c r="AQ117" s="170"/>
      <c r="AR117" s="170"/>
      <c r="AS117" s="170"/>
      <c r="AT117" s="170"/>
      <c r="AU117" s="170"/>
      <c r="AV117" s="170"/>
      <c r="AW117" s="170"/>
      <c r="AX117" s="170"/>
      <c r="AY117" s="170"/>
      <c r="AZ117" s="180" t="s">
        <v>178</v>
      </c>
      <c r="BA117" s="171">
        <f>(COUNTIF(AJ117:AL117,"*OK*")*3) + (COUNTIF(AM117:AO117,"*OK*")*2) + COUNTIF(AP117:AR117,"*OK*")+COUNTIF(AZ117:AZ117,"SI")*0.5</f>
        <v>0</v>
      </c>
      <c r="BB117" s="171" t="str">
        <f>IF(BA117&lt;0.6,"Demasiado Riesgo",IF(BA117&lt;=5,"Riesgo Medio",IF(BA117&lt;=11,"Riesgo Bajo","Cliente Blindado")))</f>
        <v>Demasiado Riesgo</v>
      </c>
      <c r="BC117" s="171"/>
      <c r="BD117" s="171"/>
      <c r="BE117" s="171">
        <v>0</v>
      </c>
      <c r="BF117" s="171"/>
      <c r="BG117" s="171"/>
      <c r="BH117" s="171"/>
      <c r="BI117" s="171"/>
      <c r="BJ117" s="171"/>
      <c r="BK117" s="171"/>
      <c r="BL117" s="171"/>
      <c r="BM117" s="171"/>
      <c r="BN117" s="171"/>
      <c r="BO117" s="171"/>
      <c r="BP117" s="171"/>
      <c r="BQ117" s="171"/>
      <c r="BR117" s="171"/>
      <c r="BS117" s="171"/>
      <c r="BT117" s="171"/>
      <c r="BU117" s="171"/>
      <c r="BV117" s="171"/>
      <c r="BW117" s="171"/>
      <c r="BX117" s="171"/>
      <c r="BY117" s="171"/>
      <c r="BZ117" s="171"/>
      <c r="CA117" s="171">
        <f>COUNTIF(AJ117:AX117,"*OK*")</f>
        <v>0</v>
      </c>
      <c r="CB117" s="171"/>
      <c r="CC117" s="171">
        <f>COUNTIF(AJ117:AX117,"*OP*")</f>
        <v>0</v>
      </c>
    </row>
    <row r="118" spans="1:81" ht="15" hidden="1" customHeight="1">
      <c r="A118" s="241">
        <v>24294</v>
      </c>
      <c r="B118" s="160" t="s">
        <v>486</v>
      </c>
      <c r="C118" s="468">
        <f>T118</f>
        <v>65.14</v>
      </c>
      <c r="D118" s="160">
        <f>COUNTIF(AJ118:AX118,"*OK*")</f>
        <v>1</v>
      </c>
      <c r="E118" s="160"/>
      <c r="F118" s="184" t="s">
        <v>487</v>
      </c>
      <c r="G118" s="182"/>
      <c r="H118" s="168"/>
      <c r="I118" s="168"/>
      <c r="J118" s="182"/>
      <c r="K118" s="196" t="s">
        <v>68</v>
      </c>
      <c r="L118" s="182" t="s">
        <v>456</v>
      </c>
      <c r="M118" s="182"/>
      <c r="N118" s="182"/>
      <c r="O118" s="161">
        <v>66.12</v>
      </c>
      <c r="P118" s="161">
        <v>66.06</v>
      </c>
      <c r="Q118" s="161">
        <v>62.96</v>
      </c>
      <c r="R118" s="186">
        <v>64.98</v>
      </c>
      <c r="S118" s="510">
        <v>65.858999999999995</v>
      </c>
      <c r="T118" s="550">
        <v>65.14</v>
      </c>
      <c r="U118" s="164"/>
      <c r="V118" s="165">
        <v>500</v>
      </c>
      <c r="W118" s="187"/>
      <c r="X118" s="203" t="s">
        <v>488</v>
      </c>
      <c r="Y118" s="166" t="s">
        <v>80</v>
      </c>
      <c r="Z118" s="167" t="s">
        <v>489</v>
      </c>
      <c r="AA118" s="165" t="s">
        <v>59</v>
      </c>
      <c r="AB118" s="188" t="s">
        <v>104</v>
      </c>
      <c r="AC118" s="168" t="s">
        <v>92</v>
      </c>
      <c r="AD118" s="160"/>
      <c r="AE118" s="160"/>
      <c r="AF118" s="160"/>
      <c r="AG118" s="160"/>
      <c r="AH118" s="160"/>
      <c r="AI118" s="169" t="s">
        <v>178</v>
      </c>
      <c r="AJ118" s="170"/>
      <c r="AK118" s="170"/>
      <c r="AL118" s="170"/>
      <c r="AM118" s="170"/>
      <c r="AN118" s="170"/>
      <c r="AO118" s="170"/>
      <c r="AP118" s="189" t="s">
        <v>111</v>
      </c>
      <c r="AQ118" s="170"/>
      <c r="AR118" s="170"/>
      <c r="AS118" s="170"/>
      <c r="AT118" s="170"/>
      <c r="AU118" s="170"/>
      <c r="AV118" s="170"/>
      <c r="AW118" s="170"/>
      <c r="AX118" s="170"/>
      <c r="AY118" s="170"/>
      <c r="AZ118" s="169" t="s">
        <v>178</v>
      </c>
      <c r="BA118" s="160">
        <f>(COUNTIF(AJ118:AL118,"*OK*")*3) + (COUNTIF(AM118:AO118,"*OK*")*2) + COUNTIF(AP118:AR118,"*OK*")+COUNTIF(AZ118:AZ118,"SI")*0.5</f>
        <v>1</v>
      </c>
      <c r="BB118" s="160" t="str">
        <f>IF(BA118&lt;0.6,"Demasiado Riesgo",IF(BA118&lt;=5,"Riesgo Medio",IF(BA118&lt;=11,"Riesgo Bajo","Cliente Blindado")))</f>
        <v>Riesgo Medio</v>
      </c>
      <c r="BC118" s="160"/>
      <c r="BD118" s="160"/>
      <c r="BE118" s="160">
        <v>0</v>
      </c>
      <c r="BF118" s="160"/>
      <c r="BG118" s="160"/>
      <c r="BH118" s="160"/>
      <c r="BI118" s="160"/>
      <c r="BJ118" s="160"/>
      <c r="BK118" s="160"/>
      <c r="BL118" s="160"/>
      <c r="BM118" s="160"/>
      <c r="BN118" s="160"/>
      <c r="BO118" s="160"/>
      <c r="BP118" s="160"/>
      <c r="BQ118" s="160"/>
      <c r="BR118" s="160"/>
      <c r="BS118" s="160"/>
      <c r="BT118" s="160"/>
      <c r="BU118" s="160"/>
      <c r="BV118" s="160"/>
      <c r="BW118" s="160"/>
      <c r="BX118" s="160"/>
      <c r="BY118" s="160"/>
      <c r="BZ118" s="160"/>
      <c r="CA118" s="160">
        <f>COUNTIF(AJ118:AX118,"*OK*")</f>
        <v>1</v>
      </c>
      <c r="CB118" s="160"/>
      <c r="CC118" s="160">
        <f>COUNTIF(AJ118:AX118,"*OP*")</f>
        <v>0</v>
      </c>
    </row>
    <row r="119" spans="1:81" ht="15" hidden="1" customHeight="1">
      <c r="A119" s="241">
        <v>25441</v>
      </c>
      <c r="B119" s="160" t="s">
        <v>490</v>
      </c>
      <c r="C119" s="468">
        <f>T119</f>
        <v>72</v>
      </c>
      <c r="D119" s="160">
        <f>COUNTIF(AJ119:AX119,"*OK*")</f>
        <v>0</v>
      </c>
      <c r="E119" s="160"/>
      <c r="F119" s="182" t="s">
        <v>491</v>
      </c>
      <c r="G119" s="182"/>
      <c r="H119" s="168"/>
      <c r="I119" s="168"/>
      <c r="J119" s="182"/>
      <c r="K119" s="196" t="s">
        <v>68</v>
      </c>
      <c r="L119" s="182" t="s">
        <v>456</v>
      </c>
      <c r="M119" s="182"/>
      <c r="N119" s="182"/>
      <c r="O119" s="161">
        <v>102</v>
      </c>
      <c r="P119" s="161">
        <v>102</v>
      </c>
      <c r="Q119" s="161">
        <v>102</v>
      </c>
      <c r="R119" s="186">
        <v>96</v>
      </c>
      <c r="S119" s="510">
        <v>75</v>
      </c>
      <c r="T119" s="550">
        <v>72</v>
      </c>
      <c r="U119" s="164"/>
      <c r="V119" s="165">
        <v>200</v>
      </c>
      <c r="W119" s="187"/>
      <c r="X119" s="208" t="s">
        <v>70</v>
      </c>
      <c r="Y119" s="166" t="s">
        <v>363</v>
      </c>
      <c r="Z119" s="167" t="s">
        <v>492</v>
      </c>
      <c r="AA119" s="165" t="s">
        <v>59</v>
      </c>
      <c r="AB119" s="188" t="s">
        <v>493</v>
      </c>
      <c r="AC119" s="168" t="s">
        <v>97</v>
      </c>
      <c r="AD119" s="160"/>
      <c r="AE119" s="160"/>
      <c r="AF119" s="160"/>
      <c r="AG119" s="160"/>
      <c r="AH119" s="160"/>
      <c r="AI119" s="163" t="s">
        <v>127</v>
      </c>
      <c r="AJ119" s="170"/>
      <c r="AK119" s="170"/>
      <c r="AL119" s="170" t="s">
        <v>178</v>
      </c>
      <c r="AM119" s="170"/>
      <c r="AN119" s="170"/>
      <c r="AO119" s="170"/>
      <c r="AP119" s="170"/>
      <c r="AQ119" s="170"/>
      <c r="AR119" s="170"/>
      <c r="AS119" s="170"/>
      <c r="AT119" s="170"/>
      <c r="AU119" s="170"/>
      <c r="AV119" s="170"/>
      <c r="AW119" s="170"/>
      <c r="AX119" s="170"/>
      <c r="AY119" s="170" t="s">
        <v>173</v>
      </c>
      <c r="AZ119" s="169" t="s">
        <v>178</v>
      </c>
      <c r="BA119" s="160">
        <f>(COUNTIF(AJ119:AL119,"*OK*")*3) + (COUNTIF(AM119:AO119,"*OK*")*2) + COUNTIF(AP119:AR119,"*OK*")+COUNTIF(AZ119:AZ119,"SI")*0.5</f>
        <v>0</v>
      </c>
      <c r="BB119" s="160" t="str">
        <f>IF(BA119&lt;0.6,"Demasiado Riesgo",IF(BA119&lt;=5,"Riesgo Medio",IF(BA119&lt;=11,"Riesgo Bajo","Cliente Blindado")))</f>
        <v>Demasiado Riesgo</v>
      </c>
      <c r="BC119" s="160"/>
      <c r="BD119" s="160"/>
      <c r="BE119" s="160">
        <v>0</v>
      </c>
      <c r="BF119" s="160"/>
      <c r="BG119" s="160"/>
      <c r="BH119" s="160"/>
      <c r="BI119" s="160"/>
      <c r="BJ119" s="160"/>
      <c r="BK119" s="160"/>
      <c r="BL119" s="160"/>
      <c r="BM119" s="160"/>
      <c r="BN119" s="160"/>
      <c r="BO119" s="160"/>
      <c r="BP119" s="160"/>
      <c r="BQ119" s="160"/>
      <c r="BR119" s="160"/>
      <c r="BS119" s="160"/>
      <c r="BT119" s="160"/>
      <c r="BU119" s="160"/>
      <c r="BV119" s="160"/>
      <c r="BW119" s="160"/>
      <c r="BX119" s="160"/>
      <c r="BY119" s="160"/>
      <c r="BZ119" s="160"/>
      <c r="CA119" s="160">
        <f>COUNTIF(AJ119:AX119,"*OK*")</f>
        <v>0</v>
      </c>
      <c r="CB119" s="160"/>
      <c r="CC119" s="160">
        <f>COUNTIF(AJ119:AX119,"*OP*")</f>
        <v>0</v>
      </c>
    </row>
    <row r="120" spans="1:81" ht="15" hidden="1" customHeight="1">
      <c r="A120" s="501">
        <v>22030</v>
      </c>
      <c r="B120" s="162"/>
      <c r="C120" s="468">
        <f>T120</f>
        <v>79.739999999999995</v>
      </c>
      <c r="D120" s="160">
        <f>COUNTIF(AJ120:AX120,"*OK*")</f>
        <v>0</v>
      </c>
      <c r="E120" s="160"/>
      <c r="F120" s="182" t="s">
        <v>494</v>
      </c>
      <c r="G120" s="182" t="s">
        <v>469</v>
      </c>
      <c r="H120" s="168"/>
      <c r="I120" s="168"/>
      <c r="J120" s="182"/>
      <c r="K120" s="185" t="s">
        <v>68</v>
      </c>
      <c r="L120" s="182" t="s">
        <v>456</v>
      </c>
      <c r="M120" s="182"/>
      <c r="N120" s="182"/>
      <c r="O120" s="161">
        <v>86.88</v>
      </c>
      <c r="P120" s="161">
        <v>82.85</v>
      </c>
      <c r="Q120" s="161">
        <v>84.6</v>
      </c>
      <c r="R120" s="186">
        <v>83.44</v>
      </c>
      <c r="S120" s="510">
        <v>78.661100000000005</v>
      </c>
      <c r="T120" s="554">
        <v>79.739999999999995</v>
      </c>
      <c r="U120" s="164"/>
      <c r="V120" s="165">
        <v>150</v>
      </c>
      <c r="W120" s="187"/>
      <c r="X120" s="203" t="s">
        <v>100</v>
      </c>
      <c r="Y120" s="166" t="s">
        <v>162</v>
      </c>
      <c r="Z120" s="167" t="s">
        <v>495</v>
      </c>
      <c r="AA120" s="165" t="s">
        <v>59</v>
      </c>
      <c r="AB120" s="188" t="s">
        <v>65</v>
      </c>
      <c r="AC120" s="168" t="s">
        <v>92</v>
      </c>
      <c r="AD120" s="160"/>
      <c r="AE120" s="160"/>
      <c r="AF120" s="160"/>
      <c r="AG120" s="160"/>
      <c r="AH120" s="160"/>
      <c r="AI120" s="163" t="s">
        <v>127</v>
      </c>
      <c r="AJ120" s="170"/>
      <c r="AK120" s="170"/>
      <c r="AL120" s="170"/>
      <c r="AM120" s="170"/>
      <c r="AN120" s="170"/>
      <c r="AO120" s="170"/>
      <c r="AP120" s="170"/>
      <c r="AQ120" s="170"/>
      <c r="AR120" s="170"/>
      <c r="AS120" s="170"/>
      <c r="AT120" s="170"/>
      <c r="AU120" s="170"/>
      <c r="AV120" s="170"/>
      <c r="AW120" s="170"/>
      <c r="AX120" s="170"/>
      <c r="AY120" s="170"/>
      <c r="AZ120" s="169" t="s">
        <v>178</v>
      </c>
      <c r="BA120" s="160">
        <f>(COUNTIF(AJ120:AL120,"*OK*")*3) + (COUNTIF(AM120:AO120,"*OK*")*2) + COUNTIF(AP120:AR120,"*OK*")+COUNTIF(AZ120:AZ120,"SI")*0.5</f>
        <v>0</v>
      </c>
      <c r="BB120" s="160" t="str">
        <f>IF(BA120&lt;0.6,"Demasiado Riesgo",IF(BA120&lt;=5,"Riesgo Medio",IF(BA120&lt;=11,"Riesgo Bajo","Cliente Blindado")))</f>
        <v>Demasiado Riesgo</v>
      </c>
      <c r="BC120" s="160"/>
      <c r="BD120" s="160"/>
      <c r="BE120" s="160">
        <v>0</v>
      </c>
      <c r="BF120" s="160"/>
      <c r="BG120" s="160"/>
      <c r="BH120" s="160"/>
      <c r="BI120" s="160"/>
      <c r="BJ120" s="160"/>
      <c r="BK120" s="160"/>
      <c r="BL120" s="160"/>
      <c r="BM120" s="160"/>
      <c r="BN120" s="160"/>
      <c r="BO120" s="160"/>
      <c r="BP120" s="160"/>
      <c r="BQ120" s="160"/>
      <c r="BR120" s="160"/>
      <c r="BS120" s="160"/>
      <c r="BT120" s="160"/>
      <c r="BU120" s="160"/>
      <c r="BV120" s="160"/>
      <c r="BW120" s="160"/>
      <c r="BX120" s="160"/>
      <c r="BY120" s="160"/>
      <c r="BZ120" s="160"/>
      <c r="CA120" s="160">
        <f>COUNTIF(AJ120:AX120,"*OK*")</f>
        <v>0</v>
      </c>
      <c r="CB120" s="160"/>
      <c r="CC120" s="160">
        <f>COUNTIF(AJ120:AX120,"*OP*")</f>
        <v>0</v>
      </c>
    </row>
    <row r="121" spans="1:81" ht="15" hidden="1" customHeight="1">
      <c r="A121" s="240">
        <v>23195</v>
      </c>
      <c r="B121" s="171" t="s">
        <v>496</v>
      </c>
      <c r="C121" s="468">
        <f>T121</f>
        <v>83.96</v>
      </c>
      <c r="D121" s="171">
        <f>COUNTIF(AJ121:AX121,"*OK*")</f>
        <v>0</v>
      </c>
      <c r="E121" s="171"/>
      <c r="F121" s="183" t="s">
        <v>497</v>
      </c>
      <c r="G121" s="183"/>
      <c r="H121" s="179"/>
      <c r="I121" s="179"/>
      <c r="J121" s="183"/>
      <c r="K121" s="198" t="s">
        <v>68</v>
      </c>
      <c r="L121" s="183" t="s">
        <v>456</v>
      </c>
      <c r="M121" s="183"/>
      <c r="N121" s="183"/>
      <c r="O121" s="172">
        <v>82.73</v>
      </c>
      <c r="P121" s="172">
        <v>86.41</v>
      </c>
      <c r="Q121" s="172">
        <v>82.35</v>
      </c>
      <c r="R121" s="193">
        <v>80.069999999999993</v>
      </c>
      <c r="S121" s="510">
        <v>83.644999999999996</v>
      </c>
      <c r="T121" s="553">
        <v>83.96</v>
      </c>
      <c r="U121" s="175"/>
      <c r="V121" s="176">
        <v>100</v>
      </c>
      <c r="W121" s="194"/>
      <c r="X121" s="209" t="s">
        <v>70</v>
      </c>
      <c r="Y121" s="177" t="s">
        <v>89</v>
      </c>
      <c r="Z121" s="178" t="s">
        <v>498</v>
      </c>
      <c r="AA121" s="176" t="s">
        <v>59</v>
      </c>
      <c r="AB121" s="195" t="s">
        <v>65</v>
      </c>
      <c r="AC121" s="179" t="s">
        <v>84</v>
      </c>
      <c r="AD121" s="171"/>
      <c r="AE121" s="171"/>
      <c r="AF121" s="171"/>
      <c r="AG121" s="171"/>
      <c r="AH121" s="171"/>
      <c r="AI121" s="174" t="s">
        <v>127</v>
      </c>
      <c r="AJ121" s="170"/>
      <c r="AK121" s="170"/>
      <c r="AL121" s="170"/>
      <c r="AM121" s="170"/>
      <c r="AN121" s="170"/>
      <c r="AO121" s="170"/>
      <c r="AP121" s="170"/>
      <c r="AQ121" s="170"/>
      <c r="AR121" s="170"/>
      <c r="AS121" s="170"/>
      <c r="AT121" s="170"/>
      <c r="AU121" s="170"/>
      <c r="AV121" s="170"/>
      <c r="AW121" s="170"/>
      <c r="AX121" s="170"/>
      <c r="AY121" s="170"/>
      <c r="AZ121" s="178" t="s">
        <v>178</v>
      </c>
      <c r="BA121" s="171">
        <f>(COUNTIF(AJ121:AL121,"*OK*")*3) + (COUNTIF(AM121:AO121,"*OK*")*2) + COUNTIF(AP121:AR121,"*OK*")+COUNTIF(AZ121:AZ121,"SI")*0.5</f>
        <v>0</v>
      </c>
      <c r="BB121" s="171" t="str">
        <f>IF(BA121&lt;0.6,"Demasiado Riesgo",IF(BA121&lt;=5,"Riesgo Medio",IF(BA121&lt;=11,"Riesgo Bajo","Cliente Blindado")))</f>
        <v>Demasiado Riesgo</v>
      </c>
      <c r="BC121" s="171"/>
      <c r="BD121" s="171"/>
      <c r="BE121" s="171">
        <v>0</v>
      </c>
      <c r="BF121" s="171"/>
      <c r="BG121" s="171"/>
      <c r="BH121" s="171"/>
      <c r="BI121" s="171"/>
      <c r="BJ121" s="171"/>
      <c r="BK121" s="171"/>
      <c r="BL121" s="171"/>
      <c r="BM121" s="171"/>
      <c r="BN121" s="171"/>
      <c r="BO121" s="171"/>
      <c r="BP121" s="171"/>
      <c r="BQ121" s="171"/>
      <c r="BR121" s="171"/>
      <c r="BS121" s="171"/>
      <c r="BT121" s="171"/>
      <c r="BU121" s="171"/>
      <c r="BV121" s="171"/>
      <c r="BW121" s="171"/>
      <c r="BX121" s="171"/>
      <c r="BY121" s="171"/>
      <c r="BZ121" s="171"/>
      <c r="CA121" s="171">
        <f>COUNTIF(AJ121:AX121,"*OK*")</f>
        <v>0</v>
      </c>
      <c r="CB121" s="171"/>
      <c r="CC121" s="171">
        <f>COUNTIF(AJ121:AX121,"*OP*")</f>
        <v>0</v>
      </c>
    </row>
    <row r="122" spans="1:81" ht="15" hidden="1" customHeight="1">
      <c r="A122" s="503"/>
      <c r="B122" s="227"/>
      <c r="C122" s="468">
        <f>T122</f>
        <v>87.52</v>
      </c>
      <c r="D122" s="171">
        <f>COUNTIF(AJ122:AX122,"*OK*")</f>
        <v>0</v>
      </c>
      <c r="E122" s="171"/>
      <c r="F122" s="183" t="s">
        <v>499</v>
      </c>
      <c r="G122" s="183" t="s">
        <v>469</v>
      </c>
      <c r="H122" s="179"/>
      <c r="I122" s="179"/>
      <c r="J122" s="183"/>
      <c r="K122" s="192" t="s">
        <v>68</v>
      </c>
      <c r="L122" s="183" t="s">
        <v>456</v>
      </c>
      <c r="M122" s="183"/>
      <c r="N122" s="183"/>
      <c r="O122" s="172">
        <v>96.75</v>
      </c>
      <c r="P122" s="172">
        <v>98.63</v>
      </c>
      <c r="Q122" s="172">
        <v>97.76</v>
      </c>
      <c r="R122" s="193">
        <v>97.02</v>
      </c>
      <c r="S122" s="510">
        <v>90.460300000000004</v>
      </c>
      <c r="T122" s="551">
        <v>87.52</v>
      </c>
      <c r="U122" s="175"/>
      <c r="V122" s="176">
        <v>150</v>
      </c>
      <c r="W122" s="194"/>
      <c r="X122" s="209" t="s">
        <v>70</v>
      </c>
      <c r="Y122" s="177" t="s">
        <v>162</v>
      </c>
      <c r="Z122" s="178" t="s">
        <v>500</v>
      </c>
      <c r="AA122" s="176" t="s">
        <v>59</v>
      </c>
      <c r="AB122" s="195" t="s">
        <v>65</v>
      </c>
      <c r="AC122" s="179" t="s">
        <v>92</v>
      </c>
      <c r="AD122" s="171"/>
      <c r="AE122" s="171"/>
      <c r="AF122" s="171"/>
      <c r="AG122" s="171"/>
      <c r="AH122" s="171"/>
      <c r="AI122" s="178" t="s">
        <v>59</v>
      </c>
      <c r="AJ122" s="170"/>
      <c r="AK122" s="170"/>
      <c r="AL122" s="170"/>
      <c r="AM122" s="170"/>
      <c r="AN122" s="170"/>
      <c r="AO122" s="170"/>
      <c r="AP122" s="170"/>
      <c r="AQ122" s="170"/>
      <c r="AR122" s="170"/>
      <c r="AS122" s="170"/>
      <c r="AT122" s="170"/>
      <c r="AU122" s="170"/>
      <c r="AV122" s="170"/>
      <c r="AW122" s="170"/>
      <c r="AX122" s="170"/>
      <c r="AY122" s="170"/>
      <c r="AZ122" s="178" t="s">
        <v>59</v>
      </c>
      <c r="BA122" s="171">
        <f>(COUNTIF(AJ122:AL122,"*OK*")*3) + (COUNTIF(AM122:AO122,"*OK*")*2) + COUNTIF(AP122:AR122,"*OK*")+COUNTIF(AZ122:AZ122,"SI")*0.5</f>
        <v>0</v>
      </c>
      <c r="BB122" s="171" t="str">
        <f>IF(BA122&lt;0.6,"Demasiado Riesgo",IF(BA122&lt;=5,"Riesgo Medio",IF(BA122&lt;=11,"Riesgo Bajo","Cliente Blindado")))</f>
        <v>Demasiado Riesgo</v>
      </c>
      <c r="BC122" s="171"/>
      <c r="BD122" s="171"/>
      <c r="BE122" s="171">
        <v>0</v>
      </c>
      <c r="BF122" s="171"/>
      <c r="BG122" s="171"/>
      <c r="BH122" s="171"/>
      <c r="BI122" s="171"/>
      <c r="BJ122" s="171"/>
      <c r="BK122" s="171"/>
      <c r="BL122" s="171"/>
      <c r="BM122" s="171"/>
      <c r="BN122" s="171"/>
      <c r="BO122" s="171"/>
      <c r="BP122" s="171"/>
      <c r="BQ122" s="171"/>
      <c r="BR122" s="171"/>
      <c r="BS122" s="171"/>
      <c r="BT122" s="171"/>
      <c r="BU122" s="171"/>
      <c r="BV122" s="171"/>
      <c r="BW122" s="171"/>
      <c r="BX122" s="171"/>
      <c r="BY122" s="171"/>
      <c r="BZ122" s="171"/>
      <c r="CA122" s="171">
        <f>COUNTIF(AJ122:AX122,"*OK*")</f>
        <v>0</v>
      </c>
      <c r="CB122" s="171"/>
      <c r="CC122" s="171">
        <f>COUNTIF(AJ122:AX122,"*OP*")</f>
        <v>0</v>
      </c>
    </row>
    <row r="123" spans="1:81" ht="15" hidden="1" customHeight="1">
      <c r="A123" s="241">
        <v>2418</v>
      </c>
      <c r="B123" s="160" t="s">
        <v>501</v>
      </c>
      <c r="C123" s="468">
        <f>T123</f>
        <v>89.1</v>
      </c>
      <c r="D123" s="160">
        <f>COUNTIF(AJ123:AX123,"*OK*")</f>
        <v>0</v>
      </c>
      <c r="E123" s="160"/>
      <c r="F123" s="182" t="s">
        <v>502</v>
      </c>
      <c r="G123" s="182"/>
      <c r="H123" s="168" t="s">
        <v>503</v>
      </c>
      <c r="I123" s="168"/>
      <c r="J123" s="182"/>
      <c r="K123" s="196" t="s">
        <v>68</v>
      </c>
      <c r="L123" s="182" t="s">
        <v>456</v>
      </c>
      <c r="M123" s="182"/>
      <c r="N123" s="182"/>
      <c r="O123" s="161">
        <v>97.35</v>
      </c>
      <c r="P123" s="161">
        <v>99</v>
      </c>
      <c r="Q123" s="161">
        <v>105.6</v>
      </c>
      <c r="R123" s="186">
        <v>97.35</v>
      </c>
      <c r="S123" s="510">
        <v>100.65</v>
      </c>
      <c r="T123" s="550">
        <v>89.1</v>
      </c>
      <c r="U123" s="164"/>
      <c r="V123" s="165">
        <v>500</v>
      </c>
      <c r="W123" s="187"/>
      <c r="X123" s="208" t="s">
        <v>70</v>
      </c>
      <c r="Y123" s="166" t="s">
        <v>243</v>
      </c>
      <c r="Z123" s="167" t="s">
        <v>504</v>
      </c>
      <c r="AA123" s="165" t="s">
        <v>59</v>
      </c>
      <c r="AB123" s="188" t="s">
        <v>505</v>
      </c>
      <c r="AC123" s="168" t="s">
        <v>92</v>
      </c>
      <c r="AD123" s="160"/>
      <c r="AE123" s="160"/>
      <c r="AF123" s="160"/>
      <c r="AG123" s="160"/>
      <c r="AH123" s="160"/>
      <c r="AI123" s="169" t="s">
        <v>127</v>
      </c>
      <c r="AJ123" s="170"/>
      <c r="AK123" s="170"/>
      <c r="AL123" s="170"/>
      <c r="AM123" s="170"/>
      <c r="AN123" s="170"/>
      <c r="AO123" s="170"/>
      <c r="AP123" s="170"/>
      <c r="AQ123" s="170"/>
      <c r="AR123" s="170"/>
      <c r="AS123" s="170"/>
      <c r="AT123" s="170"/>
      <c r="AU123" s="170"/>
      <c r="AV123" s="170"/>
      <c r="AW123" s="170"/>
      <c r="AX123" s="170"/>
      <c r="AY123" s="170"/>
      <c r="AZ123" s="169" t="s">
        <v>178</v>
      </c>
      <c r="BA123" s="160">
        <f>(COUNTIF(AJ123:AL123,"*OK*")*3) + (COUNTIF(AM123:AO123,"*OK*")*2) + COUNTIF(AP123:AR123,"*OK*")+COUNTIF(AZ123:AZ123,"SI")*0.5</f>
        <v>0</v>
      </c>
      <c r="BB123" s="160" t="str">
        <f>IF(BA123&lt;0.6,"Demasiado Riesgo",IF(BA123&lt;=5,"Riesgo Medio",IF(BA123&lt;=11,"Riesgo Bajo","Cliente Blindado")))</f>
        <v>Demasiado Riesgo</v>
      </c>
      <c r="BC123" s="160"/>
      <c r="BD123" s="160"/>
      <c r="BE123" s="160">
        <v>0</v>
      </c>
      <c r="BF123" s="160"/>
      <c r="BG123" s="160"/>
      <c r="BH123" s="160"/>
      <c r="BI123" s="160"/>
      <c r="BJ123" s="160"/>
      <c r="BK123" s="160"/>
      <c r="BL123" s="160"/>
      <c r="BM123" s="160"/>
      <c r="BN123" s="160"/>
      <c r="BO123" s="160"/>
      <c r="BP123" s="160"/>
      <c r="BQ123" s="160"/>
      <c r="BR123" s="160"/>
      <c r="BS123" s="160"/>
      <c r="BT123" s="160"/>
      <c r="BU123" s="160"/>
      <c r="BV123" s="160"/>
      <c r="BW123" s="160"/>
      <c r="BX123" s="160"/>
      <c r="BY123" s="160"/>
      <c r="BZ123" s="160"/>
      <c r="CA123" s="160">
        <f>COUNTIF(AJ123:AX123,"*OK*")</f>
        <v>0</v>
      </c>
      <c r="CB123" s="160"/>
      <c r="CC123" s="160">
        <f>COUNTIF(AJ123:AX123,"*OP*")</f>
        <v>0</v>
      </c>
    </row>
    <row r="124" spans="1:81" ht="15" hidden="1" customHeight="1">
      <c r="A124" s="240"/>
      <c r="B124" s="171"/>
      <c r="C124" s="468">
        <f>T124</f>
        <v>89.82</v>
      </c>
      <c r="D124" s="171">
        <f>COUNTIF(AJ124:AX124,"*OK*")</f>
        <v>0</v>
      </c>
      <c r="E124" s="171"/>
      <c r="F124" s="183" t="s">
        <v>506</v>
      </c>
      <c r="G124" s="183" t="s">
        <v>473</v>
      </c>
      <c r="H124" s="179"/>
      <c r="I124" s="179"/>
      <c r="J124" s="183"/>
      <c r="K124" s="198" t="s">
        <v>68</v>
      </c>
      <c r="L124" s="183" t="s">
        <v>456</v>
      </c>
      <c r="M124" s="183"/>
      <c r="N124" s="183"/>
      <c r="O124" s="172">
        <v>94.49</v>
      </c>
      <c r="P124" s="172">
        <v>87.8</v>
      </c>
      <c r="Q124" s="172">
        <v>83.67</v>
      </c>
      <c r="R124" s="193">
        <v>86.36</v>
      </c>
      <c r="S124" s="510">
        <v>87.523200000000003</v>
      </c>
      <c r="T124" s="553">
        <v>89.82</v>
      </c>
      <c r="U124" s="175"/>
      <c r="V124" s="176">
        <v>100</v>
      </c>
      <c r="W124" s="194"/>
      <c r="X124" s="177" t="s">
        <v>253</v>
      </c>
      <c r="Y124" s="177" t="s">
        <v>71</v>
      </c>
      <c r="Z124" s="178" t="s">
        <v>507</v>
      </c>
      <c r="AA124" s="176" t="s">
        <v>59</v>
      </c>
      <c r="AB124" s="195" t="s">
        <v>65</v>
      </c>
      <c r="AC124" s="179" t="s">
        <v>92</v>
      </c>
      <c r="AD124" s="171"/>
      <c r="AE124" s="171"/>
      <c r="AF124" s="171"/>
      <c r="AG124" s="171"/>
      <c r="AH124" s="171"/>
      <c r="AI124" s="178" t="s">
        <v>127</v>
      </c>
      <c r="AJ124" s="170"/>
      <c r="AK124" s="170"/>
      <c r="AL124" s="170"/>
      <c r="AM124" s="170"/>
      <c r="AN124" s="170"/>
      <c r="AO124" s="170"/>
      <c r="AP124" s="170"/>
      <c r="AQ124" s="170"/>
      <c r="AR124" s="170"/>
      <c r="AS124" s="170"/>
      <c r="AT124" s="170"/>
      <c r="AU124" s="170"/>
      <c r="AV124" s="170"/>
      <c r="AW124" s="170"/>
      <c r="AX124" s="170"/>
      <c r="AY124" s="170"/>
      <c r="AZ124" s="178" t="s">
        <v>127</v>
      </c>
      <c r="BA124" s="171">
        <f>(COUNTIF(AJ124:AL124,"*OK*")*3) + (COUNTIF(AM124:AO124,"*OK*")*2) + COUNTIF(AP124:AR124,"*OK*")+COUNTIF(AZ124:AZ124,"SI")*0.5</f>
        <v>0.5</v>
      </c>
      <c r="BB124" s="171" t="str">
        <f>IF(BA124&lt;0.6,"Demasiado Riesgo",IF(BA124&lt;=5,"Riesgo Medio",IF(BA124&lt;=11,"Riesgo Bajo","Cliente Blindado")))</f>
        <v>Demasiado Riesgo</v>
      </c>
      <c r="BC124" s="171"/>
      <c r="BD124" s="171"/>
      <c r="BE124" s="171">
        <v>0</v>
      </c>
      <c r="BF124" s="171"/>
      <c r="BG124" s="171"/>
      <c r="BH124" s="171"/>
      <c r="BI124" s="171"/>
      <c r="BJ124" s="171"/>
      <c r="BK124" s="171"/>
      <c r="BL124" s="171"/>
      <c r="BM124" s="171"/>
      <c r="BN124" s="171"/>
      <c r="BO124" s="171"/>
      <c r="BP124" s="171"/>
      <c r="BQ124" s="171"/>
      <c r="BR124" s="171"/>
      <c r="BS124" s="171"/>
      <c r="BT124" s="171"/>
      <c r="BU124" s="171"/>
      <c r="BV124" s="171"/>
      <c r="BW124" s="171"/>
      <c r="BX124" s="171"/>
      <c r="BY124" s="171"/>
      <c r="BZ124" s="171"/>
      <c r="CA124" s="171">
        <f>COUNTIF(AJ124:AX124,"*OK*")</f>
        <v>0</v>
      </c>
      <c r="CB124" s="171"/>
      <c r="CC124" s="171">
        <f>COUNTIF(AJ124:AX124,"*OP*")</f>
        <v>0</v>
      </c>
    </row>
    <row r="125" spans="1:81" ht="15" hidden="1" customHeight="1">
      <c r="A125" s="241"/>
      <c r="B125" s="160"/>
      <c r="C125" s="468">
        <f>T125</f>
        <v>102.7</v>
      </c>
      <c r="D125" s="160">
        <f>COUNTIF(AJ125:AX125,"*OK*")</f>
        <v>0</v>
      </c>
      <c r="E125" s="160"/>
      <c r="F125" s="197" t="s">
        <v>508</v>
      </c>
      <c r="G125" s="182"/>
      <c r="H125" s="168" t="s">
        <v>509</v>
      </c>
      <c r="I125" s="168"/>
      <c r="J125" s="182"/>
      <c r="K125" s="196" t="s">
        <v>68</v>
      </c>
      <c r="L125" s="182" t="s">
        <v>456</v>
      </c>
      <c r="M125" s="182"/>
      <c r="N125" s="182"/>
      <c r="O125" s="161">
        <v>258.70999999999998</v>
      </c>
      <c r="P125" s="161">
        <v>270.05</v>
      </c>
      <c r="Q125" s="161">
        <v>242.64</v>
      </c>
      <c r="R125" s="186">
        <v>79.69</v>
      </c>
      <c r="S125" s="510">
        <v>103.8372</v>
      </c>
      <c r="T125" s="550">
        <v>102.7</v>
      </c>
      <c r="U125" s="164"/>
      <c r="V125" s="165">
        <v>100</v>
      </c>
      <c r="W125" s="187"/>
      <c r="X125" s="208" t="s">
        <v>70</v>
      </c>
      <c r="Y125" s="166" t="s">
        <v>71</v>
      </c>
      <c r="Z125" s="167" t="s">
        <v>510</v>
      </c>
      <c r="AA125" s="165" t="s">
        <v>59</v>
      </c>
      <c r="AB125" s="188" t="s">
        <v>65</v>
      </c>
      <c r="AC125" s="168" t="s">
        <v>97</v>
      </c>
      <c r="AD125" s="160"/>
      <c r="AE125" s="160"/>
      <c r="AF125" s="160"/>
      <c r="AG125" s="160"/>
      <c r="AH125" s="160"/>
      <c r="AI125" s="167" t="s">
        <v>59</v>
      </c>
      <c r="AJ125" s="170"/>
      <c r="AK125" s="170"/>
      <c r="AL125" s="170"/>
      <c r="AM125" s="170"/>
      <c r="AN125" s="170"/>
      <c r="AO125" s="170"/>
      <c r="AP125" s="170"/>
      <c r="AQ125" s="170"/>
      <c r="AR125" s="170"/>
      <c r="AS125" s="170"/>
      <c r="AT125" s="170"/>
      <c r="AU125" s="170"/>
      <c r="AV125" s="170"/>
      <c r="AW125" s="170"/>
      <c r="AX125" s="170"/>
      <c r="AY125" s="170" t="s">
        <v>173</v>
      </c>
      <c r="AZ125" s="167" t="s">
        <v>59</v>
      </c>
      <c r="BA125" s="160">
        <f>(COUNTIF(AJ125:AL125,"*OK*")*3) + (COUNTIF(AM125:AO125,"*OK*")*2) + COUNTIF(AP125:AR125,"*OK*")+COUNTIF(AZ125:AZ125,"SI")*0.5</f>
        <v>0</v>
      </c>
      <c r="BB125" s="160" t="str">
        <f>IF(BA125&lt;0.6,"Demasiado Riesgo",IF(BA125&lt;=5,"Riesgo Medio",IF(BA125&lt;=11,"Riesgo Bajo","Cliente Blindado")))</f>
        <v>Demasiado Riesgo</v>
      </c>
      <c r="BC125" s="160"/>
      <c r="BD125" s="160"/>
      <c r="BE125" s="160">
        <v>0</v>
      </c>
      <c r="BF125" s="160"/>
      <c r="BG125" s="160"/>
      <c r="BH125" s="160"/>
      <c r="BI125" s="160"/>
      <c r="BJ125" s="160"/>
      <c r="BK125" s="160"/>
      <c r="BL125" s="160"/>
      <c r="BM125" s="160"/>
      <c r="BN125" s="160"/>
      <c r="BO125" s="160"/>
      <c r="BP125" s="160"/>
      <c r="BQ125" s="160"/>
      <c r="BR125" s="160"/>
      <c r="BS125" s="160"/>
      <c r="BT125" s="160"/>
      <c r="BU125" s="160"/>
      <c r="BV125" s="160"/>
      <c r="BW125" s="160"/>
      <c r="BX125" s="160"/>
      <c r="BY125" s="160"/>
      <c r="BZ125" s="160"/>
      <c r="CA125" s="160">
        <f>COUNTIF(AJ125:AX125,"*OK*")</f>
        <v>0</v>
      </c>
      <c r="CB125" s="160"/>
      <c r="CC125" s="160">
        <f>COUNTIF(AJ125:AX125,"*OP*")</f>
        <v>0</v>
      </c>
    </row>
    <row r="126" spans="1:81" ht="15" hidden="1" customHeight="1">
      <c r="A126" s="241">
        <v>28896</v>
      </c>
      <c r="B126" s="160" t="s">
        <v>511</v>
      </c>
      <c r="C126" s="468">
        <f>T126</f>
        <v>109.31</v>
      </c>
      <c r="D126" s="160">
        <f>COUNTIF(AJ126:AX126,"*OK*")</f>
        <v>0</v>
      </c>
      <c r="E126" s="160"/>
      <c r="F126" s="182" t="s">
        <v>512</v>
      </c>
      <c r="G126" s="182"/>
      <c r="H126" s="168"/>
      <c r="I126" s="168"/>
      <c r="J126" s="182"/>
      <c r="K126" s="196" t="s">
        <v>68</v>
      </c>
      <c r="L126" s="182" t="s">
        <v>456</v>
      </c>
      <c r="M126" s="182"/>
      <c r="N126" s="182"/>
      <c r="O126" s="161">
        <v>129.91</v>
      </c>
      <c r="P126" s="161">
        <v>124.38</v>
      </c>
      <c r="Q126" s="161">
        <v>118.54</v>
      </c>
      <c r="R126" s="186">
        <v>109.05</v>
      </c>
      <c r="S126" s="510">
        <v>110.51949999999999</v>
      </c>
      <c r="T126" s="550">
        <v>109.31</v>
      </c>
      <c r="U126" s="164"/>
      <c r="V126" s="165">
        <v>150</v>
      </c>
      <c r="W126" s="187"/>
      <c r="X126" s="203" t="s">
        <v>285</v>
      </c>
      <c r="Y126" s="166" t="s">
        <v>125</v>
      </c>
      <c r="Z126" s="167" t="s">
        <v>513</v>
      </c>
      <c r="AA126" s="165" t="s">
        <v>59</v>
      </c>
      <c r="AB126" s="188" t="s">
        <v>194</v>
      </c>
      <c r="AC126" s="168" t="s">
        <v>97</v>
      </c>
      <c r="AD126" s="160"/>
      <c r="AE126" s="160"/>
      <c r="AF126" s="160"/>
      <c r="AG126" s="160"/>
      <c r="AH126" s="160"/>
      <c r="AI126" s="169" t="s">
        <v>59</v>
      </c>
      <c r="AJ126" s="170"/>
      <c r="AK126" s="170"/>
      <c r="AL126" s="170" t="s">
        <v>173</v>
      </c>
      <c r="AM126" s="170"/>
      <c r="AN126" s="170"/>
      <c r="AO126" s="170"/>
      <c r="AP126" s="170"/>
      <c r="AQ126" s="170"/>
      <c r="AR126" s="170"/>
      <c r="AS126" s="170"/>
      <c r="AT126" s="170"/>
      <c r="AU126" s="170"/>
      <c r="AV126" s="170"/>
      <c r="AW126" s="170"/>
      <c r="AX126" s="170"/>
      <c r="AY126" s="170"/>
      <c r="AZ126" s="167" t="s">
        <v>178</v>
      </c>
      <c r="BA126" s="160">
        <f>(COUNTIF(AJ126:AL126,"*OK*")*3) + (COUNTIF(AM126:AO126,"*OK*")*2) + COUNTIF(AP126:AR126,"*OK*")+COUNTIF(AZ126:AZ126,"SI")*0.5</f>
        <v>0</v>
      </c>
      <c r="BB126" s="160" t="str">
        <f>IF(BA126&lt;0.6,"Demasiado Riesgo",IF(BA126&lt;=5,"Riesgo Medio",IF(BA126&lt;=11,"Riesgo Bajo","Cliente Blindado")))</f>
        <v>Demasiado Riesgo</v>
      </c>
      <c r="BC126" s="160"/>
      <c r="BD126" s="160"/>
      <c r="BE126" s="160">
        <v>0</v>
      </c>
      <c r="BF126" s="160"/>
      <c r="BG126" s="160"/>
      <c r="BH126" s="160"/>
      <c r="BI126" s="160"/>
      <c r="BJ126" s="160"/>
      <c r="BK126" s="160"/>
      <c r="BL126" s="160"/>
      <c r="BM126" s="160"/>
      <c r="BN126" s="160"/>
      <c r="BO126" s="160"/>
      <c r="BP126" s="160"/>
      <c r="BQ126" s="160"/>
      <c r="BR126" s="160"/>
      <c r="BS126" s="160"/>
      <c r="BT126" s="160"/>
      <c r="BU126" s="160"/>
      <c r="BV126" s="160"/>
      <c r="BW126" s="160"/>
      <c r="BX126" s="160"/>
      <c r="BY126" s="160"/>
      <c r="BZ126" s="160"/>
      <c r="CA126" s="160">
        <f>COUNTIF(AJ126:AX126,"*OK*")</f>
        <v>0</v>
      </c>
      <c r="CB126" s="160"/>
      <c r="CC126" s="160">
        <f>COUNTIF(AJ126:AX126,"*OP*")</f>
        <v>1</v>
      </c>
    </row>
    <row r="127" spans="1:81" ht="15" hidden="1" customHeight="1">
      <c r="A127" s="240">
        <v>25626</v>
      </c>
      <c r="B127" s="171" t="s">
        <v>514</v>
      </c>
      <c r="C127" s="468">
        <f>T127</f>
        <v>116.69</v>
      </c>
      <c r="D127" s="171">
        <f>COUNTIF(AJ127:AX127,"*OK*")</f>
        <v>0</v>
      </c>
      <c r="E127" s="171"/>
      <c r="F127" s="183" t="s">
        <v>515</v>
      </c>
      <c r="G127" s="183"/>
      <c r="H127" s="179"/>
      <c r="I127" s="179"/>
      <c r="J127" s="183"/>
      <c r="K127" s="198" t="s">
        <v>68</v>
      </c>
      <c r="L127" s="183" t="s">
        <v>456</v>
      </c>
      <c r="M127" s="183"/>
      <c r="N127" s="183"/>
      <c r="O127" s="172">
        <v>107.49</v>
      </c>
      <c r="P127" s="172">
        <v>103.01</v>
      </c>
      <c r="Q127" s="172">
        <v>104.43</v>
      </c>
      <c r="R127" s="193">
        <v>109.95</v>
      </c>
      <c r="S127" s="510">
        <v>126.7243</v>
      </c>
      <c r="T127" s="551">
        <v>116.69</v>
      </c>
      <c r="U127" s="175"/>
      <c r="V127" s="176">
        <v>200</v>
      </c>
      <c r="W127" s="194"/>
      <c r="X127" s="209" t="s">
        <v>70</v>
      </c>
      <c r="Y127" s="177" t="s">
        <v>162</v>
      </c>
      <c r="Z127" s="178" t="s">
        <v>516</v>
      </c>
      <c r="AA127" s="176" t="s">
        <v>162</v>
      </c>
      <c r="AB127" s="195" t="s">
        <v>240</v>
      </c>
      <c r="AC127" s="179" t="s">
        <v>92</v>
      </c>
      <c r="AD127" s="171"/>
      <c r="AE127" s="171"/>
      <c r="AF127" s="171"/>
      <c r="AG127" s="171"/>
      <c r="AH127" s="171"/>
      <c r="AI127" s="174" t="s">
        <v>59</v>
      </c>
      <c r="AJ127" s="170"/>
      <c r="AK127" s="170"/>
      <c r="AL127" s="170"/>
      <c r="AM127" s="170"/>
      <c r="AN127" s="170"/>
      <c r="AO127" s="170"/>
      <c r="AP127" s="170"/>
      <c r="AQ127" s="170"/>
      <c r="AR127" s="170"/>
      <c r="AS127" s="170"/>
      <c r="AT127" s="170"/>
      <c r="AU127" s="170"/>
      <c r="AV127" s="170"/>
      <c r="AW127" s="170"/>
      <c r="AX127" s="170"/>
      <c r="AY127" s="170"/>
      <c r="AZ127" s="178" t="s">
        <v>178</v>
      </c>
      <c r="BA127" s="171">
        <f>(COUNTIF(AJ127:AL127,"*OK*")*3) + (COUNTIF(AM127:AO127,"*OK*")*2) + COUNTIF(AP127:AR127,"*OK*")+COUNTIF(AZ127:AZ127,"SI")*0.5</f>
        <v>0</v>
      </c>
      <c r="BB127" s="171" t="str">
        <f>IF(BA127&lt;0.6,"Demasiado Riesgo",IF(BA127&lt;=5,"Riesgo Medio",IF(BA127&lt;=11,"Riesgo Bajo","Cliente Blindado")))</f>
        <v>Demasiado Riesgo</v>
      </c>
      <c r="BC127" s="171"/>
      <c r="BD127" s="171"/>
      <c r="BE127" s="171">
        <v>0</v>
      </c>
      <c r="BF127" s="171"/>
      <c r="BG127" s="171"/>
      <c r="BH127" s="171"/>
      <c r="BI127" s="171"/>
      <c r="BJ127" s="171"/>
      <c r="BK127" s="171"/>
      <c r="BL127" s="171"/>
      <c r="BM127" s="171"/>
      <c r="BN127" s="171"/>
      <c r="BO127" s="171"/>
      <c r="BP127" s="171"/>
      <c r="BQ127" s="171"/>
      <c r="BR127" s="171"/>
      <c r="BS127" s="171"/>
      <c r="BT127" s="171"/>
      <c r="BU127" s="171"/>
      <c r="BV127" s="171"/>
      <c r="BW127" s="171"/>
      <c r="BX127" s="171"/>
      <c r="BY127" s="171"/>
      <c r="BZ127" s="171"/>
      <c r="CA127" s="171">
        <f>COUNTIF(AJ127:AX127,"*OK*")</f>
        <v>0</v>
      </c>
      <c r="CB127" s="171"/>
      <c r="CC127" s="171">
        <f>COUNTIF(AJ127:AX127,"*OP*")</f>
        <v>0</v>
      </c>
    </row>
    <row r="128" spans="1:81" ht="15" hidden="1" customHeight="1">
      <c r="A128" s="241">
        <v>22944</v>
      </c>
      <c r="B128" s="160" t="s">
        <v>517</v>
      </c>
      <c r="C128" s="468">
        <f>T128</f>
        <v>123.42</v>
      </c>
      <c r="D128" s="160">
        <f>COUNTIF(AJ128:AX128,"*OK*")</f>
        <v>0</v>
      </c>
      <c r="E128" s="160"/>
      <c r="F128" s="246" t="s">
        <v>518</v>
      </c>
      <c r="G128" s="182"/>
      <c r="H128" s="168" t="s">
        <v>519</v>
      </c>
      <c r="I128" s="168"/>
      <c r="J128" s="182"/>
      <c r="K128" s="196" t="s">
        <v>68</v>
      </c>
      <c r="L128" s="182" t="s">
        <v>456</v>
      </c>
      <c r="M128" s="182"/>
      <c r="N128" s="182"/>
      <c r="O128" s="161">
        <v>235.16</v>
      </c>
      <c r="P128" s="161">
        <v>210.46</v>
      </c>
      <c r="Q128" s="161">
        <v>200.57</v>
      </c>
      <c r="R128" s="186">
        <v>192.86</v>
      </c>
      <c r="S128" s="510">
        <v>209.80719999999999</v>
      </c>
      <c r="T128" s="550">
        <v>123.42</v>
      </c>
      <c r="U128" s="164"/>
      <c r="V128" s="165">
        <v>100</v>
      </c>
      <c r="W128" s="187"/>
      <c r="X128" s="207" t="s">
        <v>70</v>
      </c>
      <c r="Y128" s="166" t="s">
        <v>152</v>
      </c>
      <c r="Z128" s="167" t="s">
        <v>520</v>
      </c>
      <c r="AA128" s="165" t="s">
        <v>59</v>
      </c>
      <c r="AB128" s="188" t="s">
        <v>65</v>
      </c>
      <c r="AC128" s="168" t="s">
        <v>521</v>
      </c>
      <c r="AD128" s="160"/>
      <c r="AE128" s="160"/>
      <c r="AF128" s="160"/>
      <c r="AG128" s="160"/>
      <c r="AH128" s="160"/>
      <c r="AI128" s="163" t="s">
        <v>127</v>
      </c>
      <c r="AJ128" s="170"/>
      <c r="AK128" s="170"/>
      <c r="AL128" s="170"/>
      <c r="AM128" s="170" t="s">
        <v>178</v>
      </c>
      <c r="AN128" s="170"/>
      <c r="AO128" s="170"/>
      <c r="AP128" s="170"/>
      <c r="AQ128" s="170"/>
      <c r="AR128" s="170"/>
      <c r="AS128" s="170"/>
      <c r="AT128" s="170"/>
      <c r="AU128" s="170"/>
      <c r="AV128" s="170"/>
      <c r="AW128" s="170"/>
      <c r="AX128" s="170"/>
      <c r="AY128" s="170"/>
      <c r="AZ128" s="169" t="s">
        <v>178</v>
      </c>
      <c r="BA128" s="160">
        <f>(COUNTIF(AJ128:AL128,"*OK*")*3) + (COUNTIF(AM128:AO128,"*OK*")*2) + COUNTIF(AP128:AR128,"*OK*")+COUNTIF(AZ128:AZ128,"SI")*0.5</f>
        <v>0</v>
      </c>
      <c r="BB128" s="160" t="str">
        <f>IF(BA128&lt;0.6,"Demasiado Riesgo",IF(BA128&lt;=5,"Riesgo Medio",IF(BA128&lt;=11,"Riesgo Bajo","Cliente Blindado")))</f>
        <v>Demasiado Riesgo</v>
      </c>
      <c r="BC128" s="160"/>
      <c r="BD128" s="160"/>
      <c r="BE128" s="160">
        <v>0</v>
      </c>
      <c r="BF128" s="160"/>
      <c r="BG128" s="160"/>
      <c r="BH128" s="160"/>
      <c r="BI128" s="160"/>
      <c r="BJ128" s="160"/>
      <c r="BK128" s="160"/>
      <c r="BL128" s="160"/>
      <c r="BM128" s="160"/>
      <c r="BN128" s="160"/>
      <c r="BO128" s="160"/>
      <c r="BP128" s="160"/>
      <c r="BQ128" s="160"/>
      <c r="BR128" s="160"/>
      <c r="BS128" s="160"/>
      <c r="BT128" s="160"/>
      <c r="BU128" s="160"/>
      <c r="BV128" s="160"/>
      <c r="BW128" s="160"/>
      <c r="BX128" s="160"/>
      <c r="BY128" s="160"/>
      <c r="BZ128" s="160"/>
      <c r="CA128" s="160">
        <f>COUNTIF(AJ128:AX128,"*OK*")</f>
        <v>0</v>
      </c>
      <c r="CB128" s="160"/>
      <c r="CC128" s="160">
        <f>COUNTIF(AJ128:AX128,"*OP*")</f>
        <v>0</v>
      </c>
    </row>
    <row r="129" spans="1:81" ht="15" hidden="1" customHeight="1">
      <c r="A129" s="241">
        <v>26371</v>
      </c>
      <c r="B129" s="160" t="s">
        <v>522</v>
      </c>
      <c r="C129" s="468">
        <f>T129</f>
        <v>140.46</v>
      </c>
      <c r="D129" s="160">
        <f>COUNTIF(AJ129:AX129,"*OK*")</f>
        <v>0</v>
      </c>
      <c r="E129" s="160"/>
      <c r="F129" s="182" t="s">
        <v>523</v>
      </c>
      <c r="G129" s="182"/>
      <c r="H129" s="168"/>
      <c r="I129" s="168"/>
      <c r="J129" s="182"/>
      <c r="K129" s="196" t="s">
        <v>68</v>
      </c>
      <c r="L129" s="182" t="s">
        <v>456</v>
      </c>
      <c r="M129" s="182"/>
      <c r="N129" s="182" t="s">
        <v>136</v>
      </c>
      <c r="O129" s="161">
        <v>146.97999999999999</v>
      </c>
      <c r="P129" s="161">
        <v>153.41999999999999</v>
      </c>
      <c r="Q129" s="161">
        <v>142.03</v>
      </c>
      <c r="R129" s="186">
        <v>146.6</v>
      </c>
      <c r="S129" s="510">
        <v>142.01859999999999</v>
      </c>
      <c r="T129" s="550">
        <v>140.46</v>
      </c>
      <c r="U129" s="164"/>
      <c r="V129" s="165">
        <v>100</v>
      </c>
      <c r="W129" s="187"/>
      <c r="X129" s="208" t="s">
        <v>70</v>
      </c>
      <c r="Y129" s="166" t="s">
        <v>152</v>
      </c>
      <c r="Z129" s="167" t="s">
        <v>524</v>
      </c>
      <c r="AA129" s="165" t="s">
        <v>286</v>
      </c>
      <c r="AB129" s="188" t="s">
        <v>288</v>
      </c>
      <c r="AC129" s="168" t="s">
        <v>525</v>
      </c>
      <c r="AD129" s="160"/>
      <c r="AE129" s="160"/>
      <c r="AF129" s="160"/>
      <c r="AG129" s="160"/>
      <c r="AH129" s="160"/>
      <c r="AI129" s="163" t="s">
        <v>127</v>
      </c>
      <c r="AJ129" s="170"/>
      <c r="AK129" s="170"/>
      <c r="AL129" s="170"/>
      <c r="AM129" s="170"/>
      <c r="AN129" s="170"/>
      <c r="AO129" s="170"/>
      <c r="AP129" s="170"/>
      <c r="AQ129" s="170"/>
      <c r="AR129" s="170"/>
      <c r="AS129" s="170"/>
      <c r="AT129" s="170"/>
      <c r="AU129" s="170"/>
      <c r="AV129" s="170"/>
      <c r="AW129" s="170"/>
      <c r="AX129" s="170"/>
      <c r="AY129" s="170"/>
      <c r="AZ129" s="169" t="s">
        <v>178</v>
      </c>
      <c r="BA129" s="160">
        <f>(COUNTIF(AJ129:AL129,"*OK*")*3) + (COUNTIF(AM129:AO129,"*OK*")*2) + COUNTIF(AP129:AR129,"*OK*")+COUNTIF(AZ129:AZ129,"SI")*0.5</f>
        <v>0</v>
      </c>
      <c r="BB129" s="160" t="str">
        <f>IF(BA129&lt;0.6,"Demasiado Riesgo",IF(BA129&lt;=5,"Riesgo Medio",IF(BA129&lt;=11,"Riesgo Bajo","Cliente Blindado")))</f>
        <v>Demasiado Riesgo</v>
      </c>
      <c r="BC129" s="160"/>
      <c r="BD129" s="160"/>
      <c r="BE129" s="160">
        <v>0</v>
      </c>
      <c r="BF129" s="160"/>
      <c r="BG129" s="160"/>
      <c r="BH129" s="160"/>
      <c r="BI129" s="160"/>
      <c r="BJ129" s="160"/>
      <c r="BK129" s="160"/>
      <c r="BL129" s="160"/>
      <c r="BM129" s="160"/>
      <c r="BN129" s="160"/>
      <c r="BO129" s="160"/>
      <c r="BP129" s="160"/>
      <c r="BQ129" s="160"/>
      <c r="BR129" s="160"/>
      <c r="BS129" s="160"/>
      <c r="BT129" s="160"/>
      <c r="BU129" s="160"/>
      <c r="BV129" s="160"/>
      <c r="BW129" s="160"/>
      <c r="BX129" s="160"/>
      <c r="BY129" s="160"/>
      <c r="BZ129" s="160"/>
      <c r="CA129" s="160">
        <f>COUNTIF(AJ129:AX129,"*OK*")</f>
        <v>0</v>
      </c>
      <c r="CB129" s="160"/>
      <c r="CC129" s="160">
        <f>COUNTIF(AJ129:AX129,"*OP*")</f>
        <v>0</v>
      </c>
    </row>
    <row r="130" spans="1:81" ht="15" hidden="1" customHeight="1">
      <c r="A130" s="240">
        <v>23030</v>
      </c>
      <c r="B130" s="171"/>
      <c r="C130" s="468">
        <f>T130</f>
        <v>143.38999999999999</v>
      </c>
      <c r="D130" s="171">
        <f>COUNTIF(AJ130:AX130,"*OK*")</f>
        <v>0</v>
      </c>
      <c r="E130" s="171"/>
      <c r="F130" s="183" t="s">
        <v>526</v>
      </c>
      <c r="G130" s="183" t="s">
        <v>527</v>
      </c>
      <c r="H130" s="179"/>
      <c r="I130" s="179"/>
      <c r="J130" s="183"/>
      <c r="K130" s="198" t="s">
        <v>68</v>
      </c>
      <c r="L130" s="183" t="s">
        <v>456</v>
      </c>
      <c r="M130" s="183"/>
      <c r="N130" s="183"/>
      <c r="O130" s="172">
        <v>102.26</v>
      </c>
      <c r="P130" s="172">
        <v>97.35</v>
      </c>
      <c r="Q130" s="172">
        <v>101.94</v>
      </c>
      <c r="R130" s="193">
        <v>106.4</v>
      </c>
      <c r="S130" s="510">
        <v>128.20439999999999</v>
      </c>
      <c r="T130" s="553">
        <v>143.38999999999999</v>
      </c>
      <c r="U130" s="175"/>
      <c r="V130" s="176">
        <v>100</v>
      </c>
      <c r="W130" s="194"/>
      <c r="X130" s="205" t="s">
        <v>247</v>
      </c>
      <c r="Y130" s="177" t="s">
        <v>80</v>
      </c>
      <c r="Z130" s="178" t="s">
        <v>528</v>
      </c>
      <c r="AA130" s="176" t="s">
        <v>59</v>
      </c>
      <c r="AB130" s="195" t="s">
        <v>65</v>
      </c>
      <c r="AC130" s="179" t="s">
        <v>97</v>
      </c>
      <c r="AD130" s="171"/>
      <c r="AE130" s="171"/>
      <c r="AF130" s="171"/>
      <c r="AG130" s="171"/>
      <c r="AH130" s="171"/>
      <c r="AI130" s="178" t="s">
        <v>127</v>
      </c>
      <c r="AJ130" s="170"/>
      <c r="AK130" s="170"/>
      <c r="AL130" s="170" t="s">
        <v>529</v>
      </c>
      <c r="AM130" s="170"/>
      <c r="AN130" s="170"/>
      <c r="AO130" s="170"/>
      <c r="AP130" s="170"/>
      <c r="AQ130" s="170"/>
      <c r="AR130" s="170"/>
      <c r="AS130" s="170"/>
      <c r="AT130" s="170"/>
      <c r="AU130" s="170"/>
      <c r="AV130" s="170"/>
      <c r="AW130" s="170"/>
      <c r="AX130" s="170"/>
      <c r="AY130" s="170"/>
      <c r="AZ130" s="178" t="s">
        <v>178</v>
      </c>
      <c r="BA130" s="171">
        <f>(COUNTIF(AJ130:AL130,"*OK*")*3) + (COUNTIF(AM130:AO130,"*OK*")*2) + COUNTIF(AP130:AR130,"*OK*")+COUNTIF(AZ130:AZ130,"SI")*0.5</f>
        <v>0</v>
      </c>
      <c r="BB130" s="171" t="str">
        <f>IF(BA130&lt;0.6,"Demasiado Riesgo",IF(BA130&lt;=5,"Riesgo Medio",IF(BA130&lt;=11,"Riesgo Bajo","Cliente Blindado")))</f>
        <v>Demasiado Riesgo</v>
      </c>
      <c r="BC130" s="171"/>
      <c r="BD130" s="171"/>
      <c r="BE130" s="171">
        <v>0</v>
      </c>
      <c r="BF130" s="171"/>
      <c r="BG130" s="171"/>
      <c r="BH130" s="171"/>
      <c r="BI130" s="171"/>
      <c r="BJ130" s="171"/>
      <c r="BK130" s="171"/>
      <c r="BL130" s="171"/>
      <c r="BM130" s="171"/>
      <c r="BN130" s="171"/>
      <c r="BO130" s="171"/>
      <c r="BP130" s="171"/>
      <c r="BQ130" s="171"/>
      <c r="BR130" s="171"/>
      <c r="BS130" s="171"/>
      <c r="BT130" s="171"/>
      <c r="BU130" s="171"/>
      <c r="BV130" s="171"/>
      <c r="BW130" s="171"/>
      <c r="BX130" s="171"/>
      <c r="BY130" s="171"/>
      <c r="BZ130" s="171"/>
      <c r="CA130" s="171">
        <f>COUNTIF(AJ130:AX130,"*OK*")</f>
        <v>0</v>
      </c>
      <c r="CB130" s="171"/>
      <c r="CC130" s="171">
        <f>COUNTIF(AJ130:AX130,"*OP*")</f>
        <v>1</v>
      </c>
    </row>
    <row r="131" spans="1:81" ht="15" hidden="1" customHeight="1">
      <c r="A131" s="240">
        <v>19276</v>
      </c>
      <c r="B131" s="171" t="s">
        <v>530</v>
      </c>
      <c r="C131" s="468">
        <f>T131</f>
        <v>153.43</v>
      </c>
      <c r="D131" s="171">
        <f>COUNTIF(AJ131:AX131,"*OK*")</f>
        <v>0</v>
      </c>
      <c r="E131" s="171"/>
      <c r="F131" s="183" t="s">
        <v>531</v>
      </c>
      <c r="G131" s="183"/>
      <c r="H131" s="179"/>
      <c r="I131" s="179"/>
      <c r="J131" s="183"/>
      <c r="K131" s="198" t="s">
        <v>68</v>
      </c>
      <c r="L131" s="183" t="s">
        <v>456</v>
      </c>
      <c r="M131" s="183"/>
      <c r="N131" s="183"/>
      <c r="O131" s="172">
        <v>214.98</v>
      </c>
      <c r="P131" s="172">
        <v>230.13</v>
      </c>
      <c r="Q131" s="172">
        <v>223.49</v>
      </c>
      <c r="R131" s="193">
        <v>250.08</v>
      </c>
      <c r="S131" s="510">
        <v>144.20349999999999</v>
      </c>
      <c r="T131" s="553">
        <v>153.43</v>
      </c>
      <c r="U131" s="175"/>
      <c r="V131" s="176">
        <v>150</v>
      </c>
      <c r="W131" s="194"/>
      <c r="X131" s="211" t="s">
        <v>70</v>
      </c>
      <c r="Y131" s="177" t="s">
        <v>125</v>
      </c>
      <c r="Z131" s="178" t="s">
        <v>532</v>
      </c>
      <c r="AA131" s="176" t="s">
        <v>59</v>
      </c>
      <c r="AB131" s="195" t="s">
        <v>65</v>
      </c>
      <c r="AC131" s="179" t="s">
        <v>92</v>
      </c>
      <c r="AD131" s="171"/>
      <c r="AE131" s="171"/>
      <c r="AF131" s="171"/>
      <c r="AG131" s="171"/>
      <c r="AH131" s="171"/>
      <c r="AI131" s="180" t="s">
        <v>59</v>
      </c>
      <c r="AJ131" s="170"/>
      <c r="AK131" s="170"/>
      <c r="AL131" s="170"/>
      <c r="AM131" s="170"/>
      <c r="AN131" s="170"/>
      <c r="AO131" s="170"/>
      <c r="AP131" s="170"/>
      <c r="AQ131" s="170"/>
      <c r="AR131" s="170"/>
      <c r="AS131" s="170"/>
      <c r="AT131" s="170"/>
      <c r="AU131" s="170"/>
      <c r="AV131" s="170"/>
      <c r="AW131" s="170"/>
      <c r="AX131" s="170"/>
      <c r="AY131" s="170"/>
      <c r="AZ131" s="180" t="s">
        <v>59</v>
      </c>
      <c r="BA131" s="171">
        <f>(COUNTIF(AJ131:AL131,"*OK*")*3) + (COUNTIF(AM131:AO131,"*OK*")*2) + COUNTIF(AP131:AR131,"*OK*")+COUNTIF(AZ131:AZ131,"SI")*0.5</f>
        <v>0</v>
      </c>
      <c r="BB131" s="171" t="str">
        <f>IF(BA131&lt;0.6,"Demasiado Riesgo",IF(BA131&lt;=5,"Riesgo Medio",IF(BA131&lt;=11,"Riesgo Bajo","Cliente Blindado")))</f>
        <v>Demasiado Riesgo</v>
      </c>
      <c r="BC131" s="171"/>
      <c r="BD131" s="171"/>
      <c r="BE131" s="171">
        <v>0</v>
      </c>
      <c r="BF131" s="171"/>
      <c r="BG131" s="171"/>
      <c r="BH131" s="171"/>
      <c r="BI131" s="171"/>
      <c r="BJ131" s="171"/>
      <c r="BK131" s="171"/>
      <c r="BL131" s="171"/>
      <c r="BM131" s="171"/>
      <c r="BN131" s="171"/>
      <c r="BO131" s="171"/>
      <c r="BP131" s="171"/>
      <c r="BQ131" s="171"/>
      <c r="BR131" s="171"/>
      <c r="BS131" s="171"/>
      <c r="BT131" s="171"/>
      <c r="BU131" s="171"/>
      <c r="BV131" s="171"/>
      <c r="BW131" s="171"/>
      <c r="BX131" s="171"/>
      <c r="BY131" s="171"/>
      <c r="BZ131" s="171"/>
      <c r="CA131" s="171">
        <f>COUNTIF(AJ131:AX131,"*OK*")</f>
        <v>0</v>
      </c>
      <c r="CB131" s="171"/>
      <c r="CC131" s="171">
        <f>COUNTIF(AJ131:AX131,"*OP*")</f>
        <v>0</v>
      </c>
    </row>
    <row r="132" spans="1:81" ht="15" hidden="1" customHeight="1">
      <c r="A132" s="240">
        <v>27817</v>
      </c>
      <c r="B132" s="171" t="s">
        <v>533</v>
      </c>
      <c r="C132" s="468">
        <f>T132</f>
        <v>155.63999999999999</v>
      </c>
      <c r="D132" s="171">
        <f>COUNTIF(AJ132:AX132,"*OK*")</f>
        <v>0</v>
      </c>
      <c r="E132" s="171"/>
      <c r="F132" s="183" t="s">
        <v>534</v>
      </c>
      <c r="G132" s="183"/>
      <c r="H132" s="179"/>
      <c r="I132" s="179"/>
      <c r="J132" s="183"/>
      <c r="K132" s="198" t="s">
        <v>68</v>
      </c>
      <c r="L132" s="183" t="s">
        <v>456</v>
      </c>
      <c r="M132" s="183"/>
      <c r="N132" s="183"/>
      <c r="O132" s="172">
        <v>144.78</v>
      </c>
      <c r="P132" s="172">
        <v>144.65</v>
      </c>
      <c r="Q132" s="172">
        <v>140.99</v>
      </c>
      <c r="R132" s="193">
        <v>148.78</v>
      </c>
      <c r="S132" s="510">
        <v>154.07550000000001</v>
      </c>
      <c r="T132" s="553">
        <v>155.63999999999999</v>
      </c>
      <c r="U132" s="175"/>
      <c r="V132" s="176">
        <v>100</v>
      </c>
      <c r="W132" s="194"/>
      <c r="X132" s="211" t="s">
        <v>70</v>
      </c>
      <c r="Y132" s="177" t="s">
        <v>162</v>
      </c>
      <c r="Z132" s="178" t="s">
        <v>535</v>
      </c>
      <c r="AA132" s="176" t="s">
        <v>59</v>
      </c>
      <c r="AB132" s="195" t="s">
        <v>536</v>
      </c>
      <c r="AC132" s="179" t="s">
        <v>92</v>
      </c>
      <c r="AD132" s="171"/>
      <c r="AE132" s="171"/>
      <c r="AF132" s="171"/>
      <c r="AG132" s="171"/>
      <c r="AH132" s="171"/>
      <c r="AI132" s="178" t="s">
        <v>127</v>
      </c>
      <c r="AJ132" s="170"/>
      <c r="AK132" s="170"/>
      <c r="AL132" s="170"/>
      <c r="AM132" s="170"/>
      <c r="AN132" s="170"/>
      <c r="AO132" s="170"/>
      <c r="AP132" s="170"/>
      <c r="AQ132" s="170"/>
      <c r="AR132" s="170"/>
      <c r="AS132" s="170"/>
      <c r="AT132" s="170"/>
      <c r="AU132" s="170"/>
      <c r="AV132" s="170"/>
      <c r="AW132" s="170"/>
      <c r="AX132" s="170"/>
      <c r="AY132" s="170"/>
      <c r="AZ132" s="178" t="s">
        <v>127</v>
      </c>
      <c r="BA132" s="171">
        <f>(COUNTIF(AJ132:AL132,"*OK*")*3) + (COUNTIF(AM132:AO132,"*OK*")*2) + COUNTIF(AP132:AR132,"*OK*")+COUNTIF(AZ132:AZ132,"SI")*0.5</f>
        <v>0.5</v>
      </c>
      <c r="BB132" s="171" t="str">
        <f>IF(BA132&lt;0.6,"Demasiado Riesgo",IF(BA132&lt;=5,"Riesgo Medio",IF(BA132&lt;=11,"Riesgo Bajo","Cliente Blindado")))</f>
        <v>Demasiado Riesgo</v>
      </c>
      <c r="BC132" s="171"/>
      <c r="BD132" s="171"/>
      <c r="BE132" s="171">
        <v>0</v>
      </c>
      <c r="BF132" s="171"/>
      <c r="BG132" s="171"/>
      <c r="BH132" s="171"/>
      <c r="BI132" s="171"/>
      <c r="BJ132" s="171"/>
      <c r="BK132" s="171"/>
      <c r="BL132" s="171"/>
      <c r="BM132" s="171"/>
      <c r="BN132" s="171"/>
      <c r="BO132" s="171"/>
      <c r="BP132" s="171"/>
      <c r="BQ132" s="171"/>
      <c r="BR132" s="171"/>
      <c r="BS132" s="171"/>
      <c r="BT132" s="171"/>
      <c r="BU132" s="171"/>
      <c r="BV132" s="171"/>
      <c r="BW132" s="171"/>
      <c r="BX132" s="171"/>
      <c r="BY132" s="171"/>
      <c r="BZ132" s="171"/>
      <c r="CA132" s="171">
        <f>COUNTIF(AJ132:AX132,"*OK*")</f>
        <v>0</v>
      </c>
      <c r="CB132" s="171"/>
      <c r="CC132" s="171">
        <f>COUNTIF(AJ132:AX132,"*OP*")</f>
        <v>0</v>
      </c>
    </row>
    <row r="133" spans="1:81" ht="15" hidden="1" customHeight="1">
      <c r="A133" s="240">
        <v>4911</v>
      </c>
      <c r="B133" s="171" t="s">
        <v>537</v>
      </c>
      <c r="C133" s="468">
        <f>T133</f>
        <v>159.77000000000001</v>
      </c>
      <c r="D133" s="171">
        <f>COUNTIF(AJ133:AX133,"*OK*")</f>
        <v>0</v>
      </c>
      <c r="E133" s="171"/>
      <c r="F133" s="183" t="s">
        <v>538</v>
      </c>
      <c r="G133" s="183"/>
      <c r="H133" s="179"/>
      <c r="I133" s="179"/>
      <c r="J133" s="183"/>
      <c r="K133" s="198" t="s">
        <v>68</v>
      </c>
      <c r="L133" s="183" t="s">
        <v>456</v>
      </c>
      <c r="M133" s="183"/>
      <c r="N133" s="183"/>
      <c r="O133" s="172">
        <v>166.36</v>
      </c>
      <c r="P133" s="172">
        <v>162.05000000000001</v>
      </c>
      <c r="Q133" s="172">
        <v>154.43</v>
      </c>
      <c r="R133" s="193">
        <v>161.44</v>
      </c>
      <c r="S133" s="510">
        <v>163.6164</v>
      </c>
      <c r="T133" s="551">
        <v>159.77000000000001</v>
      </c>
      <c r="U133" s="175"/>
      <c r="V133" s="176">
        <v>200</v>
      </c>
      <c r="W133" s="194"/>
      <c r="X133" s="205" t="s">
        <v>253</v>
      </c>
      <c r="Y133" s="177" t="s">
        <v>80</v>
      </c>
      <c r="Z133" s="178" t="s">
        <v>539</v>
      </c>
      <c r="AA133" s="176" t="s">
        <v>59</v>
      </c>
      <c r="AB133" s="195" t="s">
        <v>65</v>
      </c>
      <c r="AC133" s="179" t="s">
        <v>84</v>
      </c>
      <c r="AD133" s="171"/>
      <c r="AE133" s="171"/>
      <c r="AF133" s="171"/>
      <c r="AG133" s="171"/>
      <c r="AH133" s="171"/>
      <c r="AI133" s="178" t="s">
        <v>127</v>
      </c>
      <c r="AJ133" s="170"/>
      <c r="AK133" s="170"/>
      <c r="AL133" s="170"/>
      <c r="AM133" s="170"/>
      <c r="AN133" s="170"/>
      <c r="AO133" s="170"/>
      <c r="AP133" s="170"/>
      <c r="AQ133" s="170"/>
      <c r="AR133" s="170"/>
      <c r="AS133" s="170"/>
      <c r="AT133" s="170"/>
      <c r="AU133" s="170"/>
      <c r="AV133" s="170"/>
      <c r="AW133" s="170"/>
      <c r="AX133" s="170"/>
      <c r="AY133" s="170"/>
      <c r="AZ133" s="178" t="s">
        <v>178</v>
      </c>
      <c r="BA133" s="171">
        <f>(COUNTIF(AJ133:AL133,"*OK*")*3) + (COUNTIF(AM133:AO133,"*OK*")*2) + COUNTIF(AP133:AR133,"*OK*")+COUNTIF(AZ133:AZ133,"SI")*0.5</f>
        <v>0</v>
      </c>
      <c r="BB133" s="171" t="str">
        <f>IF(BA133&lt;0.6,"Demasiado Riesgo",IF(BA133&lt;=5,"Riesgo Medio",IF(BA133&lt;=11,"Riesgo Bajo","Cliente Blindado")))</f>
        <v>Demasiado Riesgo</v>
      </c>
      <c r="BC133" s="171"/>
      <c r="BD133" s="171"/>
      <c r="BE133" s="171">
        <v>0</v>
      </c>
      <c r="BF133" s="171"/>
      <c r="BG133" s="171"/>
      <c r="BH133" s="171"/>
      <c r="BI133" s="171"/>
      <c r="BJ133" s="171"/>
      <c r="BK133" s="171"/>
      <c r="BL133" s="171"/>
      <c r="BM133" s="171"/>
      <c r="BN133" s="171"/>
      <c r="BO133" s="171"/>
      <c r="BP133" s="171"/>
      <c r="BQ133" s="171"/>
      <c r="BR133" s="171"/>
      <c r="BS133" s="171"/>
      <c r="BT133" s="171"/>
      <c r="BU133" s="171"/>
      <c r="BV133" s="171"/>
      <c r="BW133" s="171"/>
      <c r="BX133" s="171"/>
      <c r="BY133" s="171"/>
      <c r="BZ133" s="171"/>
      <c r="CA133" s="171">
        <f>COUNTIF(AJ133:AX133,"*OK*")</f>
        <v>0</v>
      </c>
      <c r="CB133" s="171"/>
      <c r="CC133" s="171">
        <f>COUNTIF(AJ133:AX133,"*OP*")</f>
        <v>0</v>
      </c>
    </row>
    <row r="134" spans="1:81" ht="15" hidden="1" customHeight="1">
      <c r="A134" s="501"/>
      <c r="B134" s="162"/>
      <c r="C134" s="468">
        <f>T134</f>
        <v>160.78</v>
      </c>
      <c r="D134" s="160">
        <f>COUNTIF(AJ134:AX134,"*OK*")</f>
        <v>0</v>
      </c>
      <c r="E134" s="160"/>
      <c r="F134" s="182" t="s">
        <v>540</v>
      </c>
      <c r="G134" s="182"/>
      <c r="H134" s="168"/>
      <c r="I134" s="168"/>
      <c r="J134" s="182"/>
      <c r="K134" s="185" t="s">
        <v>68</v>
      </c>
      <c r="L134" s="182" t="s">
        <v>456</v>
      </c>
      <c r="M134" s="182"/>
      <c r="N134" s="182"/>
      <c r="O134" s="161">
        <v>108.81</v>
      </c>
      <c r="P134" s="161">
        <v>119.58</v>
      </c>
      <c r="Q134" s="161">
        <v>120.87</v>
      </c>
      <c r="R134" s="186">
        <v>124.76</v>
      </c>
      <c r="S134" s="510">
        <v>162.5591</v>
      </c>
      <c r="T134" s="550">
        <v>160.78</v>
      </c>
      <c r="U134" s="164"/>
      <c r="V134" s="165">
        <v>50</v>
      </c>
      <c r="W134" s="187"/>
      <c r="X134" s="208" t="s">
        <v>70</v>
      </c>
      <c r="Y134" s="166" t="s">
        <v>71</v>
      </c>
      <c r="Z134" s="167" t="s">
        <v>541</v>
      </c>
      <c r="AA134" s="165" t="s">
        <v>59</v>
      </c>
      <c r="AB134" s="188" t="s">
        <v>65</v>
      </c>
      <c r="AC134" s="168" t="s">
        <v>92</v>
      </c>
      <c r="AD134" s="160"/>
      <c r="AE134" s="160"/>
      <c r="AF134" s="160"/>
      <c r="AG134" s="160"/>
      <c r="AH134" s="160"/>
      <c r="AI134" s="167" t="s">
        <v>59</v>
      </c>
      <c r="AJ134" s="170"/>
      <c r="AK134" s="170"/>
      <c r="AL134" s="170"/>
      <c r="AM134" s="170"/>
      <c r="AN134" s="170"/>
      <c r="AO134" s="170"/>
      <c r="AP134" s="170"/>
      <c r="AQ134" s="170"/>
      <c r="AR134" s="170"/>
      <c r="AS134" s="170"/>
      <c r="AT134" s="170"/>
      <c r="AU134" s="170"/>
      <c r="AV134" s="170"/>
      <c r="AW134" s="170"/>
      <c r="AX134" s="170"/>
      <c r="AY134" s="170"/>
      <c r="AZ134" s="167" t="s">
        <v>59</v>
      </c>
      <c r="BA134" s="160">
        <f>(COUNTIF(AJ134:AL134,"*OK*")*3) + (COUNTIF(AM134:AO134,"*OK*")*2) + COUNTIF(AP134:AR134,"*OK*")+COUNTIF(AZ134:AZ134,"SI")*0.5</f>
        <v>0</v>
      </c>
      <c r="BB134" s="160" t="str">
        <f>IF(BA134&lt;0.6,"Demasiado Riesgo",IF(BA134&lt;=5,"Riesgo Medio",IF(BA134&lt;=11,"Riesgo Bajo","Cliente Blindado")))</f>
        <v>Demasiado Riesgo</v>
      </c>
      <c r="BC134" s="160"/>
      <c r="BD134" s="160"/>
      <c r="BE134" s="160">
        <v>0</v>
      </c>
      <c r="BF134" s="160"/>
      <c r="BG134" s="160"/>
      <c r="BH134" s="160"/>
      <c r="BI134" s="160"/>
      <c r="BJ134" s="160"/>
      <c r="BK134" s="160"/>
      <c r="BL134" s="160"/>
      <c r="BM134" s="160"/>
      <c r="BN134" s="160"/>
      <c r="BO134" s="160"/>
      <c r="BP134" s="160"/>
      <c r="BQ134" s="160"/>
      <c r="BR134" s="160"/>
      <c r="BS134" s="160"/>
      <c r="BT134" s="160"/>
      <c r="BU134" s="160"/>
      <c r="BV134" s="160"/>
      <c r="BW134" s="160"/>
      <c r="BX134" s="160"/>
      <c r="BY134" s="160"/>
      <c r="BZ134" s="160"/>
      <c r="CA134" s="160">
        <f>COUNTIF(AJ134:AX134,"*OK*")</f>
        <v>0</v>
      </c>
      <c r="CB134" s="160"/>
      <c r="CC134" s="160">
        <f>COUNTIF(AJ134:AX134,"*OP*")</f>
        <v>0</v>
      </c>
    </row>
    <row r="135" spans="1:81" ht="15" hidden="1" customHeight="1">
      <c r="A135" s="240">
        <v>33738</v>
      </c>
      <c r="B135" s="171"/>
      <c r="C135" s="468">
        <f>T135</f>
        <v>166.27</v>
      </c>
      <c r="D135" s="171">
        <f>COUNTIF(AJ135:AX135,"*OK*")</f>
        <v>1</v>
      </c>
      <c r="E135" s="171"/>
      <c r="F135" s="348" t="s">
        <v>542</v>
      </c>
      <c r="G135" s="183"/>
      <c r="H135" s="179"/>
      <c r="I135" s="179"/>
      <c r="J135" s="183"/>
      <c r="K135" s="183" t="s">
        <v>68</v>
      </c>
      <c r="L135" s="349" t="s">
        <v>456</v>
      </c>
      <c r="M135" s="183"/>
      <c r="N135" s="183"/>
      <c r="O135" s="172">
        <v>131.96</v>
      </c>
      <c r="P135" s="172">
        <v>97.94</v>
      </c>
      <c r="Q135" s="172">
        <v>96.92</v>
      </c>
      <c r="R135" s="193">
        <v>103.75</v>
      </c>
      <c r="S135" s="510">
        <v>123.919</v>
      </c>
      <c r="T135" s="554">
        <v>166.27</v>
      </c>
      <c r="U135" s="175"/>
      <c r="V135" s="176">
        <v>100</v>
      </c>
      <c r="W135" s="194"/>
      <c r="X135" s="209" t="s">
        <v>70</v>
      </c>
      <c r="Y135" s="177" t="s">
        <v>80</v>
      </c>
      <c r="Z135" s="178" t="s">
        <v>543</v>
      </c>
      <c r="AA135" s="176" t="s">
        <v>59</v>
      </c>
      <c r="AB135" s="178" t="s">
        <v>65</v>
      </c>
      <c r="AC135" s="179"/>
      <c r="AD135" s="171"/>
      <c r="AE135" s="171"/>
      <c r="AF135" s="171"/>
      <c r="AG135" s="171"/>
      <c r="AH135" s="171"/>
      <c r="AI135" s="180" t="s">
        <v>59</v>
      </c>
      <c r="AJ135" s="170"/>
      <c r="AK135" s="170"/>
      <c r="AL135" s="170"/>
      <c r="AM135" s="170"/>
      <c r="AN135" s="170"/>
      <c r="AO135" s="170"/>
      <c r="AP135" s="170" t="s">
        <v>418</v>
      </c>
      <c r="AQ135" s="170"/>
      <c r="AR135" s="170"/>
      <c r="AS135" s="170"/>
      <c r="AT135" s="170"/>
      <c r="AU135" s="170"/>
      <c r="AV135" s="170"/>
      <c r="AW135" s="170"/>
      <c r="AX135" s="170"/>
      <c r="AY135" s="170"/>
      <c r="AZ135" s="178" t="s">
        <v>59</v>
      </c>
      <c r="BA135" s="171">
        <f>(COUNTIF(AJ135:AL135,"*OK*")*3) + (COUNTIF(AM135:AO135,"*OK*")*2) + COUNTIF(AP135:AR135,"*OK*")+COUNTIF(AZ135:AZ135,"SI")*0.5</f>
        <v>1</v>
      </c>
      <c r="BB135" s="171" t="str">
        <f>IF(BA135&lt;0.6,"Demasiado Riesgo",IF(BA135&lt;=5,"Riesgo Medio",IF(BA135&lt;=11,"Riesgo Bajo","Cliente Blindado")))</f>
        <v>Riesgo Medio</v>
      </c>
      <c r="BC135" s="171"/>
      <c r="BD135" s="171"/>
      <c r="BE135" s="171">
        <v>0</v>
      </c>
      <c r="BF135" s="171"/>
      <c r="BG135" s="171"/>
      <c r="BH135" s="171"/>
      <c r="BI135" s="171"/>
      <c r="BJ135" s="171"/>
      <c r="BK135" s="171"/>
      <c r="BL135" s="171"/>
      <c r="BM135" s="171"/>
      <c r="BN135" s="171"/>
      <c r="BO135" s="171"/>
      <c r="BP135" s="171"/>
      <c r="BQ135" s="171"/>
      <c r="BR135" s="171"/>
      <c r="BS135" s="171"/>
      <c r="BT135" s="171"/>
      <c r="BU135" s="171"/>
      <c r="BV135" s="171"/>
      <c r="BW135" s="171"/>
      <c r="BX135" s="171"/>
      <c r="BY135" s="171"/>
      <c r="BZ135" s="171"/>
      <c r="CA135" s="171">
        <f>COUNTIF(AJ135:AX135,"*OK*")</f>
        <v>1</v>
      </c>
      <c r="CB135" s="171"/>
      <c r="CC135" s="171">
        <f>COUNTIF(AJ135:AX135,"*OP*")</f>
        <v>0</v>
      </c>
    </row>
    <row r="136" spans="1:81" ht="15" hidden="1" customHeight="1">
      <c r="A136" s="500">
        <v>21542</v>
      </c>
      <c r="B136" s="173" t="s">
        <v>544</v>
      </c>
      <c r="C136" s="468">
        <f>T136</f>
        <v>168.55</v>
      </c>
      <c r="D136" s="171">
        <f>COUNTIF(AJ136:AX136,"*OK*")</f>
        <v>0</v>
      </c>
      <c r="E136" s="171"/>
      <c r="F136" s="183" t="s">
        <v>545</v>
      </c>
      <c r="G136" s="183"/>
      <c r="H136" s="179"/>
      <c r="I136" s="179"/>
      <c r="J136" s="183"/>
      <c r="K136" s="192" t="s">
        <v>68</v>
      </c>
      <c r="L136" s="183" t="s">
        <v>456</v>
      </c>
      <c r="M136" s="183"/>
      <c r="N136" s="183"/>
      <c r="O136" s="172">
        <v>180.98</v>
      </c>
      <c r="P136" s="172">
        <v>177.53</v>
      </c>
      <c r="Q136" s="172">
        <v>172.31</v>
      </c>
      <c r="R136" s="193">
        <v>181.1</v>
      </c>
      <c r="S136" s="510">
        <v>183.5318</v>
      </c>
      <c r="T136" s="551">
        <v>168.55</v>
      </c>
      <c r="U136" s="175"/>
      <c r="V136" s="176">
        <v>200</v>
      </c>
      <c r="W136" s="194"/>
      <c r="X136" s="205" t="s">
        <v>247</v>
      </c>
      <c r="Y136" s="177" t="s">
        <v>162</v>
      </c>
      <c r="Z136" s="178" t="s">
        <v>546</v>
      </c>
      <c r="AA136" s="176" t="s">
        <v>162</v>
      </c>
      <c r="AB136" s="195" t="s">
        <v>240</v>
      </c>
      <c r="AC136" s="179" t="s">
        <v>97</v>
      </c>
      <c r="AD136" s="171"/>
      <c r="AE136" s="171"/>
      <c r="AF136" s="171"/>
      <c r="AG136" s="171"/>
      <c r="AH136" s="171"/>
      <c r="AI136" s="174" t="s">
        <v>127</v>
      </c>
      <c r="AJ136" s="170"/>
      <c r="AK136" s="170"/>
      <c r="AL136" s="170"/>
      <c r="AM136" s="170"/>
      <c r="AN136" s="170"/>
      <c r="AO136" s="170"/>
      <c r="AP136" s="170"/>
      <c r="AQ136" s="170"/>
      <c r="AR136" s="170"/>
      <c r="AS136" s="170"/>
      <c r="AT136" s="170"/>
      <c r="AU136" s="170"/>
      <c r="AV136" s="170"/>
      <c r="AW136" s="170"/>
      <c r="AX136" s="170"/>
      <c r="AY136" s="170"/>
      <c r="AZ136" s="180" t="s">
        <v>173</v>
      </c>
      <c r="BA136" s="171">
        <f>(COUNTIF(AJ136:AL136,"*OK*")*3) + (COUNTIF(AM136:AO136,"*OK*")*2) + COUNTIF(AP136:AR136,"*OK*")+COUNTIF(AZ136:AZ136,"SI")*0.5</f>
        <v>0</v>
      </c>
      <c r="BB136" s="171" t="str">
        <f>IF(BA136&lt;0.6,"Demasiado Riesgo",IF(BA136&lt;=5,"Riesgo Medio",IF(BA136&lt;=11,"Riesgo Bajo","Cliente Blindado")))</f>
        <v>Demasiado Riesgo</v>
      </c>
      <c r="BC136" s="171"/>
      <c r="BD136" s="171"/>
      <c r="BE136" s="171">
        <v>0</v>
      </c>
      <c r="BF136" s="171"/>
      <c r="BG136" s="171"/>
      <c r="BH136" s="171"/>
      <c r="BI136" s="171"/>
      <c r="BJ136" s="171"/>
      <c r="BK136" s="171"/>
      <c r="BL136" s="171"/>
      <c r="BM136" s="171"/>
      <c r="BN136" s="171"/>
      <c r="BO136" s="171"/>
      <c r="BP136" s="171"/>
      <c r="BQ136" s="171"/>
      <c r="BR136" s="171"/>
      <c r="BS136" s="171"/>
      <c r="BT136" s="171"/>
      <c r="BU136" s="171"/>
      <c r="BV136" s="171"/>
      <c r="BW136" s="171"/>
      <c r="BX136" s="171"/>
      <c r="BY136" s="171"/>
      <c r="BZ136" s="171"/>
      <c r="CA136" s="171">
        <f>COUNTIF(AJ136:AX136,"*OK*")</f>
        <v>0</v>
      </c>
      <c r="CB136" s="171"/>
      <c r="CC136" s="171">
        <f>COUNTIF(AJ136:AX136,"*OP*")</f>
        <v>0</v>
      </c>
    </row>
    <row r="137" spans="1:81" ht="15" hidden="1" customHeight="1">
      <c r="A137" s="241">
        <v>23718</v>
      </c>
      <c r="B137" s="160" t="s">
        <v>547</v>
      </c>
      <c r="C137" s="468">
        <f>T137</f>
        <v>170.13</v>
      </c>
      <c r="D137" s="160">
        <f>COUNTIF(AJ137:AX137,"*OK*")</f>
        <v>0</v>
      </c>
      <c r="E137" s="160"/>
      <c r="F137" s="182" t="s">
        <v>548</v>
      </c>
      <c r="G137" s="182"/>
      <c r="H137" s="168"/>
      <c r="I137" s="168"/>
      <c r="J137" s="182"/>
      <c r="K137" s="196" t="s">
        <v>68</v>
      </c>
      <c r="L137" s="182" t="s">
        <v>456</v>
      </c>
      <c r="M137" s="182"/>
      <c r="N137" s="182"/>
      <c r="O137" s="161">
        <v>164.56</v>
      </c>
      <c r="P137" s="161">
        <v>167.67</v>
      </c>
      <c r="Q137" s="161">
        <v>164.44</v>
      </c>
      <c r="R137" s="186">
        <v>169.73</v>
      </c>
      <c r="S137" s="510">
        <v>170.3929</v>
      </c>
      <c r="T137" s="550">
        <v>170.13</v>
      </c>
      <c r="U137" s="164"/>
      <c r="V137" s="165">
        <v>100</v>
      </c>
      <c r="W137" s="187"/>
      <c r="X137" s="208" t="s">
        <v>70</v>
      </c>
      <c r="Y137" s="166" t="s">
        <v>141</v>
      </c>
      <c r="Z137" s="167" t="s">
        <v>549</v>
      </c>
      <c r="AA137" s="165" t="s">
        <v>59</v>
      </c>
      <c r="AB137" s="188" t="s">
        <v>65</v>
      </c>
      <c r="AC137" s="168" t="s">
        <v>92</v>
      </c>
      <c r="AD137" s="160"/>
      <c r="AE137" s="160"/>
      <c r="AF137" s="160"/>
      <c r="AG137" s="160"/>
      <c r="AH137" s="160"/>
      <c r="AI137" s="163" t="s">
        <v>127</v>
      </c>
      <c r="AJ137" s="170"/>
      <c r="AK137" s="170"/>
      <c r="AL137" s="170"/>
      <c r="AM137" s="170"/>
      <c r="AN137" s="170"/>
      <c r="AO137" s="170"/>
      <c r="AP137" s="170"/>
      <c r="AQ137" s="170"/>
      <c r="AR137" s="170"/>
      <c r="AS137" s="170"/>
      <c r="AT137" s="170"/>
      <c r="AU137" s="170"/>
      <c r="AV137" s="170"/>
      <c r="AW137" s="170"/>
      <c r="AX137" s="170"/>
      <c r="AY137" s="170"/>
      <c r="AZ137" s="167" t="s">
        <v>178</v>
      </c>
      <c r="BA137" s="160">
        <f>(COUNTIF(AJ137:AL137,"*OK*")*3) + (COUNTIF(AM137:AO137,"*OK*")*2) + COUNTIF(AP137:AR137,"*OK*")+COUNTIF(AZ137:AZ137,"SI")*0.5</f>
        <v>0</v>
      </c>
      <c r="BB137" s="160" t="str">
        <f>IF(BA137&lt;0.6,"Demasiado Riesgo",IF(BA137&lt;=5,"Riesgo Medio",IF(BA137&lt;=11,"Riesgo Bajo","Cliente Blindado")))</f>
        <v>Demasiado Riesgo</v>
      </c>
      <c r="BC137" s="160"/>
      <c r="BD137" s="160"/>
      <c r="BE137" s="160">
        <v>0</v>
      </c>
      <c r="BF137" s="160"/>
      <c r="BG137" s="160"/>
      <c r="BH137" s="160"/>
      <c r="BI137" s="160"/>
      <c r="BJ137" s="160"/>
      <c r="BK137" s="160"/>
      <c r="BL137" s="160"/>
      <c r="BM137" s="160"/>
      <c r="BN137" s="160"/>
      <c r="BO137" s="160"/>
      <c r="BP137" s="160"/>
      <c r="BQ137" s="160"/>
      <c r="BR137" s="160"/>
      <c r="BS137" s="160"/>
      <c r="BT137" s="160"/>
      <c r="BU137" s="160"/>
      <c r="BV137" s="160"/>
      <c r="BW137" s="160"/>
      <c r="BX137" s="160"/>
      <c r="BY137" s="160"/>
      <c r="BZ137" s="160"/>
      <c r="CA137" s="160">
        <f>COUNTIF(AJ137:AX137,"*OK*")</f>
        <v>0</v>
      </c>
      <c r="CB137" s="160"/>
      <c r="CC137" s="160">
        <f>COUNTIF(AJ137:AX137,"*OP*")</f>
        <v>0</v>
      </c>
    </row>
    <row r="138" spans="1:81" ht="15" hidden="1" customHeight="1">
      <c r="A138" s="500">
        <v>22523</v>
      </c>
      <c r="B138" s="173"/>
      <c r="C138" s="468">
        <f>T138</f>
        <v>170.71</v>
      </c>
      <c r="D138" s="171">
        <f>COUNTIF(AJ138:AX138,"*OK*")</f>
        <v>0</v>
      </c>
      <c r="E138" s="171"/>
      <c r="F138" s="183" t="s">
        <v>550</v>
      </c>
      <c r="G138" s="183"/>
      <c r="H138" s="179"/>
      <c r="I138" s="179"/>
      <c r="J138" s="183"/>
      <c r="K138" s="192" t="s">
        <v>68</v>
      </c>
      <c r="L138" s="183" t="s">
        <v>456</v>
      </c>
      <c r="M138" s="183"/>
      <c r="N138" s="183"/>
      <c r="O138" s="172">
        <v>175.5</v>
      </c>
      <c r="P138" s="172">
        <v>176.43</v>
      </c>
      <c r="Q138" s="172">
        <v>166.05</v>
      </c>
      <c r="R138" s="193">
        <v>170.32</v>
      </c>
      <c r="S138" s="510">
        <v>173.69970000000001</v>
      </c>
      <c r="T138" s="551">
        <v>170.71</v>
      </c>
      <c r="U138" s="175"/>
      <c r="V138" s="176">
        <v>150</v>
      </c>
      <c r="W138" s="194"/>
      <c r="X138" s="209" t="s">
        <v>70</v>
      </c>
      <c r="Y138" s="177" t="s">
        <v>302</v>
      </c>
      <c r="Z138" s="178" t="s">
        <v>551</v>
      </c>
      <c r="AA138" s="176" t="s">
        <v>59</v>
      </c>
      <c r="AB138" s="195" t="s">
        <v>240</v>
      </c>
      <c r="AC138" s="179" t="s">
        <v>97</v>
      </c>
      <c r="AD138" s="171"/>
      <c r="AE138" s="171"/>
      <c r="AF138" s="171"/>
      <c r="AG138" s="171"/>
      <c r="AH138" s="171"/>
      <c r="AI138" s="178" t="s">
        <v>59</v>
      </c>
      <c r="AJ138" s="170"/>
      <c r="AK138" s="170"/>
      <c r="AL138" s="170"/>
      <c r="AM138" s="170" t="s">
        <v>173</v>
      </c>
      <c r="AN138" s="170"/>
      <c r="AO138" s="170"/>
      <c r="AP138" s="170"/>
      <c r="AQ138" s="170"/>
      <c r="AR138" s="170"/>
      <c r="AS138" s="170"/>
      <c r="AT138" s="170"/>
      <c r="AU138" s="170"/>
      <c r="AV138" s="170"/>
      <c r="AW138" s="170"/>
      <c r="AX138" s="170"/>
      <c r="AY138" s="170"/>
      <c r="AZ138" s="178" t="s">
        <v>59</v>
      </c>
      <c r="BA138" s="171">
        <f>(COUNTIF(AJ138:AL138,"*OK*")*3) + (COUNTIF(AM138:AO138,"*OK*")*2) + COUNTIF(AP138:AR138,"*OK*")+COUNTIF(AZ138:AZ138,"SI")*0.5</f>
        <v>0</v>
      </c>
      <c r="BB138" s="171" t="str">
        <f>IF(BA138&lt;0.6,"Demasiado Riesgo",IF(BA138&lt;=5,"Riesgo Medio",IF(BA138&lt;=11,"Riesgo Bajo","Cliente Blindado")))</f>
        <v>Demasiado Riesgo</v>
      </c>
      <c r="BC138" s="171"/>
      <c r="BD138" s="171"/>
      <c r="BE138" s="171">
        <v>0</v>
      </c>
      <c r="BF138" s="171"/>
      <c r="BG138" s="171"/>
      <c r="BH138" s="171"/>
      <c r="BI138" s="171"/>
      <c r="BJ138" s="171"/>
      <c r="BK138" s="171"/>
      <c r="BL138" s="171"/>
      <c r="BM138" s="171"/>
      <c r="BN138" s="171"/>
      <c r="BO138" s="171"/>
      <c r="BP138" s="171"/>
      <c r="BQ138" s="171"/>
      <c r="BR138" s="171"/>
      <c r="BS138" s="171"/>
      <c r="BT138" s="171"/>
      <c r="BU138" s="171"/>
      <c r="BV138" s="171"/>
      <c r="BW138" s="171"/>
      <c r="BX138" s="171"/>
      <c r="BY138" s="171"/>
      <c r="BZ138" s="171"/>
      <c r="CA138" s="171">
        <f>COUNTIF(AJ138:AX138,"*OK*")</f>
        <v>0</v>
      </c>
      <c r="CB138" s="171"/>
      <c r="CC138" s="171">
        <f>COUNTIF(AJ138:AX138,"*OP*")</f>
        <v>1</v>
      </c>
    </row>
    <row r="139" spans="1:81" ht="15" hidden="1" customHeight="1">
      <c r="A139" s="240">
        <v>36134</v>
      </c>
      <c r="B139" s="171"/>
      <c r="C139" s="468">
        <f>T139</f>
        <v>171.41</v>
      </c>
      <c r="D139" s="171">
        <f>COUNTIF(AJ139:AX139,"*OK*")</f>
        <v>0</v>
      </c>
      <c r="E139" s="171"/>
      <c r="F139" s="183" t="s">
        <v>552</v>
      </c>
      <c r="G139" s="183"/>
      <c r="H139" s="179"/>
      <c r="I139" s="179"/>
      <c r="J139" s="183"/>
      <c r="K139" s="192" t="s">
        <v>68</v>
      </c>
      <c r="L139" s="183" t="s">
        <v>456</v>
      </c>
      <c r="M139" s="183"/>
      <c r="N139" s="183"/>
      <c r="O139" s="172"/>
      <c r="P139" s="172">
        <v>130.38999999999999</v>
      </c>
      <c r="Q139" s="172">
        <v>143.59</v>
      </c>
      <c r="R139" s="193">
        <v>151.06</v>
      </c>
      <c r="S139" s="510">
        <v>164.64750000000001</v>
      </c>
      <c r="T139" s="554">
        <v>171.41</v>
      </c>
      <c r="U139" s="175"/>
      <c r="V139" s="176">
        <v>100</v>
      </c>
      <c r="W139" s="194"/>
      <c r="X139" s="211" t="s">
        <v>70</v>
      </c>
      <c r="Y139" s="177" t="s">
        <v>152</v>
      </c>
      <c r="Z139" s="178" t="s">
        <v>553</v>
      </c>
      <c r="AA139" s="176" t="s">
        <v>59</v>
      </c>
      <c r="AB139" s="178" t="s">
        <v>65</v>
      </c>
      <c r="AC139" s="179"/>
      <c r="AD139" s="171"/>
      <c r="AE139" s="171"/>
      <c r="AF139" s="171"/>
      <c r="AG139" s="171"/>
      <c r="AH139" s="171"/>
      <c r="AI139" s="180" t="s">
        <v>59</v>
      </c>
      <c r="AJ139" s="170"/>
      <c r="AK139" s="170"/>
      <c r="AL139" s="170"/>
      <c r="AM139" s="170"/>
      <c r="AN139" s="170"/>
      <c r="AO139" s="170"/>
      <c r="AP139" s="170"/>
      <c r="AQ139" s="170"/>
      <c r="AR139" s="170"/>
      <c r="AS139" s="170"/>
      <c r="AT139" s="170"/>
      <c r="AU139" s="170"/>
      <c r="AV139" s="170"/>
      <c r="AW139" s="170"/>
      <c r="AX139" s="170"/>
      <c r="AY139" s="170"/>
      <c r="AZ139" s="178" t="s">
        <v>59</v>
      </c>
      <c r="BA139" s="171">
        <f>(COUNTIF(AJ139:AL139,"*OK*")*3) + (COUNTIF(AM139:AO139,"*OK*")*2) + COUNTIF(AP139:AR139,"*OK*")+COUNTIF(AZ139:AZ139,"SI")*0.5</f>
        <v>0</v>
      </c>
      <c r="BB139" s="171" t="str">
        <f>IF(BA139&lt;0.6,"Demasiado Riesgo",IF(BA139&lt;=5,"Riesgo Medio",IF(BA139&lt;=11,"Riesgo Bajo","Cliente Blindado")))</f>
        <v>Demasiado Riesgo</v>
      </c>
      <c r="BC139" s="171"/>
      <c r="BD139" s="171"/>
      <c r="BE139" s="171">
        <v>0</v>
      </c>
      <c r="BF139" s="171"/>
      <c r="BG139" s="171"/>
      <c r="BH139" s="171"/>
      <c r="BI139" s="171"/>
      <c r="BJ139" s="171"/>
      <c r="BK139" s="171"/>
      <c r="BL139" s="171"/>
      <c r="BM139" s="171"/>
      <c r="BN139" s="171"/>
      <c r="BO139" s="171"/>
      <c r="BP139" s="171"/>
      <c r="BQ139" s="171"/>
      <c r="BR139" s="171"/>
      <c r="BS139" s="171"/>
      <c r="BT139" s="171"/>
      <c r="BU139" s="171"/>
      <c r="BV139" s="171"/>
      <c r="BW139" s="171"/>
      <c r="BX139" s="171"/>
      <c r="BY139" s="171"/>
      <c r="BZ139" s="171"/>
      <c r="CA139" s="171">
        <f>COUNTIF(AJ139:AX139,"*OK*")</f>
        <v>0</v>
      </c>
      <c r="CB139" s="171"/>
      <c r="CC139" s="171">
        <f>COUNTIF(AJ139:AX139,"*OP*")</f>
        <v>0</v>
      </c>
    </row>
    <row r="140" spans="1:81" ht="15" hidden="1" customHeight="1">
      <c r="A140" s="240">
        <v>24251</v>
      </c>
      <c r="B140" s="171" t="s">
        <v>554</v>
      </c>
      <c r="C140" s="468">
        <f>T140</f>
        <v>175.02</v>
      </c>
      <c r="D140" s="171">
        <f>COUNTIF(AJ140:AX140,"*OK*")</f>
        <v>0</v>
      </c>
      <c r="E140" s="171"/>
      <c r="F140" s="183" t="s">
        <v>555</v>
      </c>
      <c r="G140" s="183"/>
      <c r="H140" s="179"/>
      <c r="I140" s="179"/>
      <c r="J140" s="183"/>
      <c r="K140" s="198" t="s">
        <v>68</v>
      </c>
      <c r="L140" s="183" t="s">
        <v>456</v>
      </c>
      <c r="M140" s="183"/>
      <c r="N140" s="183" t="s">
        <v>136</v>
      </c>
      <c r="O140" s="172">
        <v>191.77</v>
      </c>
      <c r="P140" s="172">
        <v>191.59</v>
      </c>
      <c r="Q140" s="172">
        <v>182.59</v>
      </c>
      <c r="R140" s="193">
        <v>169.06</v>
      </c>
      <c r="S140" s="510">
        <v>176.9563</v>
      </c>
      <c r="T140" s="551">
        <v>175.02</v>
      </c>
      <c r="U140" s="175"/>
      <c r="V140" s="176">
        <v>100</v>
      </c>
      <c r="W140" s="194"/>
      <c r="X140" s="205" t="s">
        <v>285</v>
      </c>
      <c r="Y140" s="177" t="s">
        <v>152</v>
      </c>
      <c r="Z140" s="178" t="s">
        <v>556</v>
      </c>
      <c r="AA140" s="176" t="s">
        <v>59</v>
      </c>
      <c r="AB140" s="195" t="s">
        <v>65</v>
      </c>
      <c r="AC140" s="179" t="s">
        <v>84</v>
      </c>
      <c r="AD140" s="171"/>
      <c r="AE140" s="171"/>
      <c r="AF140" s="171"/>
      <c r="AG140" s="171"/>
      <c r="AH140" s="171"/>
      <c r="AI140" s="178" t="s">
        <v>59</v>
      </c>
      <c r="AJ140" s="170"/>
      <c r="AK140" s="170"/>
      <c r="AL140" s="170"/>
      <c r="AM140" s="170"/>
      <c r="AN140" s="170"/>
      <c r="AO140" s="170"/>
      <c r="AP140" s="170"/>
      <c r="AQ140" s="170"/>
      <c r="AR140" s="170"/>
      <c r="AS140" s="170"/>
      <c r="AT140" s="170"/>
      <c r="AU140" s="170"/>
      <c r="AV140" s="170"/>
      <c r="AW140" s="170"/>
      <c r="AX140" s="170"/>
      <c r="AY140" s="170"/>
      <c r="AZ140" s="178" t="s">
        <v>178</v>
      </c>
      <c r="BA140" s="171">
        <f>(COUNTIF(AJ140:AL140,"*OK*")*3) + (COUNTIF(AM140:AO140,"*OK*")*2) + COUNTIF(AP140:AR140,"*OK*")+COUNTIF(AZ140:AZ140,"SI")*0.5</f>
        <v>0</v>
      </c>
      <c r="BB140" s="171" t="str">
        <f>IF(BA140&lt;0.6,"Demasiado Riesgo",IF(BA140&lt;=5,"Riesgo Medio",IF(BA140&lt;=11,"Riesgo Bajo","Cliente Blindado")))</f>
        <v>Demasiado Riesgo</v>
      </c>
      <c r="BC140" s="171"/>
      <c r="BD140" s="171"/>
      <c r="BE140" s="171">
        <v>0</v>
      </c>
      <c r="BF140" s="171"/>
      <c r="BG140" s="171"/>
      <c r="BH140" s="171"/>
      <c r="BI140" s="171"/>
      <c r="BJ140" s="171"/>
      <c r="BK140" s="171"/>
      <c r="BL140" s="171"/>
      <c r="BM140" s="171"/>
      <c r="BN140" s="171"/>
      <c r="BO140" s="171"/>
      <c r="BP140" s="171"/>
      <c r="BQ140" s="171"/>
      <c r="BR140" s="171"/>
      <c r="BS140" s="171"/>
      <c r="BT140" s="171"/>
      <c r="BU140" s="171"/>
      <c r="BV140" s="171"/>
      <c r="BW140" s="171"/>
      <c r="BX140" s="171"/>
      <c r="BY140" s="171"/>
      <c r="BZ140" s="171"/>
      <c r="CA140" s="171">
        <f>COUNTIF(AJ140:AX140,"*OK*")</f>
        <v>0</v>
      </c>
      <c r="CB140" s="171"/>
      <c r="CC140" s="171">
        <f>COUNTIF(AJ140:AX140,"*OP*")</f>
        <v>0</v>
      </c>
    </row>
    <row r="141" spans="1:81" ht="15" hidden="1" customHeight="1">
      <c r="A141" s="241">
        <v>23187</v>
      </c>
      <c r="B141" s="160" t="s">
        <v>557</v>
      </c>
      <c r="C141" s="468">
        <f>T141</f>
        <v>175.96</v>
      </c>
      <c r="D141" s="160">
        <f>COUNTIF(AJ141:AX141,"*OK*")</f>
        <v>0</v>
      </c>
      <c r="E141" s="160"/>
      <c r="F141" s="182" t="s">
        <v>558</v>
      </c>
      <c r="G141" s="182"/>
      <c r="H141" s="168"/>
      <c r="I141" s="168"/>
      <c r="J141" s="182"/>
      <c r="K141" s="196" t="s">
        <v>68</v>
      </c>
      <c r="L141" s="182" t="s">
        <v>456</v>
      </c>
      <c r="M141" s="182"/>
      <c r="N141" s="182" t="s">
        <v>136</v>
      </c>
      <c r="O141" s="161">
        <v>146.15</v>
      </c>
      <c r="P141" s="161">
        <v>175.76</v>
      </c>
      <c r="Q141" s="161">
        <v>170.07</v>
      </c>
      <c r="R141" s="186">
        <v>151.61000000000001</v>
      </c>
      <c r="S141" s="510">
        <v>188.6919</v>
      </c>
      <c r="T141" s="550">
        <v>175.96</v>
      </c>
      <c r="U141" s="164"/>
      <c r="V141" s="165">
        <v>100</v>
      </c>
      <c r="W141" s="187"/>
      <c r="X141" s="208" t="s">
        <v>70</v>
      </c>
      <c r="Y141" s="166" t="s">
        <v>152</v>
      </c>
      <c r="Z141" s="167" t="s">
        <v>559</v>
      </c>
      <c r="AA141" s="165" t="s">
        <v>59</v>
      </c>
      <c r="AB141" s="188" t="s">
        <v>65</v>
      </c>
      <c r="AC141" s="168" t="s">
        <v>92</v>
      </c>
      <c r="AD141" s="160"/>
      <c r="AE141" s="160"/>
      <c r="AF141" s="160"/>
      <c r="AG141" s="160"/>
      <c r="AH141" s="160"/>
      <c r="AI141" s="167" t="s">
        <v>59</v>
      </c>
      <c r="AJ141" s="170"/>
      <c r="AK141" s="170"/>
      <c r="AL141" s="170"/>
      <c r="AM141" s="170"/>
      <c r="AN141" s="170"/>
      <c r="AO141" s="170"/>
      <c r="AP141" s="170"/>
      <c r="AQ141" s="170"/>
      <c r="AR141" s="170"/>
      <c r="AS141" s="170"/>
      <c r="AT141" s="170"/>
      <c r="AU141" s="170"/>
      <c r="AV141" s="170"/>
      <c r="AW141" s="170"/>
      <c r="AX141" s="170"/>
      <c r="AY141" s="170"/>
      <c r="AZ141" s="167" t="s">
        <v>178</v>
      </c>
      <c r="BA141" s="160">
        <f>(COUNTIF(AJ141:AL141,"*OK*")*3) + (COUNTIF(AM141:AO141,"*OK*")*2) + COUNTIF(AP141:AR141,"*OK*")+COUNTIF(AZ141:AZ141,"SI")*0.5</f>
        <v>0</v>
      </c>
      <c r="BB141" s="160" t="str">
        <f>IF(BA141&lt;0.6,"Demasiado Riesgo",IF(BA141&lt;=5,"Riesgo Medio",IF(BA141&lt;=11,"Riesgo Bajo","Cliente Blindado")))</f>
        <v>Demasiado Riesgo</v>
      </c>
      <c r="BC141" s="160"/>
      <c r="BD141" s="160"/>
      <c r="BE141" s="160">
        <v>0</v>
      </c>
      <c r="BF141" s="160"/>
      <c r="BG141" s="160"/>
      <c r="BH141" s="160"/>
      <c r="BI141" s="160"/>
      <c r="BJ141" s="160"/>
      <c r="BK141" s="160"/>
      <c r="BL141" s="160"/>
      <c r="BM141" s="160"/>
      <c r="BN141" s="160"/>
      <c r="BO141" s="160"/>
      <c r="BP141" s="160"/>
      <c r="BQ141" s="160"/>
      <c r="BR141" s="160"/>
      <c r="BS141" s="160"/>
      <c r="BT141" s="160"/>
      <c r="BU141" s="160"/>
      <c r="BV141" s="160"/>
      <c r="BW141" s="160"/>
      <c r="BX141" s="160"/>
      <c r="BY141" s="160"/>
      <c r="BZ141" s="160"/>
      <c r="CA141" s="160">
        <f>COUNTIF(AJ141:AX141,"*OK*")</f>
        <v>0</v>
      </c>
      <c r="CB141" s="160"/>
      <c r="CC141" s="160">
        <f>COUNTIF(AJ141:AX141,"*OP*")</f>
        <v>0</v>
      </c>
    </row>
    <row r="142" spans="1:81" ht="15" hidden="1" customHeight="1">
      <c r="A142" s="240">
        <v>31720</v>
      </c>
      <c r="B142" s="171" t="s">
        <v>560</v>
      </c>
      <c r="C142" s="468">
        <f>T142</f>
        <v>180.13</v>
      </c>
      <c r="D142" s="171">
        <f>COUNTIF(AJ142:AX142,"*OK*")</f>
        <v>0</v>
      </c>
      <c r="E142" s="171"/>
      <c r="F142" s="183" t="s">
        <v>561</v>
      </c>
      <c r="G142" s="183"/>
      <c r="H142" s="179"/>
      <c r="I142" s="179"/>
      <c r="J142" s="183"/>
      <c r="K142" s="198" t="s">
        <v>68</v>
      </c>
      <c r="L142" s="183" t="s">
        <v>456</v>
      </c>
      <c r="M142" s="183"/>
      <c r="N142" s="183"/>
      <c r="O142" s="172">
        <v>185.26</v>
      </c>
      <c r="P142" s="172">
        <v>185.09</v>
      </c>
      <c r="Q142" s="172">
        <v>171.81</v>
      </c>
      <c r="R142" s="193">
        <v>184.43</v>
      </c>
      <c r="S142" s="510">
        <v>191.70750000000001</v>
      </c>
      <c r="T142" s="551">
        <v>180.13</v>
      </c>
      <c r="U142" s="175"/>
      <c r="V142" s="176">
        <v>100</v>
      </c>
      <c r="W142" s="194"/>
      <c r="X142" s="209" t="s">
        <v>70</v>
      </c>
      <c r="Y142" s="177" t="s">
        <v>71</v>
      </c>
      <c r="Z142" s="178" t="s">
        <v>562</v>
      </c>
      <c r="AA142" s="176" t="s">
        <v>59</v>
      </c>
      <c r="AB142" s="195" t="s">
        <v>65</v>
      </c>
      <c r="AC142" s="179" t="s">
        <v>97</v>
      </c>
      <c r="AD142" s="171"/>
      <c r="AE142" s="171"/>
      <c r="AF142" s="171"/>
      <c r="AG142" s="171"/>
      <c r="AH142" s="171"/>
      <c r="AI142" s="180" t="s">
        <v>59</v>
      </c>
      <c r="AJ142" s="170"/>
      <c r="AK142" s="170" t="s">
        <v>173</v>
      </c>
      <c r="AL142" s="170"/>
      <c r="AM142" s="170"/>
      <c r="AN142" s="170"/>
      <c r="AO142" s="170"/>
      <c r="AP142" s="170"/>
      <c r="AQ142" s="170"/>
      <c r="AR142" s="170"/>
      <c r="AS142" s="170"/>
      <c r="AT142" s="170"/>
      <c r="AU142" s="170"/>
      <c r="AV142" s="170"/>
      <c r="AW142" s="170"/>
      <c r="AX142" s="170"/>
      <c r="AY142" s="170"/>
      <c r="AZ142" s="180" t="s">
        <v>178</v>
      </c>
      <c r="BA142" s="171">
        <f>(COUNTIF(AJ142:AL142,"*OK*")*3) + (COUNTIF(AM142:AO142,"*OK*")*2) + COUNTIF(AP142:AR142,"*OK*")+COUNTIF(AZ142:AZ142,"SI")*0.5</f>
        <v>0</v>
      </c>
      <c r="BB142" s="171" t="str">
        <f>IF(BA142&lt;0.6,"Demasiado Riesgo",IF(BA142&lt;=5,"Riesgo Medio",IF(BA142&lt;=11,"Riesgo Bajo","Cliente Blindado")))</f>
        <v>Demasiado Riesgo</v>
      </c>
      <c r="BC142" s="171"/>
      <c r="BD142" s="171"/>
      <c r="BE142" s="171">
        <v>0</v>
      </c>
      <c r="BF142" s="171"/>
      <c r="BG142" s="171"/>
      <c r="BH142" s="171"/>
      <c r="BI142" s="171"/>
      <c r="BJ142" s="171"/>
      <c r="BK142" s="171"/>
      <c r="BL142" s="171"/>
      <c r="BM142" s="171"/>
      <c r="BN142" s="171"/>
      <c r="BO142" s="171"/>
      <c r="BP142" s="171"/>
      <c r="BQ142" s="171"/>
      <c r="BR142" s="171"/>
      <c r="BS142" s="171"/>
      <c r="BT142" s="171"/>
      <c r="BU142" s="171"/>
      <c r="BV142" s="171"/>
      <c r="BW142" s="171"/>
      <c r="BX142" s="171"/>
      <c r="BY142" s="171"/>
      <c r="BZ142" s="171"/>
      <c r="CA142" s="171">
        <f>COUNTIF(AJ142:AX142,"*OK*")</f>
        <v>0</v>
      </c>
      <c r="CB142" s="171"/>
      <c r="CC142" s="171">
        <f>COUNTIF(AJ142:AX142,"*OP*")</f>
        <v>1</v>
      </c>
    </row>
    <row r="143" spans="1:81" ht="15" hidden="1" customHeight="1">
      <c r="A143" s="241">
        <v>26558</v>
      </c>
      <c r="B143" s="160" t="s">
        <v>563</v>
      </c>
      <c r="C143" s="468">
        <f>T143</f>
        <v>182.21</v>
      </c>
      <c r="D143" s="160">
        <f>COUNTIF(AJ143:AX143,"*OK*")</f>
        <v>0</v>
      </c>
      <c r="E143" s="160"/>
      <c r="F143" s="424" t="s">
        <v>564</v>
      </c>
      <c r="G143" s="182"/>
      <c r="H143" s="168"/>
      <c r="I143" s="168"/>
      <c r="J143" s="182"/>
      <c r="K143" s="196" t="s">
        <v>68</v>
      </c>
      <c r="L143" s="182" t="s">
        <v>456</v>
      </c>
      <c r="M143" s="182"/>
      <c r="N143" s="182" t="s">
        <v>136</v>
      </c>
      <c r="O143" s="161">
        <v>201.27</v>
      </c>
      <c r="P143" s="161">
        <v>184.78</v>
      </c>
      <c r="Q143" s="161">
        <v>176.09</v>
      </c>
      <c r="R143" s="186">
        <v>181.76</v>
      </c>
      <c r="S143" s="510">
        <v>184.232</v>
      </c>
      <c r="T143" s="550">
        <v>182.21</v>
      </c>
      <c r="U143" s="164"/>
      <c r="V143" s="165">
        <v>400</v>
      </c>
      <c r="W143" s="187"/>
      <c r="X143" s="203" t="s">
        <v>253</v>
      </c>
      <c r="Y143" s="166" t="s">
        <v>80</v>
      </c>
      <c r="Z143" s="167" t="s">
        <v>565</v>
      </c>
      <c r="AA143" s="165" t="s">
        <v>59</v>
      </c>
      <c r="AB143" s="188" t="s">
        <v>104</v>
      </c>
      <c r="AC143" s="168" t="s">
        <v>139</v>
      </c>
      <c r="AD143" s="160"/>
      <c r="AE143" s="160"/>
      <c r="AF143" s="160"/>
      <c r="AG143" s="160"/>
      <c r="AH143" s="160" t="s">
        <v>566</v>
      </c>
      <c r="AI143" s="167" t="s">
        <v>127</v>
      </c>
      <c r="AJ143" s="170"/>
      <c r="AK143" s="170"/>
      <c r="AL143" s="170"/>
      <c r="AM143" s="170"/>
      <c r="AN143" s="170"/>
      <c r="AO143" s="170"/>
      <c r="AP143" s="170"/>
      <c r="AQ143" s="170"/>
      <c r="AR143" s="170"/>
      <c r="AS143" s="170"/>
      <c r="AT143" s="170"/>
      <c r="AU143" s="170"/>
      <c r="AV143" s="170"/>
      <c r="AW143" s="170"/>
      <c r="AX143" s="170"/>
      <c r="AY143" s="170"/>
      <c r="AZ143" s="167" t="s">
        <v>178</v>
      </c>
      <c r="BA143" s="160">
        <f>(COUNTIF(AJ143:AL143,"*OK*")*3) + (COUNTIF(AM143:AO143,"*OK*")*2) + COUNTIF(AP143:AR143,"*OK*")+COUNTIF(AZ143:AZ143,"SI")*0.5</f>
        <v>0</v>
      </c>
      <c r="BB143" s="160" t="str">
        <f>IF(BA143&lt;0.6,"Demasiado Riesgo",IF(BA143&lt;=5,"Riesgo Medio",IF(BA143&lt;=11,"Riesgo Bajo","Cliente Blindado")))</f>
        <v>Demasiado Riesgo</v>
      </c>
      <c r="BC143" s="160"/>
      <c r="BD143" s="160"/>
      <c r="BE143" s="160">
        <v>0</v>
      </c>
      <c r="BF143" s="160"/>
      <c r="BG143" s="160"/>
      <c r="BH143" s="160"/>
      <c r="BI143" s="160"/>
      <c r="BJ143" s="160"/>
      <c r="BK143" s="160"/>
      <c r="BL143" s="160"/>
      <c r="BM143" s="160"/>
      <c r="BN143" s="160"/>
      <c r="BO143" s="160"/>
      <c r="BP143" s="160"/>
      <c r="BQ143" s="160"/>
      <c r="BR143" s="160"/>
      <c r="BS143" s="160"/>
      <c r="BT143" s="160"/>
      <c r="BU143" s="160"/>
      <c r="BV143" s="160"/>
      <c r="BW143" s="160"/>
      <c r="BX143" s="160"/>
      <c r="BY143" s="160"/>
      <c r="BZ143" s="160"/>
      <c r="CA143" s="160">
        <f>COUNTIF(AJ143:AX143,"*OK*")</f>
        <v>0</v>
      </c>
      <c r="CB143" s="160"/>
      <c r="CC143" s="160">
        <f>COUNTIF(AJ143:AX143,"*OP*")</f>
        <v>0</v>
      </c>
    </row>
    <row r="144" spans="1:81" ht="15" hidden="1" customHeight="1">
      <c r="A144" s="241"/>
      <c r="B144" s="160"/>
      <c r="C144" s="468">
        <f>T144</f>
        <v>182.84</v>
      </c>
      <c r="D144" s="160">
        <f>COUNTIF(AJ144:AX144,"*OK*")</f>
        <v>0</v>
      </c>
      <c r="E144" s="160"/>
      <c r="F144" s="182" t="s">
        <v>567</v>
      </c>
      <c r="G144" s="182"/>
      <c r="H144" s="168"/>
      <c r="I144" s="168"/>
      <c r="J144" s="182"/>
      <c r="K144" s="196" t="s">
        <v>68</v>
      </c>
      <c r="L144" s="182" t="s">
        <v>456</v>
      </c>
      <c r="M144" s="182"/>
      <c r="N144" s="182"/>
      <c r="O144" s="161">
        <v>191.41</v>
      </c>
      <c r="P144" s="161">
        <v>170.96</v>
      </c>
      <c r="Q144" s="161">
        <v>162.91999999999999</v>
      </c>
      <c r="R144" s="186">
        <v>168.16</v>
      </c>
      <c r="S144" s="510">
        <v>181.97890000000001</v>
      </c>
      <c r="T144" s="554">
        <v>182.84</v>
      </c>
      <c r="U144" s="164"/>
      <c r="V144" s="165">
        <v>400</v>
      </c>
      <c r="W144" s="187"/>
      <c r="X144" s="208" t="s">
        <v>70</v>
      </c>
      <c r="Y144" s="166" t="s">
        <v>89</v>
      </c>
      <c r="Z144" s="167" t="s">
        <v>568</v>
      </c>
      <c r="AA144" s="165" t="s">
        <v>59</v>
      </c>
      <c r="AB144" s="188" t="s">
        <v>61</v>
      </c>
      <c r="AC144" s="168"/>
      <c r="AD144" s="160"/>
      <c r="AE144" s="160"/>
      <c r="AF144" s="160"/>
      <c r="AG144" s="160"/>
      <c r="AH144" s="160"/>
      <c r="AI144" s="167" t="s">
        <v>59</v>
      </c>
      <c r="AJ144" s="170"/>
      <c r="AK144" s="170"/>
      <c r="AL144" s="170"/>
      <c r="AM144" s="170"/>
      <c r="AN144" s="170"/>
      <c r="AO144" s="170"/>
      <c r="AP144" s="170"/>
      <c r="AQ144" s="170"/>
      <c r="AR144" s="170"/>
      <c r="AS144" s="170"/>
      <c r="AT144" s="170"/>
      <c r="AU144" s="170"/>
      <c r="AV144" s="170"/>
      <c r="AW144" s="170"/>
      <c r="AX144" s="170"/>
      <c r="AY144" s="170"/>
      <c r="AZ144" s="167" t="s">
        <v>59</v>
      </c>
      <c r="BA144" s="160">
        <f>(COUNTIF(AJ144:AL144,"*OK*")*3) + (COUNTIF(AM144:AO144,"*OK*")*2) + COUNTIF(AP144:AR144,"*OK*")+COUNTIF(AZ144:AZ144,"SI")*0.5</f>
        <v>0</v>
      </c>
      <c r="BB144" s="160" t="str">
        <f>IF(BA144&lt;0.6,"Demasiado Riesgo",IF(BA144&lt;=5,"Riesgo Medio",IF(BA144&lt;=11,"Riesgo Bajo","Cliente Blindado")))</f>
        <v>Demasiado Riesgo</v>
      </c>
      <c r="BC144" s="160"/>
      <c r="BD144" s="160"/>
      <c r="BE144" s="160">
        <v>0</v>
      </c>
      <c r="BF144" s="160"/>
      <c r="BG144" s="160"/>
      <c r="BH144" s="160"/>
      <c r="BI144" s="160"/>
      <c r="BJ144" s="160"/>
      <c r="BK144" s="160"/>
      <c r="BL144" s="160"/>
      <c r="BM144" s="160"/>
      <c r="BN144" s="160"/>
      <c r="BO144" s="160"/>
      <c r="BP144" s="160"/>
      <c r="BQ144" s="160"/>
      <c r="BR144" s="160"/>
      <c r="BS144" s="160"/>
      <c r="BT144" s="160"/>
      <c r="BU144" s="160"/>
      <c r="BV144" s="160"/>
      <c r="BW144" s="160"/>
      <c r="BX144" s="160"/>
      <c r="BY144" s="160"/>
      <c r="BZ144" s="160"/>
      <c r="CA144" s="160">
        <f>COUNTIF(AJ144:AX144,"*OK*")</f>
        <v>0</v>
      </c>
      <c r="CB144" s="160"/>
      <c r="CC144" s="160">
        <f>COUNTIF(AJ144:AX144,"*OP*")</f>
        <v>0</v>
      </c>
    </row>
    <row r="145" spans="1:81" ht="15" hidden="1" customHeight="1">
      <c r="A145" s="240">
        <v>26920</v>
      </c>
      <c r="B145" s="171" t="s">
        <v>569</v>
      </c>
      <c r="C145" s="468">
        <f>T145</f>
        <v>187.7</v>
      </c>
      <c r="D145" s="171">
        <f>COUNTIF(AJ145:AX145,"*OK*")</f>
        <v>0</v>
      </c>
      <c r="E145" s="171"/>
      <c r="F145" s="183" t="s">
        <v>570</v>
      </c>
      <c r="G145" s="183"/>
      <c r="H145" s="179"/>
      <c r="I145" s="179"/>
      <c r="J145" s="183"/>
      <c r="K145" s="198" t="s">
        <v>68</v>
      </c>
      <c r="L145" s="183" t="s">
        <v>456</v>
      </c>
      <c r="M145" s="183"/>
      <c r="N145" s="183" t="s">
        <v>136</v>
      </c>
      <c r="O145" s="172"/>
      <c r="P145" s="172">
        <v>179.94</v>
      </c>
      <c r="Q145" s="172">
        <v>131.71</v>
      </c>
      <c r="R145" s="193">
        <v>182.13</v>
      </c>
      <c r="S145" s="510">
        <v>184.57859999999999</v>
      </c>
      <c r="T145" s="553">
        <v>187.7</v>
      </c>
      <c r="U145" s="175"/>
      <c r="V145" s="176">
        <v>150</v>
      </c>
      <c r="W145" s="194"/>
      <c r="X145" s="211" t="s">
        <v>70</v>
      </c>
      <c r="Y145" s="177" t="s">
        <v>243</v>
      </c>
      <c r="Z145" s="178" t="s">
        <v>571</v>
      </c>
      <c r="AA145" s="176" t="s">
        <v>243</v>
      </c>
      <c r="AB145" s="195" t="s">
        <v>505</v>
      </c>
      <c r="AC145" s="179" t="s">
        <v>572</v>
      </c>
      <c r="AD145" s="171"/>
      <c r="AE145" s="171"/>
      <c r="AF145" s="171"/>
      <c r="AG145" s="171"/>
      <c r="AH145" s="171"/>
      <c r="AI145" s="178" t="s">
        <v>59</v>
      </c>
      <c r="AJ145" s="170"/>
      <c r="AK145" s="170"/>
      <c r="AL145" s="170" t="s">
        <v>173</v>
      </c>
      <c r="AM145" s="170"/>
      <c r="AN145" s="170"/>
      <c r="AO145" s="170"/>
      <c r="AP145" s="170"/>
      <c r="AQ145" s="170"/>
      <c r="AR145" s="170"/>
      <c r="AS145" s="170"/>
      <c r="AT145" s="170"/>
      <c r="AU145" s="170"/>
      <c r="AV145" s="170"/>
      <c r="AW145" s="170"/>
      <c r="AX145" s="170"/>
      <c r="AY145" s="170"/>
      <c r="AZ145" s="178" t="s">
        <v>178</v>
      </c>
      <c r="BA145" s="171">
        <f>(COUNTIF(AJ145:AL145,"*OK*")*3) + (COUNTIF(AM145:AO145,"*OK*")*2) + COUNTIF(AP145:AR145,"*OK*")+COUNTIF(AZ145:AZ145,"SI")*0.5</f>
        <v>0</v>
      </c>
      <c r="BB145" s="171" t="str">
        <f>IF(BA145&lt;0.6,"Demasiado Riesgo",IF(BA145&lt;=5,"Riesgo Medio",IF(BA145&lt;=11,"Riesgo Bajo","Cliente Blindado")))</f>
        <v>Demasiado Riesgo</v>
      </c>
      <c r="BC145" s="171"/>
      <c r="BD145" s="171"/>
      <c r="BE145" s="171">
        <v>0</v>
      </c>
      <c r="BF145" s="171"/>
      <c r="BG145" s="171"/>
      <c r="BH145" s="171"/>
      <c r="BI145" s="171"/>
      <c r="BJ145" s="171"/>
      <c r="BK145" s="171"/>
      <c r="BL145" s="171"/>
      <c r="BM145" s="171"/>
      <c r="BN145" s="171"/>
      <c r="BO145" s="171"/>
      <c r="BP145" s="171"/>
      <c r="BQ145" s="171"/>
      <c r="BR145" s="171"/>
      <c r="BS145" s="171"/>
      <c r="BT145" s="171"/>
      <c r="BU145" s="171"/>
      <c r="BV145" s="171"/>
      <c r="BW145" s="171"/>
      <c r="BX145" s="171"/>
      <c r="BY145" s="171"/>
      <c r="BZ145" s="171"/>
      <c r="CA145" s="171">
        <f>COUNTIF(AJ145:AX145,"*OK*")</f>
        <v>0</v>
      </c>
      <c r="CB145" s="171"/>
      <c r="CC145" s="171">
        <f>COUNTIF(AJ145:AX145,"*OP*")</f>
        <v>1</v>
      </c>
    </row>
    <row r="146" spans="1:81" ht="15" hidden="1" customHeight="1">
      <c r="A146" s="500">
        <v>18593</v>
      </c>
      <c r="B146" s="173"/>
      <c r="C146" s="468">
        <f>T146</f>
        <v>192.8</v>
      </c>
      <c r="D146" s="171">
        <f>COUNTIF(AJ146:AX146,"*OK*")</f>
        <v>0</v>
      </c>
      <c r="E146" s="171"/>
      <c r="F146" s="183" t="s">
        <v>573</v>
      </c>
      <c r="G146" s="183"/>
      <c r="H146" s="179"/>
      <c r="I146" s="179"/>
      <c r="J146" s="183" t="s">
        <v>574</v>
      </c>
      <c r="K146" s="192" t="s">
        <v>68</v>
      </c>
      <c r="L146" s="183" t="s">
        <v>456</v>
      </c>
      <c r="M146" s="183"/>
      <c r="N146" s="183"/>
      <c r="O146" s="172">
        <v>203.3</v>
      </c>
      <c r="P146" s="172">
        <v>204.38</v>
      </c>
      <c r="Q146" s="172">
        <v>177.94</v>
      </c>
      <c r="R146" s="193">
        <v>188.63</v>
      </c>
      <c r="S146" s="510">
        <v>194.93979999999999</v>
      </c>
      <c r="T146" s="551">
        <v>192.8</v>
      </c>
      <c r="U146" s="175"/>
      <c r="V146" s="176">
        <v>150</v>
      </c>
      <c r="W146" s="194"/>
      <c r="X146" s="209" t="s">
        <v>70</v>
      </c>
      <c r="Y146" s="177" t="s">
        <v>141</v>
      </c>
      <c r="Z146" s="178" t="s">
        <v>575</v>
      </c>
      <c r="AA146" s="176" t="s">
        <v>59</v>
      </c>
      <c r="AB146" s="195" t="s">
        <v>159</v>
      </c>
      <c r="AC146" s="179" t="s">
        <v>92</v>
      </c>
      <c r="AD146" s="171"/>
      <c r="AE146" s="171"/>
      <c r="AF146" s="171"/>
      <c r="AG146" s="171"/>
      <c r="AH146" s="171"/>
      <c r="AI146" s="180" t="s">
        <v>59</v>
      </c>
      <c r="AJ146" s="170"/>
      <c r="AK146" s="170"/>
      <c r="AL146" s="170"/>
      <c r="AM146" s="170"/>
      <c r="AN146" s="170"/>
      <c r="AO146" s="170"/>
      <c r="AP146" s="170"/>
      <c r="AQ146" s="170"/>
      <c r="AR146" s="170"/>
      <c r="AS146" s="170"/>
      <c r="AT146" s="170"/>
      <c r="AU146" s="170"/>
      <c r="AV146" s="170"/>
      <c r="AW146" s="170"/>
      <c r="AX146" s="170"/>
      <c r="AY146" s="170"/>
      <c r="AZ146" s="180" t="s">
        <v>59</v>
      </c>
      <c r="BA146" s="171">
        <f>(COUNTIF(AJ146:AL146,"*OK*")*3) + (COUNTIF(AM146:AO146,"*OK*")*2) + COUNTIF(AP146:AR146,"*OK*")+COUNTIF(AZ146:AZ146,"SI")*0.5</f>
        <v>0</v>
      </c>
      <c r="BB146" s="171" t="str">
        <f>IF(BA146&lt;0.6,"Demasiado Riesgo",IF(BA146&lt;=5,"Riesgo Medio",IF(BA146&lt;=11,"Riesgo Bajo","Cliente Blindado")))</f>
        <v>Demasiado Riesgo</v>
      </c>
      <c r="BC146" s="171"/>
      <c r="BD146" s="171"/>
      <c r="BE146" s="171">
        <v>0</v>
      </c>
      <c r="BF146" s="171"/>
      <c r="BG146" s="171"/>
      <c r="BH146" s="171"/>
      <c r="BI146" s="171"/>
      <c r="BJ146" s="171"/>
      <c r="BK146" s="171"/>
      <c r="BL146" s="171"/>
      <c r="BM146" s="171"/>
      <c r="BN146" s="171"/>
      <c r="BO146" s="171"/>
      <c r="BP146" s="171"/>
      <c r="BQ146" s="171"/>
      <c r="BR146" s="171"/>
      <c r="BS146" s="171"/>
      <c r="BT146" s="171"/>
      <c r="BU146" s="171"/>
      <c r="BV146" s="171"/>
      <c r="BW146" s="171"/>
      <c r="BX146" s="171"/>
      <c r="BY146" s="171"/>
      <c r="BZ146" s="171"/>
      <c r="CA146" s="171">
        <f>COUNTIF(AJ146:AX146,"*OK*")</f>
        <v>0</v>
      </c>
      <c r="CB146" s="171"/>
      <c r="CC146" s="171">
        <f>COUNTIF(AJ146:AX146,"*OP*")</f>
        <v>0</v>
      </c>
    </row>
    <row r="147" spans="1:81" ht="15" hidden="1" customHeight="1">
      <c r="A147" s="240">
        <v>28545</v>
      </c>
      <c r="B147" s="171" t="s">
        <v>576</v>
      </c>
      <c r="C147" s="468">
        <f>T147</f>
        <v>197.12</v>
      </c>
      <c r="D147" s="171">
        <f>COUNTIF(AJ147:AX147,"*OK*")</f>
        <v>0</v>
      </c>
      <c r="E147" s="171"/>
      <c r="F147" s="245" t="s">
        <v>577</v>
      </c>
      <c r="G147" s="183"/>
      <c r="H147" s="179" t="s">
        <v>578</v>
      </c>
      <c r="I147" s="179"/>
      <c r="J147" s="183"/>
      <c r="K147" s="198" t="s">
        <v>68</v>
      </c>
      <c r="L147" s="183" t="s">
        <v>456</v>
      </c>
      <c r="M147" s="183"/>
      <c r="N147" s="183" t="s">
        <v>136</v>
      </c>
      <c r="O147" s="172">
        <v>233.47</v>
      </c>
      <c r="P147" s="172">
        <v>233.25</v>
      </c>
      <c r="Q147" s="172">
        <v>222.29</v>
      </c>
      <c r="R147" s="193">
        <v>132.41999999999999</v>
      </c>
      <c r="S147" s="510">
        <v>136.57079999999999</v>
      </c>
      <c r="T147" s="551">
        <v>197.12</v>
      </c>
      <c r="U147" s="175"/>
      <c r="V147" s="176">
        <v>200</v>
      </c>
      <c r="W147" s="194"/>
      <c r="X147" s="209" t="s">
        <v>70</v>
      </c>
      <c r="Y147" s="177" t="s">
        <v>162</v>
      </c>
      <c r="Z147" s="178" t="s">
        <v>579</v>
      </c>
      <c r="AA147" s="176" t="s">
        <v>162</v>
      </c>
      <c r="AB147" s="195" t="s">
        <v>240</v>
      </c>
      <c r="AC147" s="179" t="s">
        <v>97</v>
      </c>
      <c r="AD147" s="171"/>
      <c r="AE147" s="171"/>
      <c r="AF147" s="171"/>
      <c r="AG147" s="171"/>
      <c r="AH147" s="171"/>
      <c r="AI147" s="178" t="s">
        <v>127</v>
      </c>
      <c r="AJ147" s="170"/>
      <c r="AK147" s="170"/>
      <c r="AL147" s="170" t="s">
        <v>173</v>
      </c>
      <c r="AM147" s="170"/>
      <c r="AN147" s="170"/>
      <c r="AO147" s="170"/>
      <c r="AP147" s="545"/>
      <c r="AQ147" s="170"/>
      <c r="AR147" s="170"/>
      <c r="AS147" s="170"/>
      <c r="AT147" s="170"/>
      <c r="AU147" s="170"/>
      <c r="AV147" s="170"/>
      <c r="AW147" s="170"/>
      <c r="AX147" s="170"/>
      <c r="AY147" s="170"/>
      <c r="AZ147" s="178" t="s">
        <v>178</v>
      </c>
      <c r="BA147" s="171">
        <f>(COUNTIF(AJ147:AL147,"*OK*")*3) + (COUNTIF(AM147:AO147,"*OK*")*2) + COUNTIF(AP147:AR147,"*OK*")+COUNTIF(AZ147:AZ147,"SI")*0.5</f>
        <v>0</v>
      </c>
      <c r="BB147" s="171" t="str">
        <f>IF(BA147&lt;0.6,"Demasiado Riesgo",IF(BA147&lt;=5,"Riesgo Medio",IF(BA147&lt;=11,"Riesgo Bajo","Cliente Blindado")))</f>
        <v>Demasiado Riesgo</v>
      </c>
      <c r="BC147" s="171"/>
      <c r="BD147" s="171"/>
      <c r="BE147" s="171">
        <v>0</v>
      </c>
      <c r="BF147" s="171"/>
      <c r="BG147" s="171"/>
      <c r="BH147" s="171"/>
      <c r="BI147" s="171"/>
      <c r="BJ147" s="171"/>
      <c r="BK147" s="171"/>
      <c r="BL147" s="171"/>
      <c r="BM147" s="171"/>
      <c r="BN147" s="171"/>
      <c r="BO147" s="171"/>
      <c r="BP147" s="171"/>
      <c r="BQ147" s="171"/>
      <c r="BR147" s="171"/>
      <c r="BS147" s="171"/>
      <c r="BT147" s="171"/>
      <c r="BU147" s="171"/>
      <c r="BV147" s="171"/>
      <c r="BW147" s="171"/>
      <c r="BX147" s="171"/>
      <c r="BY147" s="171"/>
      <c r="BZ147" s="171"/>
      <c r="CA147" s="171">
        <f>COUNTIF(AJ147:AX147,"*OK*")</f>
        <v>0</v>
      </c>
      <c r="CB147" s="171"/>
      <c r="CC147" s="171">
        <f>COUNTIF(AJ147:AX147,"*OP*")</f>
        <v>1</v>
      </c>
    </row>
    <row r="148" spans="1:81" ht="15" hidden="1" customHeight="1">
      <c r="A148" s="241">
        <v>19640</v>
      </c>
      <c r="B148" s="160" t="s">
        <v>580</v>
      </c>
      <c r="C148" s="468">
        <f>T148</f>
        <v>198.6</v>
      </c>
      <c r="D148" s="160">
        <f>COUNTIF(AJ148:AX148,"*OK*")</f>
        <v>1</v>
      </c>
      <c r="E148" s="160"/>
      <c r="F148" s="182" t="s">
        <v>581</v>
      </c>
      <c r="G148" s="182"/>
      <c r="H148" s="168"/>
      <c r="I148" s="168"/>
      <c r="J148" s="182"/>
      <c r="K148" s="196" t="s">
        <v>68</v>
      </c>
      <c r="L148" s="182" t="s">
        <v>456</v>
      </c>
      <c r="M148" s="182"/>
      <c r="N148" s="182"/>
      <c r="O148" s="161">
        <v>221.35</v>
      </c>
      <c r="P148" s="161">
        <v>211.29</v>
      </c>
      <c r="Q148" s="161">
        <v>191.96</v>
      </c>
      <c r="R148" s="186">
        <v>188.43</v>
      </c>
      <c r="S148" s="510">
        <v>194.24709999999999</v>
      </c>
      <c r="T148" s="554">
        <v>198.6</v>
      </c>
      <c r="U148" s="164"/>
      <c r="V148" s="165">
        <v>200</v>
      </c>
      <c r="W148" s="187"/>
      <c r="X148" s="203" t="s">
        <v>231</v>
      </c>
      <c r="Y148" s="166" t="s">
        <v>80</v>
      </c>
      <c r="Z148" s="167" t="s">
        <v>582</v>
      </c>
      <c r="AA148" s="165" t="s">
        <v>59</v>
      </c>
      <c r="AB148" s="188" t="s">
        <v>65</v>
      </c>
      <c r="AC148" s="168" t="s">
        <v>572</v>
      </c>
      <c r="AD148" s="160"/>
      <c r="AE148" s="160"/>
      <c r="AF148" s="160"/>
      <c r="AG148" s="160"/>
      <c r="AH148" s="160"/>
      <c r="AI148" s="169" t="s">
        <v>127</v>
      </c>
      <c r="AJ148" s="170"/>
      <c r="AK148" s="170"/>
      <c r="AL148" s="170"/>
      <c r="AM148" s="170"/>
      <c r="AN148" s="170"/>
      <c r="AO148" s="170"/>
      <c r="AP148" s="170"/>
      <c r="AQ148" s="189" t="s">
        <v>111</v>
      </c>
      <c r="AR148" s="170"/>
      <c r="AS148" s="170"/>
      <c r="AT148" s="170"/>
      <c r="AU148" s="170"/>
      <c r="AV148" s="170"/>
      <c r="AW148" s="170"/>
      <c r="AX148" s="170"/>
      <c r="AY148" s="170"/>
      <c r="AZ148" s="167" t="s">
        <v>178</v>
      </c>
      <c r="BA148" s="160">
        <f>(COUNTIF(AJ148:AL148,"*OK*")*3) + (COUNTIF(AM148:AO148,"*OK*")*2) + COUNTIF(AP148:AR148,"*OK*")+COUNTIF(AZ148:AZ148,"SI")*0.5</f>
        <v>1</v>
      </c>
      <c r="BB148" s="160" t="str">
        <f>IF(BA148&lt;0.6,"Demasiado Riesgo",IF(BA148&lt;=5,"Riesgo Medio",IF(BA148&lt;=11,"Riesgo Bajo","Cliente Blindado")))</f>
        <v>Riesgo Medio</v>
      </c>
      <c r="BC148" s="160"/>
      <c r="BD148" s="160"/>
      <c r="BE148" s="160">
        <v>0</v>
      </c>
      <c r="BF148" s="160"/>
      <c r="BG148" s="160"/>
      <c r="BH148" s="160"/>
      <c r="BI148" s="160"/>
      <c r="BJ148" s="160"/>
      <c r="BK148" s="160"/>
      <c r="BL148" s="160"/>
      <c r="BM148" s="160"/>
      <c r="BN148" s="160"/>
      <c r="BO148" s="160"/>
      <c r="BP148" s="160"/>
      <c r="BQ148" s="160"/>
      <c r="BR148" s="160"/>
      <c r="BS148" s="160"/>
      <c r="BT148" s="160"/>
      <c r="BU148" s="160"/>
      <c r="BV148" s="160"/>
      <c r="BW148" s="160"/>
      <c r="BX148" s="160"/>
      <c r="BY148" s="160"/>
      <c r="BZ148" s="160"/>
      <c r="CA148" s="160">
        <f>COUNTIF(AJ148:AX148,"*OK*")</f>
        <v>1</v>
      </c>
      <c r="CB148" s="160"/>
      <c r="CC148" s="160">
        <f>COUNTIF(AJ148:AX148,"*OP*")</f>
        <v>0</v>
      </c>
    </row>
    <row r="149" spans="1:81" ht="15" hidden="1" customHeight="1">
      <c r="A149" s="241">
        <v>24521</v>
      </c>
      <c r="B149" s="160" t="s">
        <v>583</v>
      </c>
      <c r="C149" s="468">
        <f>T149</f>
        <v>203.73</v>
      </c>
      <c r="D149" s="160">
        <f>COUNTIF(AJ149:AX149,"*OK*")</f>
        <v>0</v>
      </c>
      <c r="E149" s="160"/>
      <c r="F149" s="570" t="s">
        <v>584</v>
      </c>
      <c r="G149" s="570"/>
      <c r="H149" s="168"/>
      <c r="I149" s="573"/>
      <c r="J149" s="570"/>
      <c r="K149" s="196" t="s">
        <v>68</v>
      </c>
      <c r="L149" s="182" t="s">
        <v>456</v>
      </c>
      <c r="M149" s="182"/>
      <c r="N149" s="182"/>
      <c r="O149" s="161">
        <v>183.01</v>
      </c>
      <c r="P149" s="161">
        <v>187.85</v>
      </c>
      <c r="Q149" s="161">
        <v>182.6</v>
      </c>
      <c r="R149" s="186">
        <v>197.1</v>
      </c>
      <c r="S149" s="510">
        <v>196.00399999999999</v>
      </c>
      <c r="T149" s="554">
        <v>203.73</v>
      </c>
      <c r="U149" s="164"/>
      <c r="V149" s="165">
        <v>200</v>
      </c>
      <c r="W149" s="187"/>
      <c r="X149" s="207" t="s">
        <v>70</v>
      </c>
      <c r="Y149" s="166" t="s">
        <v>162</v>
      </c>
      <c r="Z149" s="167" t="s">
        <v>585</v>
      </c>
      <c r="AA149" s="165" t="s">
        <v>59</v>
      </c>
      <c r="AB149" s="188" t="s">
        <v>65</v>
      </c>
      <c r="AC149" s="168" t="s">
        <v>97</v>
      </c>
      <c r="AD149" s="160"/>
      <c r="AE149" s="160"/>
      <c r="AF149" s="160"/>
      <c r="AG149" s="160"/>
      <c r="AH149" s="160"/>
      <c r="AI149" s="167" t="s">
        <v>59</v>
      </c>
      <c r="AJ149" s="170"/>
      <c r="AK149" s="170"/>
      <c r="AL149" s="170" t="s">
        <v>173</v>
      </c>
      <c r="AM149" s="170"/>
      <c r="AN149" s="170"/>
      <c r="AO149" s="170"/>
      <c r="AP149" s="170"/>
      <c r="AQ149" s="170"/>
      <c r="AR149" s="170"/>
      <c r="AS149" s="170"/>
      <c r="AT149" s="170"/>
      <c r="AU149" s="170"/>
      <c r="AV149" s="170"/>
      <c r="AW149" s="170"/>
      <c r="AX149" s="170"/>
      <c r="AY149" s="170"/>
      <c r="AZ149" s="167" t="s">
        <v>59</v>
      </c>
      <c r="BA149" s="160">
        <f>(COUNTIF(AJ149:AL149,"*OK*")*3) + (COUNTIF(AM149:AO149,"*OK*")*2) + COUNTIF(AP149:AR149,"*OK*")+COUNTIF(AZ149:AZ149,"SI")*0.5</f>
        <v>0</v>
      </c>
      <c r="BB149" s="160" t="str">
        <f>IF(BA149&lt;0.6,"Demasiado Riesgo",IF(BA149&lt;=5,"Riesgo Medio",IF(BA149&lt;=11,"Riesgo Bajo","Cliente Blindado")))</f>
        <v>Demasiado Riesgo</v>
      </c>
      <c r="BC149" s="160"/>
      <c r="BD149" s="160"/>
      <c r="BE149" s="160">
        <v>0</v>
      </c>
      <c r="BF149" s="160"/>
      <c r="BG149" s="160"/>
      <c r="BH149" s="160"/>
      <c r="BI149" s="160"/>
      <c r="BJ149" s="160"/>
      <c r="BK149" s="160"/>
      <c r="BL149" s="160"/>
      <c r="BM149" s="160"/>
      <c r="BN149" s="160"/>
      <c r="BO149" s="160"/>
      <c r="BP149" s="160"/>
      <c r="BQ149" s="160"/>
      <c r="BR149" s="160"/>
      <c r="BS149" s="160"/>
      <c r="BT149" s="160"/>
      <c r="BU149" s="160"/>
      <c r="BV149" s="160"/>
      <c r="BW149" s="160"/>
      <c r="BX149" s="160"/>
      <c r="BY149" s="160"/>
      <c r="BZ149" s="160"/>
      <c r="CA149" s="160">
        <f>COUNTIF(AJ149:AX149,"*OK*")</f>
        <v>0</v>
      </c>
      <c r="CB149" s="160"/>
      <c r="CC149" s="160">
        <f>COUNTIF(AJ149:AX149,"*OP*")</f>
        <v>1</v>
      </c>
    </row>
    <row r="150" spans="1:81" ht="15" hidden="1" customHeight="1">
      <c r="A150" s="240">
        <v>34899</v>
      </c>
      <c r="B150" s="171"/>
      <c r="C150" s="468">
        <f>T150</f>
        <v>204.27</v>
      </c>
      <c r="D150" s="171">
        <f>COUNTIF(AJ150:AX150,"*OK*")</f>
        <v>0</v>
      </c>
      <c r="E150" s="171"/>
      <c r="F150" s="183" t="s">
        <v>586</v>
      </c>
      <c r="G150" s="183"/>
      <c r="H150" s="179"/>
      <c r="I150" s="179"/>
      <c r="J150" s="183"/>
      <c r="K150" s="198" t="s">
        <v>68</v>
      </c>
      <c r="L150" s="183" t="s">
        <v>456</v>
      </c>
      <c r="M150" s="183"/>
      <c r="N150" s="183"/>
      <c r="O150" s="172">
        <v>197.79</v>
      </c>
      <c r="P150" s="172">
        <v>200.8</v>
      </c>
      <c r="Q150" s="172">
        <v>194.4</v>
      </c>
      <c r="R150" s="193">
        <v>203.79</v>
      </c>
      <c r="S150" s="510">
        <v>209.709</v>
      </c>
      <c r="T150" s="551">
        <v>204.27</v>
      </c>
      <c r="U150" s="175"/>
      <c r="V150" s="176">
        <v>200</v>
      </c>
      <c r="W150" s="194"/>
      <c r="X150" s="209" t="s">
        <v>70</v>
      </c>
      <c r="Y150" s="177" t="s">
        <v>235</v>
      </c>
      <c r="Z150" s="178" t="s">
        <v>587</v>
      </c>
      <c r="AA150" s="176" t="s">
        <v>59</v>
      </c>
      <c r="AB150" s="195" t="s">
        <v>65</v>
      </c>
      <c r="AC150" s="179" t="s">
        <v>572</v>
      </c>
      <c r="AD150" s="171"/>
      <c r="AE150" s="171"/>
      <c r="AF150" s="171"/>
      <c r="AG150" s="171"/>
      <c r="AH150" s="171"/>
      <c r="AI150" s="180" t="s">
        <v>59</v>
      </c>
      <c r="AJ150" s="170"/>
      <c r="AK150" s="170"/>
      <c r="AL150" s="170"/>
      <c r="AM150" s="170"/>
      <c r="AN150" s="170"/>
      <c r="AO150" s="170"/>
      <c r="AP150" s="170"/>
      <c r="AQ150" s="170"/>
      <c r="AR150" s="170"/>
      <c r="AS150" s="170"/>
      <c r="AT150" s="170"/>
      <c r="AU150" s="170"/>
      <c r="AV150" s="170"/>
      <c r="AW150" s="170"/>
      <c r="AX150" s="170"/>
      <c r="AY150" s="170"/>
      <c r="AZ150" s="180" t="s">
        <v>59</v>
      </c>
      <c r="BA150" s="171">
        <f>(COUNTIF(AJ150:AL150,"*OK*")*3) + (COUNTIF(AM150:AO150,"*OK*")*2) + COUNTIF(AP150:AR150,"*OK*")+COUNTIF(AZ150:AZ150,"SI")*0.5</f>
        <v>0</v>
      </c>
      <c r="BB150" s="171" t="str">
        <f>IF(BA150&lt;0.6,"Demasiado Riesgo",IF(BA150&lt;=5,"Riesgo Medio",IF(BA150&lt;=11,"Riesgo Bajo","Cliente Blindado")))</f>
        <v>Demasiado Riesgo</v>
      </c>
      <c r="BC150" s="171"/>
      <c r="BD150" s="171"/>
      <c r="BE150" s="171">
        <v>0</v>
      </c>
      <c r="BF150" s="171"/>
      <c r="BG150" s="171"/>
      <c r="BH150" s="171"/>
      <c r="BI150" s="171"/>
      <c r="BJ150" s="171"/>
      <c r="BK150" s="171"/>
      <c r="BL150" s="171"/>
      <c r="BM150" s="171"/>
      <c r="BN150" s="171"/>
      <c r="BO150" s="171"/>
      <c r="BP150" s="171"/>
      <c r="BQ150" s="171"/>
      <c r="BR150" s="171"/>
      <c r="BS150" s="171"/>
      <c r="BT150" s="171"/>
      <c r="BU150" s="171"/>
      <c r="BV150" s="171"/>
      <c r="BW150" s="171"/>
      <c r="BX150" s="171"/>
      <c r="BY150" s="171"/>
      <c r="BZ150" s="171"/>
      <c r="CA150" s="171">
        <f>COUNTIF(AJ150:AX150,"*OK*")</f>
        <v>0</v>
      </c>
      <c r="CB150" s="171"/>
      <c r="CC150" s="171">
        <f>COUNTIF(AJ150:AX150,"*OP*")</f>
        <v>0</v>
      </c>
    </row>
    <row r="151" spans="1:81" ht="15" hidden="1" customHeight="1">
      <c r="A151" s="241">
        <v>26038</v>
      </c>
      <c r="B151" s="160" t="s">
        <v>588</v>
      </c>
      <c r="C151" s="468">
        <f>T151</f>
        <v>208.35</v>
      </c>
      <c r="D151" s="160">
        <f>COUNTIF(AJ151:AX151,"*OK*")</f>
        <v>0</v>
      </c>
      <c r="E151" s="160"/>
      <c r="F151" s="182" t="s">
        <v>589</v>
      </c>
      <c r="G151" s="570"/>
      <c r="H151" s="168"/>
      <c r="I151" s="573"/>
      <c r="J151" s="570"/>
      <c r="K151" s="196" t="s">
        <v>68</v>
      </c>
      <c r="L151" s="182" t="s">
        <v>456</v>
      </c>
      <c r="M151" s="182"/>
      <c r="N151" s="182"/>
      <c r="O151" s="161">
        <v>205.87</v>
      </c>
      <c r="P151" s="161">
        <v>208.5</v>
      </c>
      <c r="Q151" s="161">
        <v>209.44</v>
      </c>
      <c r="R151" s="186">
        <v>207.87</v>
      </c>
      <c r="S151" s="510">
        <v>205.0446</v>
      </c>
      <c r="T151" s="554">
        <v>208.35</v>
      </c>
      <c r="U151" s="164"/>
      <c r="V151" s="165">
        <v>100</v>
      </c>
      <c r="W151" s="187"/>
      <c r="X151" s="207" t="s">
        <v>70</v>
      </c>
      <c r="Y151" s="166" t="s">
        <v>125</v>
      </c>
      <c r="Z151" s="167" t="s">
        <v>590</v>
      </c>
      <c r="AA151" s="165" t="s">
        <v>59</v>
      </c>
      <c r="AB151" s="188" t="s">
        <v>65</v>
      </c>
      <c r="AC151" s="168" t="s">
        <v>97</v>
      </c>
      <c r="AD151" s="160"/>
      <c r="AE151" s="160"/>
      <c r="AF151" s="160"/>
      <c r="AG151" s="160"/>
      <c r="AH151" s="160"/>
      <c r="AI151" s="167" t="s">
        <v>59</v>
      </c>
      <c r="AJ151" s="170"/>
      <c r="AK151" s="170"/>
      <c r="AL151" s="170"/>
      <c r="AM151" s="170"/>
      <c r="AN151" s="170"/>
      <c r="AO151" s="170"/>
      <c r="AP151" s="170"/>
      <c r="AQ151" s="170"/>
      <c r="AR151" s="170"/>
      <c r="AS151" s="170"/>
      <c r="AT151" s="170"/>
      <c r="AU151" s="170"/>
      <c r="AV151" s="170"/>
      <c r="AW151" s="170"/>
      <c r="AX151" s="170"/>
      <c r="AY151" s="170"/>
      <c r="AZ151" s="167" t="s">
        <v>178</v>
      </c>
      <c r="BA151" s="160">
        <f>(COUNTIF(AJ151:AL151,"*OK*")*3) + (COUNTIF(AM151:AO151,"*OK*")*2) + COUNTIF(AP151:AR151,"*OK*")+COUNTIF(AZ151:AZ151,"SI")*0.5</f>
        <v>0</v>
      </c>
      <c r="BB151" s="160" t="str">
        <f>IF(BA151&lt;0.6,"Demasiado Riesgo",IF(BA151&lt;=5,"Riesgo Medio",IF(BA151&lt;=11,"Riesgo Bajo","Cliente Blindado")))</f>
        <v>Demasiado Riesgo</v>
      </c>
      <c r="BC151" s="160"/>
      <c r="BD151" s="160"/>
      <c r="BE151" s="160">
        <v>0</v>
      </c>
      <c r="BF151" s="160"/>
      <c r="BG151" s="160"/>
      <c r="BH151" s="160"/>
      <c r="BI151" s="160"/>
      <c r="BJ151" s="160"/>
      <c r="BK151" s="160"/>
      <c r="BL151" s="160"/>
      <c r="BM151" s="160"/>
      <c r="BN151" s="160"/>
      <c r="BO151" s="160"/>
      <c r="BP151" s="160"/>
      <c r="BQ151" s="160"/>
      <c r="BR151" s="160"/>
      <c r="BS151" s="160"/>
      <c r="BT151" s="160"/>
      <c r="BU151" s="160"/>
      <c r="BV151" s="160"/>
      <c r="BW151" s="160"/>
      <c r="BX151" s="160"/>
      <c r="BY151" s="160"/>
      <c r="BZ151" s="160"/>
      <c r="CA151" s="160">
        <f>COUNTIF(AJ151:AX151,"*OK*")</f>
        <v>0</v>
      </c>
      <c r="CB151" s="160"/>
      <c r="CC151" s="160">
        <f>COUNTIF(AJ151:AX151,"*OP*")</f>
        <v>0</v>
      </c>
    </row>
    <row r="152" spans="1:81" ht="15" hidden="1" customHeight="1">
      <c r="A152" s="240">
        <v>24389</v>
      </c>
      <c r="B152" s="171" t="s">
        <v>591</v>
      </c>
      <c r="C152" s="468">
        <f>T152</f>
        <v>209.44</v>
      </c>
      <c r="D152" s="171">
        <f>COUNTIF(AJ152:AX152,"*OK*")</f>
        <v>0</v>
      </c>
      <c r="E152" s="171"/>
      <c r="F152" s="183" t="s">
        <v>592</v>
      </c>
      <c r="G152" s="183"/>
      <c r="H152" s="179"/>
      <c r="I152" s="179"/>
      <c r="J152" s="183"/>
      <c r="K152" s="198" t="s">
        <v>68</v>
      </c>
      <c r="L152" s="183" t="s">
        <v>456</v>
      </c>
      <c r="M152" s="183"/>
      <c r="N152" s="183"/>
      <c r="O152" s="172">
        <v>210.61</v>
      </c>
      <c r="P152" s="172">
        <v>210.41</v>
      </c>
      <c r="Q152" s="172">
        <v>190.97</v>
      </c>
      <c r="R152" s="193">
        <v>193.18</v>
      </c>
      <c r="S152" s="510">
        <v>191.78149999999999</v>
      </c>
      <c r="T152" s="553">
        <v>209.44</v>
      </c>
      <c r="U152" s="175"/>
      <c r="V152" s="176">
        <v>100</v>
      </c>
      <c r="W152" s="194"/>
      <c r="X152" s="211" t="s">
        <v>70</v>
      </c>
      <c r="Y152" s="177" t="s">
        <v>71</v>
      </c>
      <c r="Z152" s="178" t="s">
        <v>593</v>
      </c>
      <c r="AA152" s="176" t="s">
        <v>118</v>
      </c>
      <c r="AB152" s="195" t="s">
        <v>119</v>
      </c>
      <c r="AC152" s="179" t="s">
        <v>92</v>
      </c>
      <c r="AD152" s="171"/>
      <c r="AE152" s="171"/>
      <c r="AF152" s="171"/>
      <c r="AG152" s="171"/>
      <c r="AH152" s="171"/>
      <c r="AI152" s="180" t="s">
        <v>127</v>
      </c>
      <c r="AJ152" s="170"/>
      <c r="AK152" s="170"/>
      <c r="AL152" s="170"/>
      <c r="AM152" s="170"/>
      <c r="AN152" s="170"/>
      <c r="AO152" s="170"/>
      <c r="AP152" s="170"/>
      <c r="AQ152" s="170"/>
      <c r="AR152" s="170"/>
      <c r="AS152" s="170"/>
      <c r="AT152" s="170"/>
      <c r="AU152" s="170"/>
      <c r="AV152" s="170"/>
      <c r="AW152" s="170"/>
      <c r="AX152" s="170"/>
      <c r="AY152" s="170"/>
      <c r="AZ152" s="180" t="s">
        <v>178</v>
      </c>
      <c r="BA152" s="171">
        <f>(COUNTIF(AJ152:AL152,"*OK*")*3) + (COUNTIF(AM152:AO152,"*OK*")*2) + COUNTIF(AP152:AR152,"*OK*")+COUNTIF(AZ152:AZ152,"SI")*0.5</f>
        <v>0</v>
      </c>
      <c r="BB152" s="171" t="str">
        <f>IF(BA152&lt;0.6,"Demasiado Riesgo",IF(BA152&lt;=5,"Riesgo Medio",IF(BA152&lt;=11,"Riesgo Bajo","Cliente Blindado")))</f>
        <v>Demasiado Riesgo</v>
      </c>
      <c r="BC152" s="171"/>
      <c r="BD152" s="171"/>
      <c r="BE152" s="171">
        <v>0</v>
      </c>
      <c r="BF152" s="171"/>
      <c r="BG152" s="171"/>
      <c r="BH152" s="171"/>
      <c r="BI152" s="171"/>
      <c r="BJ152" s="171"/>
      <c r="BK152" s="171"/>
      <c r="BL152" s="171"/>
      <c r="BM152" s="171"/>
      <c r="BN152" s="171"/>
      <c r="BO152" s="171"/>
      <c r="BP152" s="171"/>
      <c r="BQ152" s="171"/>
      <c r="BR152" s="171"/>
      <c r="BS152" s="171"/>
      <c r="BT152" s="171"/>
      <c r="BU152" s="171"/>
      <c r="BV152" s="171"/>
      <c r="BW152" s="171"/>
      <c r="BX152" s="171"/>
      <c r="BY152" s="171"/>
      <c r="BZ152" s="171"/>
      <c r="CA152" s="171">
        <f>COUNTIF(AJ152:AX152,"*OK*")</f>
        <v>0</v>
      </c>
      <c r="CB152" s="171"/>
      <c r="CC152" s="171">
        <f>COUNTIF(AJ152:AX152,"*OP*")</f>
        <v>0</v>
      </c>
    </row>
    <row r="153" spans="1:81" ht="15" hidden="1" customHeight="1">
      <c r="A153" s="241">
        <v>23124</v>
      </c>
      <c r="B153" s="160" t="s">
        <v>594</v>
      </c>
      <c r="C153" s="468">
        <f>T153</f>
        <v>210.69</v>
      </c>
      <c r="D153" s="160">
        <f>COUNTIF(AJ153:AX153,"*OK*")</f>
        <v>0</v>
      </c>
      <c r="E153" s="160"/>
      <c r="F153" s="182" t="s">
        <v>595</v>
      </c>
      <c r="G153" s="182"/>
      <c r="H153" s="168"/>
      <c r="I153" s="168"/>
      <c r="J153" s="182"/>
      <c r="K153" s="196" t="s">
        <v>68</v>
      </c>
      <c r="L153" s="182" t="s">
        <v>456</v>
      </c>
      <c r="M153" s="182"/>
      <c r="N153" s="182"/>
      <c r="O153" s="161">
        <v>221.56</v>
      </c>
      <c r="P153" s="161">
        <v>315.61</v>
      </c>
      <c r="Q153" s="161">
        <v>277.79000000000002</v>
      </c>
      <c r="R153" s="186">
        <v>251.16</v>
      </c>
      <c r="S153" s="510">
        <v>215.21289999999999</v>
      </c>
      <c r="T153" s="550">
        <v>210.69</v>
      </c>
      <c r="U153" s="164"/>
      <c r="V153" s="165">
        <v>200</v>
      </c>
      <c r="W153" s="187"/>
      <c r="X153" s="203" t="s">
        <v>253</v>
      </c>
      <c r="Y153" s="166" t="s">
        <v>80</v>
      </c>
      <c r="Z153" s="167" t="s">
        <v>596</v>
      </c>
      <c r="AA153" s="165" t="s">
        <v>59</v>
      </c>
      <c r="AB153" s="188" t="s">
        <v>104</v>
      </c>
      <c r="AC153" s="168" t="s">
        <v>92</v>
      </c>
      <c r="AD153" s="160"/>
      <c r="AE153" s="160"/>
      <c r="AF153" s="160"/>
      <c r="AG153" s="160"/>
      <c r="AH153" s="160"/>
      <c r="AI153" s="163" t="s">
        <v>127</v>
      </c>
      <c r="AJ153" s="170"/>
      <c r="AK153" s="170"/>
      <c r="AL153" s="170"/>
      <c r="AM153" s="170"/>
      <c r="AN153" s="170"/>
      <c r="AO153" s="170"/>
      <c r="AP153" s="170"/>
      <c r="AQ153" s="170"/>
      <c r="AR153" s="170"/>
      <c r="AS153" s="170"/>
      <c r="AT153" s="170"/>
      <c r="AU153" s="170"/>
      <c r="AV153" s="170"/>
      <c r="AW153" s="170"/>
      <c r="AX153" s="170"/>
      <c r="AY153" s="170"/>
      <c r="AZ153" s="169" t="s">
        <v>178</v>
      </c>
      <c r="BA153" s="160">
        <f>(COUNTIF(AJ153:AL153,"*OK*")*3) + (COUNTIF(AM153:AO153,"*OK*")*2) + COUNTIF(AP153:AR153,"*OK*")+COUNTIF(AZ153:AZ153,"SI")*0.5</f>
        <v>0</v>
      </c>
      <c r="BB153" s="160" t="str">
        <f>IF(BA153&lt;0.6,"Demasiado Riesgo",IF(BA153&lt;=5,"Riesgo Medio",IF(BA153&lt;=11,"Riesgo Bajo","Cliente Blindado")))</f>
        <v>Demasiado Riesgo</v>
      </c>
      <c r="BC153" s="160"/>
      <c r="BD153" s="160"/>
      <c r="BE153" s="160">
        <v>0</v>
      </c>
      <c r="BF153" s="160"/>
      <c r="BG153" s="160"/>
      <c r="BH153" s="160"/>
      <c r="BI153" s="160"/>
      <c r="BJ153" s="160"/>
      <c r="BK153" s="160"/>
      <c r="BL153" s="160"/>
      <c r="BM153" s="160"/>
      <c r="BN153" s="160"/>
      <c r="BO153" s="160"/>
      <c r="BP153" s="160"/>
      <c r="BQ153" s="160"/>
      <c r="BR153" s="160"/>
      <c r="BS153" s="160"/>
      <c r="BT153" s="160"/>
      <c r="BU153" s="160"/>
      <c r="BV153" s="160"/>
      <c r="BW153" s="160"/>
      <c r="BX153" s="160"/>
      <c r="BY153" s="160"/>
      <c r="BZ153" s="160"/>
      <c r="CA153" s="160">
        <f>COUNTIF(AJ153:AX153,"*OK*")</f>
        <v>0</v>
      </c>
      <c r="CB153" s="160"/>
      <c r="CC153" s="160">
        <f>COUNTIF(AJ153:AX153,"*OP*")</f>
        <v>0</v>
      </c>
    </row>
    <row r="154" spans="1:81" ht="15" hidden="1" customHeight="1">
      <c r="A154" s="241">
        <v>27824</v>
      </c>
      <c r="B154" s="160" t="s">
        <v>597</v>
      </c>
      <c r="C154" s="468">
        <f>T154</f>
        <v>213.28</v>
      </c>
      <c r="D154" s="160">
        <f>COUNTIF(AJ154:AX154,"*OK*")</f>
        <v>0</v>
      </c>
      <c r="E154" s="160"/>
      <c r="F154" s="182" t="s">
        <v>598</v>
      </c>
      <c r="G154" s="182" t="s">
        <v>599</v>
      </c>
      <c r="H154" s="168"/>
      <c r="I154" s="168"/>
      <c r="J154" s="182"/>
      <c r="K154" s="196" t="s">
        <v>68</v>
      </c>
      <c r="L154" s="182" t="s">
        <v>456</v>
      </c>
      <c r="M154" s="182"/>
      <c r="N154" s="182"/>
      <c r="O154" s="161">
        <v>235.46</v>
      </c>
      <c r="P154" s="161">
        <v>227.13</v>
      </c>
      <c r="Q154" s="161">
        <v>185.53</v>
      </c>
      <c r="R154" s="186">
        <v>268.66000000000003</v>
      </c>
      <c r="S154" s="510">
        <v>269.5598</v>
      </c>
      <c r="T154" s="550">
        <v>213.28</v>
      </c>
      <c r="U154" s="164"/>
      <c r="V154" s="165">
        <v>200</v>
      </c>
      <c r="W154" s="187"/>
      <c r="X154" s="208" t="s">
        <v>70</v>
      </c>
      <c r="Y154" s="166" t="s">
        <v>162</v>
      </c>
      <c r="Z154" s="167" t="s">
        <v>600</v>
      </c>
      <c r="AA154" s="165" t="s">
        <v>59</v>
      </c>
      <c r="AB154" s="188" t="s">
        <v>65</v>
      </c>
      <c r="AC154" s="168" t="s">
        <v>521</v>
      </c>
      <c r="AD154" s="160"/>
      <c r="AE154" s="160"/>
      <c r="AF154" s="160"/>
      <c r="AG154" s="160"/>
      <c r="AH154" s="160"/>
      <c r="AI154" s="163" t="s">
        <v>127</v>
      </c>
      <c r="AJ154" s="170"/>
      <c r="AK154" s="170"/>
      <c r="AL154" s="170" t="s">
        <v>173</v>
      </c>
      <c r="AM154" s="170"/>
      <c r="AN154" s="170"/>
      <c r="AO154" s="170"/>
      <c r="AP154" s="170"/>
      <c r="AQ154" s="170"/>
      <c r="AR154" s="170"/>
      <c r="AS154" s="170"/>
      <c r="AT154" s="170"/>
      <c r="AU154" s="170"/>
      <c r="AV154" s="170"/>
      <c r="AW154" s="170"/>
      <c r="AX154" s="170"/>
      <c r="AY154" s="170"/>
      <c r="AZ154" s="169" t="s">
        <v>178</v>
      </c>
      <c r="BA154" s="160">
        <f>(COUNTIF(AJ154:AL154,"*OK*")*3) + (COUNTIF(AM154:AO154,"*OK*")*2) + COUNTIF(AP154:AR154,"*OK*")+COUNTIF(AZ154:AZ154,"SI")*0.5</f>
        <v>0</v>
      </c>
      <c r="BB154" s="160" t="str">
        <f>IF(BA154&lt;0.6,"Demasiado Riesgo",IF(BA154&lt;=5,"Riesgo Medio",IF(BA154&lt;=11,"Riesgo Bajo","Cliente Blindado")))</f>
        <v>Demasiado Riesgo</v>
      </c>
      <c r="BC154" s="160"/>
      <c r="BD154" s="160"/>
      <c r="BE154" s="160">
        <v>0</v>
      </c>
      <c r="BF154" s="160"/>
      <c r="BG154" s="160"/>
      <c r="BH154" s="160"/>
      <c r="BI154" s="160"/>
      <c r="BJ154" s="160"/>
      <c r="BK154" s="160"/>
      <c r="BL154" s="160"/>
      <c r="BM154" s="160"/>
      <c r="BN154" s="160"/>
      <c r="BO154" s="160"/>
      <c r="BP154" s="160"/>
      <c r="BQ154" s="160"/>
      <c r="BR154" s="160"/>
      <c r="BS154" s="160"/>
      <c r="BT154" s="160"/>
      <c r="BU154" s="160"/>
      <c r="BV154" s="160"/>
      <c r="BW154" s="160"/>
      <c r="BX154" s="160"/>
      <c r="BY154" s="160"/>
      <c r="BZ154" s="160"/>
      <c r="CA154" s="160">
        <f>COUNTIF(AJ154:AX154,"*OK*")</f>
        <v>0</v>
      </c>
      <c r="CB154" s="160"/>
      <c r="CC154" s="160">
        <f>COUNTIF(AJ154:AX154,"*OP*")</f>
        <v>1</v>
      </c>
    </row>
    <row r="155" spans="1:81" ht="15" hidden="1" customHeight="1">
      <c r="A155" s="500">
        <v>7305</v>
      </c>
      <c r="B155" s="173" t="s">
        <v>601</v>
      </c>
      <c r="C155" s="468">
        <f>T155</f>
        <v>217.12</v>
      </c>
      <c r="D155" s="171">
        <f>COUNTIF(AJ155:AX155,"*OK*")</f>
        <v>0</v>
      </c>
      <c r="E155" s="171"/>
      <c r="F155" s="183" t="s">
        <v>602</v>
      </c>
      <c r="G155" s="183"/>
      <c r="H155" s="179"/>
      <c r="I155" s="179"/>
      <c r="J155" s="183"/>
      <c r="K155" s="192" t="s">
        <v>68</v>
      </c>
      <c r="L155" s="183" t="s">
        <v>456</v>
      </c>
      <c r="M155" s="183"/>
      <c r="N155" s="183"/>
      <c r="O155" s="172"/>
      <c r="P155" s="172"/>
      <c r="Q155" s="172">
        <v>213.17</v>
      </c>
      <c r="R155" s="193">
        <v>215.48</v>
      </c>
      <c r="S155" s="510">
        <v>217.2192</v>
      </c>
      <c r="T155" s="551">
        <v>217.12</v>
      </c>
      <c r="U155" s="175"/>
      <c r="V155" s="176">
        <v>200</v>
      </c>
      <c r="W155" s="194"/>
      <c r="X155" s="209" t="s">
        <v>70</v>
      </c>
      <c r="Y155" s="177" t="s">
        <v>152</v>
      </c>
      <c r="Z155" s="178" t="s">
        <v>603</v>
      </c>
      <c r="AA155" s="176" t="s">
        <v>59</v>
      </c>
      <c r="AB155" s="195" t="s">
        <v>177</v>
      </c>
      <c r="AC155" s="179" t="s">
        <v>92</v>
      </c>
      <c r="AD155" s="171"/>
      <c r="AE155" s="171"/>
      <c r="AF155" s="171"/>
      <c r="AG155" s="171"/>
      <c r="AH155" s="171"/>
      <c r="AI155" s="174" t="s">
        <v>127</v>
      </c>
      <c r="AJ155" s="170"/>
      <c r="AK155" s="170"/>
      <c r="AL155" s="170" t="s">
        <v>604</v>
      </c>
      <c r="AM155" s="170"/>
      <c r="AN155" s="170"/>
      <c r="AO155" s="170"/>
      <c r="AP155" s="170"/>
      <c r="AQ155" s="170"/>
      <c r="AR155" s="170"/>
      <c r="AS155" s="170"/>
      <c r="AT155" s="170"/>
      <c r="AU155" s="170"/>
      <c r="AV155" s="170"/>
      <c r="AW155" s="170"/>
      <c r="AX155" s="170"/>
      <c r="AY155" s="170"/>
      <c r="AZ155" s="180" t="s">
        <v>178</v>
      </c>
      <c r="BA155" s="171">
        <f>(COUNTIF(AJ155:AL155,"*OK*")*3) + (COUNTIF(AM155:AO155,"*OK*")*2) + COUNTIF(AP155:AR155,"*OK*")+COUNTIF(AZ155:AZ155,"SI")*0.5</f>
        <v>0</v>
      </c>
      <c r="BB155" s="171" t="str">
        <f>IF(BA155&lt;0.6,"Demasiado Riesgo",IF(BA155&lt;=5,"Riesgo Medio",IF(BA155&lt;=11,"Riesgo Bajo","Cliente Blindado")))</f>
        <v>Demasiado Riesgo</v>
      </c>
      <c r="BC155" s="171"/>
      <c r="BD155" s="171"/>
      <c r="BE155" s="171">
        <v>0</v>
      </c>
      <c r="BF155" s="171"/>
      <c r="BG155" s="171"/>
      <c r="BH155" s="171"/>
      <c r="BI155" s="171"/>
      <c r="BJ155" s="171"/>
      <c r="BK155" s="171"/>
      <c r="BL155" s="171"/>
      <c r="BM155" s="171"/>
      <c r="BN155" s="171"/>
      <c r="BO155" s="171"/>
      <c r="BP155" s="171"/>
      <c r="BQ155" s="171"/>
      <c r="BR155" s="171"/>
      <c r="BS155" s="171"/>
      <c r="BT155" s="171"/>
      <c r="BU155" s="171"/>
      <c r="BV155" s="171"/>
      <c r="BW155" s="171"/>
      <c r="BX155" s="171"/>
      <c r="BY155" s="171"/>
      <c r="BZ155" s="171"/>
      <c r="CA155" s="171">
        <f>COUNTIF(AJ155:AX155,"*OK*")</f>
        <v>0</v>
      </c>
      <c r="CB155" s="171"/>
      <c r="CC155" s="171">
        <f>COUNTIF(AJ155:AX155,"*OP*")</f>
        <v>0</v>
      </c>
    </row>
    <row r="156" spans="1:81" ht="15" hidden="1" customHeight="1">
      <c r="A156" s="241">
        <v>34424</v>
      </c>
      <c r="B156" s="160"/>
      <c r="C156" s="468">
        <f>T156</f>
        <v>217.12</v>
      </c>
      <c r="D156" s="160">
        <f>COUNTIF(AJ156:AX156,"*OK*")</f>
        <v>0</v>
      </c>
      <c r="E156" s="160"/>
      <c r="F156" s="182" t="s">
        <v>605</v>
      </c>
      <c r="G156" s="182"/>
      <c r="H156" s="168"/>
      <c r="I156" s="168"/>
      <c r="J156" s="182"/>
      <c r="K156" s="185" t="s">
        <v>68</v>
      </c>
      <c r="L156" s="182" t="s">
        <v>456</v>
      </c>
      <c r="M156" s="182"/>
      <c r="N156" s="182"/>
      <c r="O156" s="161">
        <v>182.71</v>
      </c>
      <c r="P156" s="161">
        <v>173.85</v>
      </c>
      <c r="Q156" s="161">
        <v>168.44</v>
      </c>
      <c r="R156" s="186">
        <v>176.71</v>
      </c>
      <c r="S156" s="510">
        <v>202.19880000000001</v>
      </c>
      <c r="T156" s="554">
        <v>217.12</v>
      </c>
      <c r="U156" s="164"/>
      <c r="V156" s="165">
        <v>100</v>
      </c>
      <c r="W156" s="187"/>
      <c r="X156" s="208" t="s">
        <v>70</v>
      </c>
      <c r="Y156" s="166" t="s">
        <v>71</v>
      </c>
      <c r="Z156" s="167" t="s">
        <v>606</v>
      </c>
      <c r="AA156" s="165" t="s">
        <v>59</v>
      </c>
      <c r="AB156" s="188" t="s">
        <v>194</v>
      </c>
      <c r="AC156" s="168" t="s">
        <v>84</v>
      </c>
      <c r="AD156" s="160"/>
      <c r="AE156" s="160"/>
      <c r="AF156" s="160"/>
      <c r="AG156" s="160"/>
      <c r="AH156" s="160"/>
      <c r="AI156" s="163" t="s">
        <v>59</v>
      </c>
      <c r="AJ156" s="170"/>
      <c r="AK156" s="170"/>
      <c r="AL156" s="170"/>
      <c r="AM156" s="170"/>
      <c r="AN156" s="170"/>
      <c r="AO156" s="170"/>
      <c r="AP156" s="170"/>
      <c r="AQ156" s="170"/>
      <c r="AR156" s="170"/>
      <c r="AS156" s="170"/>
      <c r="AT156" s="170"/>
      <c r="AU156" s="170"/>
      <c r="AV156" s="170"/>
      <c r="AW156" s="170"/>
      <c r="AX156" s="170"/>
      <c r="AY156" s="170"/>
      <c r="AZ156" s="169" t="s">
        <v>59</v>
      </c>
      <c r="BA156" s="160">
        <f>(COUNTIF(AJ156:AL156,"*OK*")*3) + (COUNTIF(AM156:AO156,"*OK*")*2) + COUNTIF(AP156:AR156,"*OK*")+COUNTIF(AZ156:AZ156,"SI")*0.5</f>
        <v>0</v>
      </c>
      <c r="BB156" s="160" t="str">
        <f>IF(BA156&lt;0.6,"Demasiado Riesgo",IF(BA156&lt;=5,"Riesgo Medio",IF(BA156&lt;=11,"Riesgo Bajo","Cliente Blindado")))</f>
        <v>Demasiado Riesgo</v>
      </c>
      <c r="BC156" s="160"/>
      <c r="BD156" s="160"/>
      <c r="BE156" s="160">
        <v>0</v>
      </c>
      <c r="BF156" s="160"/>
      <c r="BG156" s="160"/>
      <c r="BH156" s="160"/>
      <c r="BI156" s="160"/>
      <c r="BJ156" s="160"/>
      <c r="BK156" s="160"/>
      <c r="BL156" s="160"/>
      <c r="BM156" s="160"/>
      <c r="BN156" s="160"/>
      <c r="BO156" s="160"/>
      <c r="BP156" s="160"/>
      <c r="BQ156" s="160"/>
      <c r="BR156" s="160"/>
      <c r="BS156" s="160"/>
      <c r="BT156" s="160"/>
      <c r="BU156" s="160"/>
      <c r="BV156" s="160"/>
      <c r="BW156" s="160"/>
      <c r="BX156" s="160"/>
      <c r="BY156" s="160"/>
      <c r="BZ156" s="160"/>
      <c r="CA156" s="160">
        <f>COUNTIF(AJ156:AX156,"*OK*")</f>
        <v>0</v>
      </c>
      <c r="CB156" s="160"/>
      <c r="CC156" s="160">
        <f>COUNTIF(AJ156:AX156,"*OP*")</f>
        <v>0</v>
      </c>
    </row>
    <row r="157" spans="1:81" ht="15" hidden="1" customHeight="1">
      <c r="A157" s="240">
        <v>17466</v>
      </c>
      <c r="B157" s="171" t="s">
        <v>607</v>
      </c>
      <c r="C157" s="468">
        <f>T157</f>
        <v>218.54</v>
      </c>
      <c r="D157" s="171">
        <f>COUNTIF(AJ157:AX157,"*OK*")</f>
        <v>0</v>
      </c>
      <c r="E157" s="171"/>
      <c r="F157" s="183" t="s">
        <v>608</v>
      </c>
      <c r="G157" s="569"/>
      <c r="H157" s="179"/>
      <c r="I157" s="572"/>
      <c r="J157" s="569"/>
      <c r="K157" s="198" t="s">
        <v>68</v>
      </c>
      <c r="L157" s="183" t="s">
        <v>456</v>
      </c>
      <c r="M157" s="183"/>
      <c r="N157" s="183"/>
      <c r="O157" s="172">
        <v>232.41</v>
      </c>
      <c r="P157" s="172">
        <v>214.61</v>
      </c>
      <c r="Q157" s="172">
        <v>207.87</v>
      </c>
      <c r="R157" s="193">
        <v>214.56</v>
      </c>
      <c r="S157" s="510">
        <v>217.45150000000001</v>
      </c>
      <c r="T157" s="553">
        <v>218.54</v>
      </c>
      <c r="U157" s="175"/>
      <c r="V157" s="176">
        <v>100</v>
      </c>
      <c r="W157" s="194"/>
      <c r="X157" s="211" t="s">
        <v>70</v>
      </c>
      <c r="Y157" s="177" t="s">
        <v>291</v>
      </c>
      <c r="Z157" s="178" t="s">
        <v>609</v>
      </c>
      <c r="AA157" s="176" t="s">
        <v>59</v>
      </c>
      <c r="AB157" s="195" t="s">
        <v>65</v>
      </c>
      <c r="AC157" s="179" t="s">
        <v>97</v>
      </c>
      <c r="AD157" s="171"/>
      <c r="AE157" s="171"/>
      <c r="AF157" s="171"/>
      <c r="AG157" s="171"/>
      <c r="AH157" s="171"/>
      <c r="AI157" s="178" t="s">
        <v>59</v>
      </c>
      <c r="AJ157" s="170"/>
      <c r="AK157" s="170"/>
      <c r="AL157" s="170"/>
      <c r="AM157" s="170" t="s">
        <v>610</v>
      </c>
      <c r="AN157" s="170"/>
      <c r="AO157" s="170"/>
      <c r="AP157" s="170"/>
      <c r="AQ157" s="170"/>
      <c r="AR157" s="170"/>
      <c r="AS157" s="170"/>
      <c r="AT157" s="170"/>
      <c r="AU157" s="170"/>
      <c r="AV157" s="170"/>
      <c r="AW157" s="170"/>
      <c r="AX157" s="170"/>
      <c r="AY157" s="170"/>
      <c r="AZ157" s="178" t="s">
        <v>178</v>
      </c>
      <c r="BA157" s="171">
        <f>(COUNTIF(AJ157:AL157,"*OK*")*3) + (COUNTIF(AM157:AO157,"*OK*")*2) + COUNTIF(AP157:AR157,"*OK*")+COUNTIF(AZ157:AZ157,"SI")*0.5</f>
        <v>0</v>
      </c>
      <c r="BB157" s="171" t="str">
        <f>IF(BA157&lt;0.6,"Demasiado Riesgo",IF(BA157&lt;=5,"Riesgo Medio",IF(BA157&lt;=11,"Riesgo Bajo","Cliente Blindado")))</f>
        <v>Demasiado Riesgo</v>
      </c>
      <c r="BC157" s="171"/>
      <c r="BD157" s="171"/>
      <c r="BE157" s="171">
        <v>0</v>
      </c>
      <c r="BF157" s="171"/>
      <c r="BG157" s="171"/>
      <c r="BH157" s="171"/>
      <c r="BI157" s="171"/>
      <c r="BJ157" s="171"/>
      <c r="BK157" s="171"/>
      <c r="BL157" s="171"/>
      <c r="BM157" s="171"/>
      <c r="BN157" s="171"/>
      <c r="BO157" s="171"/>
      <c r="BP157" s="171"/>
      <c r="BQ157" s="171"/>
      <c r="BR157" s="171"/>
      <c r="BS157" s="171"/>
      <c r="BT157" s="171"/>
      <c r="BU157" s="171"/>
      <c r="BV157" s="171"/>
      <c r="BW157" s="171"/>
      <c r="BX157" s="171"/>
      <c r="BY157" s="171"/>
      <c r="BZ157" s="171"/>
      <c r="CA157" s="171">
        <f>COUNTIF(AJ157:AX157,"*OK*")</f>
        <v>0</v>
      </c>
      <c r="CB157" s="171"/>
      <c r="CC157" s="171">
        <f>COUNTIF(AJ157:AX157,"*OP*")</f>
        <v>1</v>
      </c>
    </row>
    <row r="158" spans="1:81" ht="15" hidden="1" customHeight="1">
      <c r="A158" s="241">
        <v>35561</v>
      </c>
      <c r="B158" s="160"/>
      <c r="C158" s="468">
        <f>T158</f>
        <v>219.98</v>
      </c>
      <c r="D158" s="160">
        <f>COUNTIF(AJ158:AX158,"*OK*")</f>
        <v>0</v>
      </c>
      <c r="E158" s="160"/>
      <c r="F158" s="184" t="s">
        <v>611</v>
      </c>
      <c r="G158" s="182"/>
      <c r="H158" s="168"/>
      <c r="I158" s="168"/>
      <c r="J158" s="182"/>
      <c r="K158" s="185" t="s">
        <v>68</v>
      </c>
      <c r="L158" s="182" t="s">
        <v>456</v>
      </c>
      <c r="M158" s="182"/>
      <c r="N158" s="182"/>
      <c r="O158" s="161">
        <v>179.81</v>
      </c>
      <c r="P158" s="161">
        <v>81.13</v>
      </c>
      <c r="Q158" s="161">
        <v>149.11000000000001</v>
      </c>
      <c r="R158" s="186">
        <v>171.01</v>
      </c>
      <c r="S158" s="510">
        <v>193.53309999999999</v>
      </c>
      <c r="T158" s="554">
        <v>219.98</v>
      </c>
      <c r="U158" s="164">
        <v>43</v>
      </c>
      <c r="V158" s="165">
        <v>100</v>
      </c>
      <c r="W158" s="187"/>
      <c r="X158" s="208" t="s">
        <v>70</v>
      </c>
      <c r="Y158" s="166" t="s">
        <v>162</v>
      </c>
      <c r="Z158" s="167" t="s">
        <v>612</v>
      </c>
      <c r="AA158" s="165" t="s">
        <v>59</v>
      </c>
      <c r="AB158" s="188" t="s">
        <v>65</v>
      </c>
      <c r="AC158" s="168"/>
      <c r="AD158" s="160"/>
      <c r="AE158" s="160"/>
      <c r="AF158" s="160"/>
      <c r="AG158" s="160"/>
      <c r="AH158" s="160"/>
      <c r="AI158" s="169" t="s">
        <v>59</v>
      </c>
      <c r="AJ158" s="170"/>
      <c r="AK158" s="170"/>
      <c r="AL158" s="170" t="s">
        <v>613</v>
      </c>
      <c r="AM158" s="170"/>
      <c r="AN158" s="170"/>
      <c r="AO158" s="170"/>
      <c r="AP158" s="170"/>
      <c r="AQ158" s="170"/>
      <c r="AR158" s="170"/>
      <c r="AS158" s="170"/>
      <c r="AT158" s="170"/>
      <c r="AU158" s="170"/>
      <c r="AV158" s="170"/>
      <c r="AW158" s="170"/>
      <c r="AX158" s="170"/>
      <c r="AY158" s="170"/>
      <c r="AZ158" s="167" t="s">
        <v>59</v>
      </c>
      <c r="BA158" s="160">
        <f>(COUNTIF(AJ158:AL158,"*OK*")*3) + (COUNTIF(AM158:AO158,"*OK*")*2) + COUNTIF(AP158:AR158,"*OK*")+COUNTIF(AZ158:AZ158,"SI")*0.5</f>
        <v>0</v>
      </c>
      <c r="BB158" s="160" t="str">
        <f>IF(BA158&lt;0.6,"Demasiado Riesgo",IF(BA158&lt;=5,"Riesgo Medio",IF(BA158&lt;=11,"Riesgo Bajo","Cliente Blindado")))</f>
        <v>Demasiado Riesgo</v>
      </c>
      <c r="BC158" s="160"/>
      <c r="BD158" s="160"/>
      <c r="BE158" s="160">
        <v>0</v>
      </c>
      <c r="BF158" s="160"/>
      <c r="BG158" s="160"/>
      <c r="BH158" s="160"/>
      <c r="BI158" s="160"/>
      <c r="BJ158" s="160"/>
      <c r="BK158" s="160"/>
      <c r="BL158" s="160"/>
      <c r="BM158" s="160"/>
      <c r="BN158" s="160"/>
      <c r="BO158" s="160"/>
      <c r="BP158" s="160"/>
      <c r="BQ158" s="160"/>
      <c r="BR158" s="160"/>
      <c r="BS158" s="160"/>
      <c r="BT158" s="160"/>
      <c r="BU158" s="160"/>
      <c r="BV158" s="160"/>
      <c r="BW158" s="160"/>
      <c r="BX158" s="160"/>
      <c r="BY158" s="160"/>
      <c r="BZ158" s="160"/>
      <c r="CA158" s="160">
        <f>COUNTIF(AJ158:AX158,"*OK*")</f>
        <v>0</v>
      </c>
      <c r="CB158" s="160"/>
      <c r="CC158" s="160">
        <f>COUNTIF(AJ158:AX158,"*OP*")</f>
        <v>1</v>
      </c>
    </row>
    <row r="159" spans="1:81" s="204" customFormat="1" ht="15" hidden="1" customHeight="1">
      <c r="A159" s="241">
        <v>25961</v>
      </c>
      <c r="B159" s="160" t="s">
        <v>614</v>
      </c>
      <c r="C159" s="468">
        <f>T159</f>
        <v>227.25</v>
      </c>
      <c r="D159" s="160">
        <f>COUNTIF(AJ159:AX159,"*OK*")</f>
        <v>1</v>
      </c>
      <c r="E159" s="160"/>
      <c r="F159" s="182" t="s">
        <v>615</v>
      </c>
      <c r="G159" s="182"/>
      <c r="H159" s="168"/>
      <c r="I159" s="168"/>
      <c r="J159" s="182"/>
      <c r="K159" s="196" t="s">
        <v>68</v>
      </c>
      <c r="L159" s="182" t="s">
        <v>456</v>
      </c>
      <c r="M159" s="182"/>
      <c r="N159" s="182"/>
      <c r="O159" s="161">
        <v>218.1</v>
      </c>
      <c r="P159" s="161">
        <v>245.51</v>
      </c>
      <c r="Q159" s="161">
        <v>231.58</v>
      </c>
      <c r="R159" s="186">
        <v>226.72</v>
      </c>
      <c r="S159" s="510">
        <v>229.7706</v>
      </c>
      <c r="T159" s="550">
        <v>227.25</v>
      </c>
      <c r="U159" s="164"/>
      <c r="V159" s="165">
        <v>500</v>
      </c>
      <c r="W159" s="187"/>
      <c r="X159" s="203" t="s">
        <v>253</v>
      </c>
      <c r="Y159" s="166" t="s">
        <v>162</v>
      </c>
      <c r="Z159" s="167" t="s">
        <v>616</v>
      </c>
      <c r="AA159" s="165" t="s">
        <v>162</v>
      </c>
      <c r="AB159" s="188" t="s">
        <v>240</v>
      </c>
      <c r="AC159" s="168" t="s">
        <v>92</v>
      </c>
      <c r="AD159" s="160"/>
      <c r="AE159" s="160"/>
      <c r="AF159" s="160"/>
      <c r="AG159" s="160"/>
      <c r="AH159" s="160"/>
      <c r="AI159" s="163" t="s">
        <v>127</v>
      </c>
      <c r="AJ159" s="170"/>
      <c r="AK159" s="170" t="s">
        <v>173</v>
      </c>
      <c r="AL159" s="189" t="s">
        <v>617</v>
      </c>
      <c r="AM159" s="170"/>
      <c r="AN159" s="170"/>
      <c r="AO159" s="170"/>
      <c r="AP159" s="170"/>
      <c r="AQ159" s="170"/>
      <c r="AR159" s="170"/>
      <c r="AS159" s="170"/>
      <c r="AT159" s="170"/>
      <c r="AU159" s="170"/>
      <c r="AV159" s="170"/>
      <c r="AW159" s="170"/>
      <c r="AX159" s="170"/>
      <c r="AY159" s="170"/>
      <c r="AZ159" s="167" t="s">
        <v>178</v>
      </c>
      <c r="BA159" s="160">
        <f>(COUNTIF(AJ159:AL159,"*OK*")*3) + (COUNTIF(AM159:AO159,"*OK*")*2) + COUNTIF(AP159:AR159,"*OK*")+COUNTIF(AZ159:AZ159,"SI")*0.5</f>
        <v>3</v>
      </c>
      <c r="BB159" s="160" t="str">
        <f>IF(BA159&lt;0.6,"Demasiado Riesgo",IF(BA159&lt;=5,"Riesgo Medio",IF(BA159&lt;=11,"Riesgo Bajo","Cliente Blindado")))</f>
        <v>Riesgo Medio</v>
      </c>
      <c r="BC159" s="160"/>
      <c r="BD159" s="160"/>
      <c r="BE159" s="160">
        <v>0</v>
      </c>
      <c r="BF159" s="160"/>
      <c r="BG159" s="160"/>
      <c r="BH159" s="160"/>
      <c r="BI159" s="160"/>
      <c r="BJ159" s="160"/>
      <c r="BK159" s="160"/>
      <c r="BL159" s="160"/>
      <c r="BM159" s="160"/>
      <c r="BN159" s="160"/>
      <c r="BO159" s="160"/>
      <c r="BP159" s="160"/>
      <c r="BQ159" s="160"/>
      <c r="BR159" s="160"/>
      <c r="BS159" s="160"/>
      <c r="BT159" s="160"/>
      <c r="BU159" s="160"/>
      <c r="BV159" s="160"/>
      <c r="BW159" s="160"/>
      <c r="BX159" s="160"/>
      <c r="BY159" s="160"/>
      <c r="BZ159" s="160"/>
      <c r="CA159" s="160">
        <f>COUNTIF(AJ159:AX159,"*OK*")</f>
        <v>1</v>
      </c>
      <c r="CB159" s="160"/>
      <c r="CC159" s="160">
        <f>COUNTIF(AJ159:AX159,"*OP*")</f>
        <v>1</v>
      </c>
    </row>
    <row r="160" spans="1:81" s="204" customFormat="1" ht="15" hidden="1" customHeight="1">
      <c r="A160" s="241">
        <v>24773</v>
      </c>
      <c r="B160" s="160" t="s">
        <v>618</v>
      </c>
      <c r="C160" s="468">
        <f>T160</f>
        <v>230.86</v>
      </c>
      <c r="D160" s="160">
        <f>COUNTIF(AJ160:AX160,"*OK*")</f>
        <v>0</v>
      </c>
      <c r="E160" s="160"/>
      <c r="F160" s="184" t="s">
        <v>619</v>
      </c>
      <c r="G160" s="182"/>
      <c r="H160" s="168"/>
      <c r="I160" s="168"/>
      <c r="J160" s="182"/>
      <c r="K160" s="196" t="s">
        <v>68</v>
      </c>
      <c r="L160" s="182" t="s">
        <v>456</v>
      </c>
      <c r="M160" s="182"/>
      <c r="N160" s="182"/>
      <c r="O160" s="161">
        <v>236.86</v>
      </c>
      <c r="P160" s="161">
        <v>214.1</v>
      </c>
      <c r="Q160" s="161">
        <v>211.2</v>
      </c>
      <c r="R160" s="186">
        <v>230.32</v>
      </c>
      <c r="S160" s="510">
        <v>228.4211</v>
      </c>
      <c r="T160" s="554">
        <v>230.86</v>
      </c>
      <c r="U160" s="164"/>
      <c r="V160" s="165">
        <v>200</v>
      </c>
      <c r="W160" s="187"/>
      <c r="X160" s="207" t="s">
        <v>70</v>
      </c>
      <c r="Y160" s="166" t="s">
        <v>125</v>
      </c>
      <c r="Z160" s="167" t="s">
        <v>620</v>
      </c>
      <c r="AA160" s="165" t="s">
        <v>59</v>
      </c>
      <c r="AB160" s="188" t="s">
        <v>65</v>
      </c>
      <c r="AC160" s="168" t="s">
        <v>572</v>
      </c>
      <c r="AD160" s="160"/>
      <c r="AE160" s="160"/>
      <c r="AF160" s="160"/>
      <c r="AG160" s="160"/>
      <c r="AH160" s="160"/>
      <c r="AI160" s="167" t="s">
        <v>127</v>
      </c>
      <c r="AJ160" s="170"/>
      <c r="AK160" s="170"/>
      <c r="AL160" s="170" t="s">
        <v>621</v>
      </c>
      <c r="AM160" s="170"/>
      <c r="AN160" s="170"/>
      <c r="AO160" s="170"/>
      <c r="AP160" s="170"/>
      <c r="AQ160" s="170"/>
      <c r="AR160" s="170"/>
      <c r="AS160" s="170"/>
      <c r="AT160" s="170"/>
      <c r="AU160" s="170"/>
      <c r="AV160" s="170"/>
      <c r="AW160" s="170"/>
      <c r="AX160" s="170"/>
      <c r="AY160" s="170"/>
      <c r="AZ160" s="167" t="s">
        <v>622</v>
      </c>
      <c r="BA160" s="160">
        <f>(COUNTIF(AJ160:AL160,"*OK*")*3) + (COUNTIF(AM160:AO160,"*OK*")*2) + COUNTIF(AP160:AR160,"*OK*")+COUNTIF(AZ160:AZ160,"SI")*0.5</f>
        <v>0</v>
      </c>
      <c r="BB160" s="160" t="str">
        <f>IF(BA160&lt;0.6,"Demasiado Riesgo",IF(BA160&lt;=5,"Riesgo Medio",IF(BA160&lt;=11,"Riesgo Bajo","Cliente Blindado")))</f>
        <v>Demasiado Riesgo</v>
      </c>
      <c r="BC160" s="160"/>
      <c r="BD160" s="160"/>
      <c r="BE160" s="160">
        <v>0</v>
      </c>
      <c r="BF160" s="160"/>
      <c r="BG160" s="160"/>
      <c r="BH160" s="160"/>
      <c r="BI160" s="160"/>
      <c r="BJ160" s="160"/>
      <c r="BK160" s="160"/>
      <c r="BL160" s="160"/>
      <c r="BM160" s="160"/>
      <c r="BN160" s="160"/>
      <c r="BO160" s="160"/>
      <c r="BP160" s="160"/>
      <c r="BQ160" s="160"/>
      <c r="BR160" s="160"/>
      <c r="BS160" s="160"/>
      <c r="BT160" s="160"/>
      <c r="BU160" s="160"/>
      <c r="BV160" s="160"/>
      <c r="BW160" s="160"/>
      <c r="BX160" s="160"/>
      <c r="BY160" s="160"/>
      <c r="BZ160" s="160"/>
      <c r="CA160" s="160">
        <f>COUNTIF(AJ160:AX160,"*OK*")</f>
        <v>0</v>
      </c>
      <c r="CB160" s="160"/>
      <c r="CC160" s="160">
        <f>COUNTIF(AJ160:AX160,"*OP*")</f>
        <v>1</v>
      </c>
    </row>
    <row r="161" spans="1:81" ht="15" hidden="1" customHeight="1">
      <c r="A161" s="240"/>
      <c r="B161" s="171"/>
      <c r="C161" s="468">
        <f>T161</f>
        <v>231.95</v>
      </c>
      <c r="D161" s="171">
        <f>COUNTIF(AJ161:AX161,"*OK*")</f>
        <v>0</v>
      </c>
      <c r="E161" s="171"/>
      <c r="F161" s="183" t="s">
        <v>623</v>
      </c>
      <c r="G161" s="183" t="s">
        <v>599</v>
      </c>
      <c r="H161" s="179"/>
      <c r="I161" s="179"/>
      <c r="J161" s="183"/>
      <c r="K161" s="198" t="s">
        <v>68</v>
      </c>
      <c r="L161" s="183" t="s">
        <v>456</v>
      </c>
      <c r="M161" s="183"/>
      <c r="N161" s="183"/>
      <c r="O161" s="172">
        <v>192.16</v>
      </c>
      <c r="P161" s="172">
        <v>200.1</v>
      </c>
      <c r="Q161" s="172">
        <v>208.73</v>
      </c>
      <c r="R161" s="193">
        <v>228.76</v>
      </c>
      <c r="S161" s="510">
        <v>239.9083</v>
      </c>
      <c r="T161" s="551">
        <v>231.95</v>
      </c>
      <c r="U161" s="175"/>
      <c r="V161" s="176">
        <v>200</v>
      </c>
      <c r="W161" s="194"/>
      <c r="X161" s="209" t="s">
        <v>70</v>
      </c>
      <c r="Y161" s="177" t="s">
        <v>162</v>
      </c>
      <c r="Z161" s="178" t="s">
        <v>624</v>
      </c>
      <c r="AA161" s="176" t="s">
        <v>59</v>
      </c>
      <c r="AB161" s="195" t="s">
        <v>65</v>
      </c>
      <c r="AC161" s="179" t="s">
        <v>92</v>
      </c>
      <c r="AD161" s="171"/>
      <c r="AE161" s="171"/>
      <c r="AF161" s="171"/>
      <c r="AG161" s="171"/>
      <c r="AH161" s="171"/>
      <c r="AI161" s="180" t="s">
        <v>59</v>
      </c>
      <c r="AJ161" s="170"/>
      <c r="AK161" s="170"/>
      <c r="AL161" s="170" t="s">
        <v>173</v>
      </c>
      <c r="AM161" s="170"/>
      <c r="AN161" s="170"/>
      <c r="AO161" s="170"/>
      <c r="AP161" s="170"/>
      <c r="AQ161" s="170"/>
      <c r="AR161" s="170"/>
      <c r="AS161" s="170"/>
      <c r="AT161" s="170"/>
      <c r="AU161" s="170"/>
      <c r="AV161" s="170"/>
      <c r="AW161" s="170"/>
      <c r="AX161" s="170"/>
      <c r="AY161" s="170"/>
      <c r="AZ161" s="180" t="s">
        <v>59</v>
      </c>
      <c r="BA161" s="171">
        <f>(COUNTIF(AJ161:AL161,"*OK*")*3) + (COUNTIF(AM161:AO161,"*OK*")*2) + COUNTIF(AP161:AR161,"*OK*")+COUNTIF(AZ161:AZ161,"SI")*0.5</f>
        <v>0</v>
      </c>
      <c r="BB161" s="171" t="str">
        <f>IF(BA161&lt;0.6,"Demasiado Riesgo",IF(BA161&lt;=5,"Riesgo Medio",IF(BA161&lt;=11,"Riesgo Bajo","Cliente Blindado")))</f>
        <v>Demasiado Riesgo</v>
      </c>
      <c r="BC161" s="171"/>
      <c r="BD161" s="171"/>
      <c r="BE161" s="171">
        <v>0</v>
      </c>
      <c r="BF161" s="171"/>
      <c r="BG161" s="171"/>
      <c r="BH161" s="171"/>
      <c r="BI161" s="171"/>
      <c r="BJ161" s="171"/>
      <c r="BK161" s="171"/>
      <c r="BL161" s="171"/>
      <c r="BM161" s="171"/>
      <c r="BN161" s="171"/>
      <c r="BO161" s="171"/>
      <c r="BP161" s="171"/>
      <c r="BQ161" s="171"/>
      <c r="BR161" s="171"/>
      <c r="BS161" s="171"/>
      <c r="BT161" s="171"/>
      <c r="BU161" s="171"/>
      <c r="BV161" s="171"/>
      <c r="BW161" s="171"/>
      <c r="BX161" s="171"/>
      <c r="BY161" s="171"/>
      <c r="BZ161" s="171"/>
      <c r="CA161" s="171">
        <f>COUNTIF(AJ161:AX161,"*OK*")</f>
        <v>0</v>
      </c>
      <c r="CB161" s="171"/>
      <c r="CC161" s="171">
        <f>COUNTIF(AJ161:AX161,"*OP*")</f>
        <v>1</v>
      </c>
    </row>
    <row r="162" spans="1:81" ht="15" hidden="1" customHeight="1">
      <c r="A162" s="241">
        <v>27381</v>
      </c>
      <c r="B162" s="160" t="s">
        <v>625</v>
      </c>
      <c r="C162" s="468">
        <f>T162</f>
        <v>241.71</v>
      </c>
      <c r="D162" s="160">
        <f>COUNTIF(AJ162:AX162,"*OK*")</f>
        <v>0</v>
      </c>
      <c r="E162" s="160"/>
      <c r="F162" s="182" t="s">
        <v>626</v>
      </c>
      <c r="G162" s="182"/>
      <c r="H162" s="168"/>
      <c r="I162" s="168"/>
      <c r="J162" s="182"/>
      <c r="K162" s="196" t="s">
        <v>68</v>
      </c>
      <c r="L162" s="182" t="s">
        <v>456</v>
      </c>
      <c r="M162" s="182"/>
      <c r="N162" s="182"/>
      <c r="O162" s="161">
        <v>241.76</v>
      </c>
      <c r="P162" s="161">
        <v>237.94</v>
      </c>
      <c r="Q162" s="161">
        <v>233.62</v>
      </c>
      <c r="R162" s="186">
        <v>248.24</v>
      </c>
      <c r="S162" s="510">
        <v>244.3878</v>
      </c>
      <c r="T162" s="550">
        <v>241.71</v>
      </c>
      <c r="U162" s="164"/>
      <c r="V162" s="165">
        <v>300</v>
      </c>
      <c r="W162" s="187"/>
      <c r="X162" s="203" t="s">
        <v>285</v>
      </c>
      <c r="Y162" s="166" t="s">
        <v>80</v>
      </c>
      <c r="Z162" s="167" t="s">
        <v>627</v>
      </c>
      <c r="AA162" s="165" t="s">
        <v>222</v>
      </c>
      <c r="AB162" s="188" t="s">
        <v>104</v>
      </c>
      <c r="AC162" s="168" t="s">
        <v>97</v>
      </c>
      <c r="AD162" s="160"/>
      <c r="AE162" s="160"/>
      <c r="AF162" s="160"/>
      <c r="AG162" s="160"/>
      <c r="AH162" s="160"/>
      <c r="AI162" s="163" t="s">
        <v>127</v>
      </c>
      <c r="AJ162" s="170"/>
      <c r="AK162" s="170"/>
      <c r="AL162" s="170"/>
      <c r="AM162" s="170"/>
      <c r="AN162" s="170"/>
      <c r="AO162" s="170"/>
      <c r="AP162" s="170"/>
      <c r="AQ162" s="170"/>
      <c r="AR162" s="170"/>
      <c r="AS162" s="170"/>
      <c r="AT162" s="170"/>
      <c r="AU162" s="170"/>
      <c r="AV162" s="170"/>
      <c r="AW162" s="170"/>
      <c r="AX162" s="170"/>
      <c r="AY162" s="170"/>
      <c r="AZ162" s="169" t="s">
        <v>178</v>
      </c>
      <c r="BA162" s="160">
        <f>(COUNTIF(AJ162:AL162,"*OK*")*3) + (COUNTIF(AM162:AO162,"*OK*")*2) + COUNTIF(AP162:AR162,"*OK*")+COUNTIF(AZ162:AZ162,"SI")*0.5</f>
        <v>0</v>
      </c>
      <c r="BB162" s="160" t="str">
        <f>IF(BA162&lt;0.6,"Demasiado Riesgo",IF(BA162&lt;=5,"Riesgo Medio",IF(BA162&lt;=11,"Riesgo Bajo","Cliente Blindado")))</f>
        <v>Demasiado Riesgo</v>
      </c>
      <c r="BC162" s="160"/>
      <c r="BD162" s="160"/>
      <c r="BE162" s="160">
        <v>0</v>
      </c>
      <c r="BF162" s="160"/>
      <c r="BG162" s="160"/>
      <c r="BH162" s="160"/>
      <c r="BI162" s="160"/>
      <c r="BJ162" s="160"/>
      <c r="BK162" s="160"/>
      <c r="BL162" s="160"/>
      <c r="BM162" s="160"/>
      <c r="BN162" s="160"/>
      <c r="BO162" s="160"/>
      <c r="BP162" s="160"/>
      <c r="BQ162" s="160"/>
      <c r="BR162" s="160"/>
      <c r="BS162" s="160"/>
      <c r="BT162" s="160"/>
      <c r="BU162" s="160"/>
      <c r="BV162" s="160"/>
      <c r="BW162" s="160"/>
      <c r="BX162" s="160"/>
      <c r="BY162" s="160"/>
      <c r="BZ162" s="160"/>
      <c r="CA162" s="160">
        <f>COUNTIF(AJ162:AX162,"*OK*")</f>
        <v>0</v>
      </c>
      <c r="CB162" s="160"/>
      <c r="CC162" s="160">
        <f>COUNTIF(AJ162:AX162,"*OP*")</f>
        <v>0</v>
      </c>
    </row>
    <row r="163" spans="1:81" ht="15" hidden="1" customHeight="1">
      <c r="A163" s="500"/>
      <c r="B163" s="173"/>
      <c r="C163" s="468">
        <f>T163</f>
        <v>256.70999999999998</v>
      </c>
      <c r="D163" s="171">
        <f>COUNTIF(AJ163:AX163,"*OK*")</f>
        <v>0</v>
      </c>
      <c r="E163" s="171"/>
      <c r="F163" s="183" t="s">
        <v>628</v>
      </c>
      <c r="G163" s="183"/>
      <c r="H163" s="179"/>
      <c r="I163" s="179"/>
      <c r="J163" s="183"/>
      <c r="K163" s="192" t="s">
        <v>68</v>
      </c>
      <c r="L163" s="183" t="s">
        <v>456</v>
      </c>
      <c r="M163" s="183"/>
      <c r="N163" s="183"/>
      <c r="O163" s="172">
        <v>260.60000000000002</v>
      </c>
      <c r="P163" s="172">
        <v>260.36</v>
      </c>
      <c r="Q163" s="172">
        <v>248.12</v>
      </c>
      <c r="R163" s="193">
        <v>256.11</v>
      </c>
      <c r="S163" s="510">
        <v>259.5539</v>
      </c>
      <c r="T163" s="551">
        <v>256.70999999999998</v>
      </c>
      <c r="U163" s="175"/>
      <c r="V163" s="176">
        <v>100</v>
      </c>
      <c r="W163" s="194"/>
      <c r="X163" s="209" t="s">
        <v>70</v>
      </c>
      <c r="Y163" s="177" t="s">
        <v>152</v>
      </c>
      <c r="Z163" s="178" t="s">
        <v>629</v>
      </c>
      <c r="AA163" s="176" t="s">
        <v>59</v>
      </c>
      <c r="AB163" s="195" t="s">
        <v>65</v>
      </c>
      <c r="AC163" s="179" t="s">
        <v>84</v>
      </c>
      <c r="AD163" s="171"/>
      <c r="AE163" s="171"/>
      <c r="AF163" s="171"/>
      <c r="AG163" s="171"/>
      <c r="AH163" s="171"/>
      <c r="AI163" s="174" t="s">
        <v>59</v>
      </c>
      <c r="AJ163" s="170"/>
      <c r="AK163" s="170"/>
      <c r="AL163" s="170"/>
      <c r="AM163" s="170"/>
      <c r="AN163" s="170"/>
      <c r="AO163" s="170"/>
      <c r="AP163" s="170"/>
      <c r="AQ163" s="170"/>
      <c r="AR163" s="170"/>
      <c r="AS163" s="170"/>
      <c r="AT163" s="170"/>
      <c r="AU163" s="170"/>
      <c r="AV163" s="170"/>
      <c r="AW163" s="170"/>
      <c r="AX163" s="170"/>
      <c r="AY163" s="170"/>
      <c r="AZ163" s="180" t="s">
        <v>59</v>
      </c>
      <c r="BA163" s="171">
        <f>(COUNTIF(AJ163:AL163,"*OK*")*3) + (COUNTIF(AM163:AO163,"*OK*")*2) + COUNTIF(AP163:AR163,"*OK*")+COUNTIF(AZ163:AZ163,"SI")*0.5</f>
        <v>0</v>
      </c>
      <c r="BB163" s="171" t="str">
        <f>IF(BA163&lt;0.6,"Demasiado Riesgo",IF(BA163&lt;=5,"Riesgo Medio",IF(BA163&lt;=11,"Riesgo Bajo","Cliente Blindado")))</f>
        <v>Demasiado Riesgo</v>
      </c>
      <c r="BC163" s="171"/>
      <c r="BD163" s="171"/>
      <c r="BE163" s="171">
        <v>0</v>
      </c>
      <c r="BF163" s="171"/>
      <c r="BG163" s="171"/>
      <c r="BH163" s="171"/>
      <c r="BI163" s="171"/>
      <c r="BJ163" s="171"/>
      <c r="BK163" s="171"/>
      <c r="BL163" s="171"/>
      <c r="BM163" s="171"/>
      <c r="BN163" s="171"/>
      <c r="BO163" s="171"/>
      <c r="BP163" s="171"/>
      <c r="BQ163" s="171"/>
      <c r="BR163" s="171"/>
      <c r="BS163" s="171"/>
      <c r="BT163" s="171"/>
      <c r="BU163" s="171"/>
      <c r="BV163" s="171"/>
      <c r="BW163" s="171"/>
      <c r="BX163" s="171"/>
      <c r="BY163" s="171"/>
      <c r="BZ163" s="171"/>
      <c r="CA163" s="171">
        <f>COUNTIF(AJ163:AX163,"*OK*")</f>
        <v>0</v>
      </c>
      <c r="CB163" s="171"/>
      <c r="CC163" s="171">
        <f>COUNTIF(AJ163:AX163,"*OP*")</f>
        <v>0</v>
      </c>
    </row>
    <row r="164" spans="1:81" ht="15" hidden="1" customHeight="1">
      <c r="A164" s="240">
        <v>28517</v>
      </c>
      <c r="B164" s="171" t="s">
        <v>630</v>
      </c>
      <c r="C164" s="468">
        <f>T164</f>
        <v>269.12</v>
      </c>
      <c r="D164" s="171">
        <f>COUNTIF(AJ164:AX164,"*OK*")</f>
        <v>1</v>
      </c>
      <c r="E164" s="171"/>
      <c r="F164" s="183" t="s">
        <v>631</v>
      </c>
      <c r="G164" s="183"/>
      <c r="H164" s="179"/>
      <c r="I164" s="179"/>
      <c r="J164" s="183"/>
      <c r="K164" s="198" t="s">
        <v>68</v>
      </c>
      <c r="L164" s="183" t="s">
        <v>456</v>
      </c>
      <c r="M164" s="183"/>
      <c r="N164" s="183"/>
      <c r="O164" s="172">
        <v>242.31</v>
      </c>
      <c r="P164" s="172">
        <v>239.03</v>
      </c>
      <c r="Q164" s="172">
        <v>222.87</v>
      </c>
      <c r="R164" s="193">
        <v>230.47</v>
      </c>
      <c r="S164" s="510">
        <v>233.53970000000001</v>
      </c>
      <c r="T164" s="553">
        <v>269.12</v>
      </c>
      <c r="U164" s="175"/>
      <c r="V164" s="176">
        <v>300</v>
      </c>
      <c r="W164" s="194"/>
      <c r="X164" s="209" t="s">
        <v>70</v>
      </c>
      <c r="Y164" s="177" t="s">
        <v>302</v>
      </c>
      <c r="Z164" s="178" t="s">
        <v>632</v>
      </c>
      <c r="AA164" s="176" t="s">
        <v>59</v>
      </c>
      <c r="AB164" s="195" t="s">
        <v>65</v>
      </c>
      <c r="AC164" s="179" t="s">
        <v>92</v>
      </c>
      <c r="AD164" s="171"/>
      <c r="AE164" s="171"/>
      <c r="AF164" s="171"/>
      <c r="AG164" s="171"/>
      <c r="AH164" s="171"/>
      <c r="AI164" s="174" t="s">
        <v>127</v>
      </c>
      <c r="AJ164" s="170" t="s">
        <v>633</v>
      </c>
      <c r="AK164" s="170"/>
      <c r="AL164" s="170"/>
      <c r="AM164" s="170"/>
      <c r="AN164" s="170"/>
      <c r="AO164" s="170" t="s">
        <v>418</v>
      </c>
      <c r="AP164" s="170"/>
      <c r="AQ164" s="170"/>
      <c r="AR164" s="170"/>
      <c r="AS164" s="170"/>
      <c r="AT164" s="170"/>
      <c r="AU164" s="170"/>
      <c r="AV164" s="170"/>
      <c r="AW164" s="170"/>
      <c r="AX164" s="170"/>
      <c r="AY164" s="170" t="s">
        <v>173</v>
      </c>
      <c r="AZ164" s="180" t="s">
        <v>178</v>
      </c>
      <c r="BA164" s="171">
        <f>(COUNTIF(AJ164:AL164,"*OK*")*3) + (COUNTIF(AM164:AO164,"*OK*")*2) + COUNTIF(AP164:AR164,"*OK*")+COUNTIF(AZ164:AZ164,"SI")*0.5</f>
        <v>2</v>
      </c>
      <c r="BB164" s="171" t="str">
        <f>IF(BA164&lt;0.6,"Demasiado Riesgo",IF(BA164&lt;=5,"Riesgo Medio",IF(BA164&lt;=11,"Riesgo Bajo","Cliente Blindado")))</f>
        <v>Riesgo Medio</v>
      </c>
      <c r="BC164" s="171"/>
      <c r="BD164" s="171"/>
      <c r="BE164" s="171">
        <v>0</v>
      </c>
      <c r="BF164" s="171"/>
      <c r="BG164" s="171"/>
      <c r="BH164" s="171"/>
      <c r="BI164" s="171"/>
      <c r="BJ164" s="171"/>
      <c r="BK164" s="171"/>
      <c r="BL164" s="171"/>
      <c r="BM164" s="171"/>
      <c r="BN164" s="171"/>
      <c r="BO164" s="171"/>
      <c r="BP164" s="171"/>
      <c r="BQ164" s="171"/>
      <c r="BR164" s="171"/>
      <c r="BS164" s="171"/>
      <c r="BT164" s="171"/>
      <c r="BU164" s="171"/>
      <c r="BV164" s="171"/>
      <c r="BW164" s="171"/>
      <c r="BX164" s="171"/>
      <c r="BY164" s="171"/>
      <c r="BZ164" s="171"/>
      <c r="CA164" s="171">
        <f>COUNTIF(AJ164:AX164,"*OK*")</f>
        <v>1</v>
      </c>
      <c r="CB164" s="171"/>
      <c r="CC164" s="171">
        <f>COUNTIF(AJ164:AX164,"*OP*")</f>
        <v>1</v>
      </c>
    </row>
    <row r="165" spans="1:81" ht="15" hidden="1" customHeight="1">
      <c r="A165" s="240">
        <v>24043</v>
      </c>
      <c r="B165" s="171" t="s">
        <v>634</v>
      </c>
      <c r="C165" s="468">
        <f>T165</f>
        <v>272.66000000000003</v>
      </c>
      <c r="D165" s="171">
        <f>COUNTIF(AJ165:AX165,"*OK*")</f>
        <v>0</v>
      </c>
      <c r="E165" s="171"/>
      <c r="F165" s="183" t="s">
        <v>635</v>
      </c>
      <c r="G165" s="183"/>
      <c r="H165" s="179"/>
      <c r="I165" s="179"/>
      <c r="J165" s="183"/>
      <c r="K165" s="198" t="s">
        <v>68</v>
      </c>
      <c r="L165" s="183" t="s">
        <v>456</v>
      </c>
      <c r="M165" s="183"/>
      <c r="N165" s="183" t="s">
        <v>136</v>
      </c>
      <c r="O165" s="172">
        <v>254.73</v>
      </c>
      <c r="P165" s="172">
        <v>266.52</v>
      </c>
      <c r="Q165" s="172">
        <v>253.99</v>
      </c>
      <c r="R165" s="193">
        <v>268.08</v>
      </c>
      <c r="S165" s="510">
        <v>272.6893</v>
      </c>
      <c r="T165" s="551">
        <v>272.66000000000003</v>
      </c>
      <c r="U165" s="175"/>
      <c r="V165" s="176">
        <v>200</v>
      </c>
      <c r="W165" s="194"/>
      <c r="X165" s="205" t="s">
        <v>124</v>
      </c>
      <c r="Y165" s="177" t="s">
        <v>80</v>
      </c>
      <c r="Z165" s="178" t="s">
        <v>636</v>
      </c>
      <c r="AA165" s="176" t="s">
        <v>59</v>
      </c>
      <c r="AB165" s="195" t="s">
        <v>65</v>
      </c>
      <c r="AC165" s="179" t="s">
        <v>97</v>
      </c>
      <c r="AD165" s="171"/>
      <c r="AE165" s="171"/>
      <c r="AF165" s="171"/>
      <c r="AG165" s="171"/>
      <c r="AH165" s="171"/>
      <c r="AI165" s="174" t="s">
        <v>127</v>
      </c>
      <c r="AJ165" s="170"/>
      <c r="AK165" s="170" t="s">
        <v>173</v>
      </c>
      <c r="AL165" s="170"/>
      <c r="AM165" s="170"/>
      <c r="AN165" s="170"/>
      <c r="AO165" s="170"/>
      <c r="AP165" s="170"/>
      <c r="AQ165" s="170"/>
      <c r="AR165" s="170"/>
      <c r="AS165" s="170"/>
      <c r="AT165" s="170"/>
      <c r="AU165" s="170"/>
      <c r="AV165" s="170"/>
      <c r="AW165" s="170"/>
      <c r="AX165" s="170"/>
      <c r="AY165" s="170"/>
      <c r="AZ165" s="180" t="s">
        <v>178</v>
      </c>
      <c r="BA165" s="171">
        <f>(COUNTIF(AJ165:AL165,"*OK*")*3) + (COUNTIF(AM165:AO165,"*OK*")*2) + COUNTIF(AP165:AR165,"*OK*")+COUNTIF(AZ165:AZ165,"SI")*0.5</f>
        <v>0</v>
      </c>
      <c r="BB165" s="171" t="str">
        <f>IF(BA165&lt;0.6,"Demasiado Riesgo",IF(BA165&lt;=5,"Riesgo Medio",IF(BA165&lt;=11,"Riesgo Bajo","Cliente Blindado")))</f>
        <v>Demasiado Riesgo</v>
      </c>
      <c r="BC165" s="171"/>
      <c r="BD165" s="171"/>
      <c r="BE165" s="171">
        <v>0</v>
      </c>
      <c r="BF165" s="171"/>
      <c r="BG165" s="171"/>
      <c r="BH165" s="171"/>
      <c r="BI165" s="171"/>
      <c r="BJ165" s="171"/>
      <c r="BK165" s="171"/>
      <c r="BL165" s="171"/>
      <c r="BM165" s="171"/>
      <c r="BN165" s="171"/>
      <c r="BO165" s="171"/>
      <c r="BP165" s="171"/>
      <c r="BQ165" s="171"/>
      <c r="BR165" s="171"/>
      <c r="BS165" s="171"/>
      <c r="BT165" s="171"/>
      <c r="BU165" s="171"/>
      <c r="BV165" s="171"/>
      <c r="BW165" s="171"/>
      <c r="BX165" s="171"/>
      <c r="BY165" s="171"/>
      <c r="BZ165" s="171"/>
      <c r="CA165" s="171">
        <f>COUNTIF(AJ165:AX165,"*OK*")</f>
        <v>0</v>
      </c>
      <c r="CB165" s="171"/>
      <c r="CC165" s="171">
        <f>COUNTIF(AJ165:AX165,"*OP*")</f>
        <v>1</v>
      </c>
    </row>
    <row r="166" spans="1:81" ht="15" hidden="1" customHeight="1">
      <c r="A166" s="241">
        <v>17830</v>
      </c>
      <c r="B166" s="160"/>
      <c r="C166" s="468">
        <f>T166</f>
        <v>272.68</v>
      </c>
      <c r="D166" s="160">
        <f>COUNTIF(AJ166:AX166,"*OK*")</f>
        <v>0</v>
      </c>
      <c r="E166" s="160"/>
      <c r="F166" s="197" t="s">
        <v>637</v>
      </c>
      <c r="G166" s="182"/>
      <c r="H166" s="168" t="s">
        <v>638</v>
      </c>
      <c r="I166" s="168"/>
      <c r="J166" s="182"/>
      <c r="K166" s="196" t="s">
        <v>68</v>
      </c>
      <c r="L166" s="182" t="s">
        <v>456</v>
      </c>
      <c r="M166" s="182"/>
      <c r="N166" s="182"/>
      <c r="O166" s="161">
        <v>414.16</v>
      </c>
      <c r="P166" s="161">
        <v>287.12</v>
      </c>
      <c r="Q166" s="161">
        <v>277.64</v>
      </c>
      <c r="R166" s="186">
        <v>276.2</v>
      </c>
      <c r="S166" s="510">
        <v>277.80720000000002</v>
      </c>
      <c r="T166" s="550">
        <v>272.68</v>
      </c>
      <c r="U166" s="164"/>
      <c r="V166" s="165">
        <v>300</v>
      </c>
      <c r="W166" s="187"/>
      <c r="X166" s="208" t="s">
        <v>70</v>
      </c>
      <c r="Y166" s="166" t="s">
        <v>80</v>
      </c>
      <c r="Z166" s="167" t="s">
        <v>639</v>
      </c>
      <c r="AA166" s="165" t="s">
        <v>59</v>
      </c>
      <c r="AB166" s="188" t="s">
        <v>194</v>
      </c>
      <c r="AC166" s="168" t="s">
        <v>97</v>
      </c>
      <c r="AD166" s="160"/>
      <c r="AE166" s="160"/>
      <c r="AF166" s="160"/>
      <c r="AG166" s="160"/>
      <c r="AH166" s="160"/>
      <c r="AI166" s="163" t="s">
        <v>59</v>
      </c>
      <c r="AJ166" s="170"/>
      <c r="AK166" s="170"/>
      <c r="AL166" s="170"/>
      <c r="AM166" s="170"/>
      <c r="AN166" s="170"/>
      <c r="AO166" s="170"/>
      <c r="AP166" s="170"/>
      <c r="AQ166" s="170"/>
      <c r="AR166" s="170"/>
      <c r="AS166" s="170"/>
      <c r="AT166" s="170"/>
      <c r="AU166" s="170"/>
      <c r="AV166" s="170"/>
      <c r="AW166" s="170"/>
      <c r="AX166" s="170"/>
      <c r="AY166" s="170"/>
      <c r="AZ166" s="169" t="s">
        <v>59</v>
      </c>
      <c r="BA166" s="160">
        <f>(COUNTIF(AJ166:AL166,"*OK*")*3) + (COUNTIF(AM166:AO166,"*OK*")*2) + COUNTIF(AP166:AR166,"*OK*")+COUNTIF(AZ166:AZ166,"SI")*0.5</f>
        <v>0</v>
      </c>
      <c r="BB166" s="160" t="str">
        <f>IF(BA166&lt;0.6,"Demasiado Riesgo",IF(BA166&lt;=5,"Riesgo Medio",IF(BA166&lt;=11,"Riesgo Bajo","Cliente Blindado")))</f>
        <v>Demasiado Riesgo</v>
      </c>
      <c r="BC166" s="160"/>
      <c r="BD166" s="160"/>
      <c r="BE166" s="160">
        <v>0</v>
      </c>
      <c r="BF166" s="160"/>
      <c r="BG166" s="160"/>
      <c r="BH166" s="160"/>
      <c r="BI166" s="160"/>
      <c r="BJ166" s="160"/>
      <c r="BK166" s="160"/>
      <c r="BL166" s="160"/>
      <c r="BM166" s="160"/>
      <c r="BN166" s="160"/>
      <c r="BO166" s="160"/>
      <c r="BP166" s="160"/>
      <c r="BQ166" s="160"/>
      <c r="BR166" s="160"/>
      <c r="BS166" s="160"/>
      <c r="BT166" s="160"/>
      <c r="BU166" s="160"/>
      <c r="BV166" s="160"/>
      <c r="BW166" s="160"/>
      <c r="BX166" s="160"/>
      <c r="BY166" s="160"/>
      <c r="BZ166" s="160"/>
      <c r="CA166" s="160">
        <f>COUNTIF(AJ166:AX166,"*OK*")</f>
        <v>0</v>
      </c>
      <c r="CB166" s="160"/>
      <c r="CC166" s="160">
        <f>COUNTIF(AJ166:AX166,"*OP*")</f>
        <v>0</v>
      </c>
    </row>
    <row r="167" spans="1:81" ht="15" hidden="1" customHeight="1">
      <c r="A167" s="240">
        <v>24945</v>
      </c>
      <c r="B167" s="171" t="s">
        <v>640</v>
      </c>
      <c r="C167" s="468">
        <f>T167</f>
        <v>282.60000000000002</v>
      </c>
      <c r="D167" s="171">
        <f>COUNTIF(AJ167:AX167,"*OK*")</f>
        <v>0</v>
      </c>
      <c r="E167" s="171"/>
      <c r="F167" s="183" t="s">
        <v>641</v>
      </c>
      <c r="G167" s="183"/>
      <c r="H167" s="179"/>
      <c r="I167" s="179"/>
      <c r="J167" s="183"/>
      <c r="K167" s="198" t="s">
        <v>68</v>
      </c>
      <c r="L167" s="183" t="s">
        <v>456</v>
      </c>
      <c r="M167" s="183"/>
      <c r="N167" s="183"/>
      <c r="O167" s="172">
        <v>216.52</v>
      </c>
      <c r="P167" s="172">
        <v>210.91</v>
      </c>
      <c r="Q167" s="172">
        <v>193.26</v>
      </c>
      <c r="R167" s="193">
        <v>236.72</v>
      </c>
      <c r="S167" s="510">
        <v>307.29820000000001</v>
      </c>
      <c r="T167" s="551">
        <v>282.60000000000002</v>
      </c>
      <c r="U167" s="175"/>
      <c r="V167" s="176">
        <v>200</v>
      </c>
      <c r="W167" s="194"/>
      <c r="X167" s="209" t="s">
        <v>70</v>
      </c>
      <c r="Y167" s="177" t="s">
        <v>125</v>
      </c>
      <c r="Z167" s="178" t="s">
        <v>642</v>
      </c>
      <c r="AA167" s="176" t="s">
        <v>59</v>
      </c>
      <c r="AB167" s="195" t="s">
        <v>65</v>
      </c>
      <c r="AC167" s="179" t="s">
        <v>84</v>
      </c>
      <c r="AD167" s="171"/>
      <c r="AE167" s="171"/>
      <c r="AF167" s="171"/>
      <c r="AG167" s="171"/>
      <c r="AH167" s="171"/>
      <c r="AI167" s="174" t="s">
        <v>59</v>
      </c>
      <c r="AJ167" s="170"/>
      <c r="AK167" s="170"/>
      <c r="AL167" s="170"/>
      <c r="AM167" s="170"/>
      <c r="AN167" s="170"/>
      <c r="AO167" s="170"/>
      <c r="AP167" s="170"/>
      <c r="AQ167" s="170"/>
      <c r="AR167" s="170"/>
      <c r="AS167" s="170"/>
      <c r="AT167" s="170"/>
      <c r="AU167" s="170"/>
      <c r="AV167" s="170"/>
      <c r="AW167" s="170"/>
      <c r="AX167" s="170"/>
      <c r="AY167" s="170"/>
      <c r="AZ167" s="180" t="s">
        <v>178</v>
      </c>
      <c r="BA167" s="171">
        <f>(COUNTIF(AJ167:AL167,"*OK*")*3) + (COUNTIF(AM167:AO167,"*OK*")*2) + COUNTIF(AP167:AR167,"*OK*")+COUNTIF(AZ167:AZ167,"SI")*0.5</f>
        <v>0</v>
      </c>
      <c r="BB167" s="171" t="str">
        <f>IF(BA167&lt;0.6,"Demasiado Riesgo",IF(BA167&lt;=5,"Riesgo Medio",IF(BA167&lt;=11,"Riesgo Bajo","Cliente Blindado")))</f>
        <v>Demasiado Riesgo</v>
      </c>
      <c r="BC167" s="171"/>
      <c r="BD167" s="171"/>
      <c r="BE167" s="171">
        <v>0</v>
      </c>
      <c r="BF167" s="171"/>
      <c r="BG167" s="171"/>
      <c r="BH167" s="171"/>
      <c r="BI167" s="171"/>
      <c r="BJ167" s="171"/>
      <c r="BK167" s="171"/>
      <c r="BL167" s="171"/>
      <c r="BM167" s="171"/>
      <c r="BN167" s="171"/>
      <c r="BO167" s="171"/>
      <c r="BP167" s="171"/>
      <c r="BQ167" s="171"/>
      <c r="BR167" s="171"/>
      <c r="BS167" s="171"/>
      <c r="BT167" s="171"/>
      <c r="BU167" s="171"/>
      <c r="BV167" s="171"/>
      <c r="BW167" s="171"/>
      <c r="BX167" s="171"/>
      <c r="BY167" s="171"/>
      <c r="BZ167" s="171"/>
      <c r="CA167" s="171">
        <f>COUNTIF(AJ167:AX167,"*OK*")</f>
        <v>0</v>
      </c>
      <c r="CB167" s="171"/>
      <c r="CC167" s="171">
        <f>COUNTIF(AJ167:AX167,"*OP*")</f>
        <v>0</v>
      </c>
    </row>
    <row r="168" spans="1:81" ht="15" hidden="1" customHeight="1">
      <c r="A168" s="500"/>
      <c r="B168" s="173"/>
      <c r="C168" s="468">
        <f>T168</f>
        <v>287.41000000000003</v>
      </c>
      <c r="D168" s="171">
        <f>COUNTIF(AJ168:AX168,"*OK*")</f>
        <v>0</v>
      </c>
      <c r="E168" s="171"/>
      <c r="F168" s="183" t="s">
        <v>643</v>
      </c>
      <c r="G168" s="183"/>
      <c r="H168" s="179"/>
      <c r="I168" s="179"/>
      <c r="J168" s="183"/>
      <c r="K168" s="192" t="s">
        <v>68</v>
      </c>
      <c r="L168" s="183" t="s">
        <v>456</v>
      </c>
      <c r="M168" s="183"/>
      <c r="N168" s="183"/>
      <c r="O168" s="172">
        <v>324.67</v>
      </c>
      <c r="P168" s="172">
        <v>291.5</v>
      </c>
      <c r="Q168" s="172">
        <v>300.77</v>
      </c>
      <c r="R168" s="193">
        <v>271.64</v>
      </c>
      <c r="S168" s="510">
        <v>321.18060000000003</v>
      </c>
      <c r="T168" s="551">
        <v>287.41000000000003</v>
      </c>
      <c r="U168" s="175"/>
      <c r="V168" s="176">
        <v>200</v>
      </c>
      <c r="W168" s="194"/>
      <c r="X168" s="209" t="s">
        <v>70</v>
      </c>
      <c r="Y168" s="177" t="s">
        <v>141</v>
      </c>
      <c r="Z168" s="178" t="s">
        <v>644</v>
      </c>
      <c r="AA168" s="176" t="s">
        <v>59</v>
      </c>
      <c r="AB168" s="195" t="s">
        <v>119</v>
      </c>
      <c r="AC168" s="179" t="s">
        <v>139</v>
      </c>
      <c r="AD168" s="171"/>
      <c r="AE168" s="171"/>
      <c r="AF168" s="171"/>
      <c r="AG168" s="171"/>
      <c r="AH168" s="171" t="s">
        <v>645</v>
      </c>
      <c r="AI168" s="174" t="s">
        <v>59</v>
      </c>
      <c r="AJ168" s="170"/>
      <c r="AK168" s="170"/>
      <c r="AL168" s="170"/>
      <c r="AM168" s="170"/>
      <c r="AN168" s="170"/>
      <c r="AO168" s="170"/>
      <c r="AP168" s="170"/>
      <c r="AQ168" s="170"/>
      <c r="AR168" s="170"/>
      <c r="AS168" s="170"/>
      <c r="AT168" s="170"/>
      <c r="AU168" s="170"/>
      <c r="AV168" s="170"/>
      <c r="AW168" s="170"/>
      <c r="AX168" s="170"/>
      <c r="AY168" s="170"/>
      <c r="AZ168" s="180" t="s">
        <v>59</v>
      </c>
      <c r="BA168" s="171">
        <f>(COUNTIF(AJ168:AL168,"*OK*")*3) + (COUNTIF(AM168:AO168,"*OK*")*2) + COUNTIF(AP168:AR168,"*OK*")+COUNTIF(AZ168:AZ168,"SI")*0.5</f>
        <v>0</v>
      </c>
      <c r="BB168" s="171" t="str">
        <f>IF(BA168&lt;0.6,"Demasiado Riesgo",IF(BA168&lt;=5,"Riesgo Medio",IF(BA168&lt;=11,"Riesgo Bajo","Cliente Blindado")))</f>
        <v>Demasiado Riesgo</v>
      </c>
      <c r="BC168" s="171"/>
      <c r="BD168" s="171"/>
      <c r="BE168" s="171">
        <v>0</v>
      </c>
      <c r="BF168" s="171"/>
      <c r="BG168" s="171"/>
      <c r="BH168" s="171"/>
      <c r="BI168" s="171"/>
      <c r="BJ168" s="171"/>
      <c r="BK168" s="171"/>
      <c r="BL168" s="171"/>
      <c r="BM168" s="171"/>
      <c r="BN168" s="171"/>
      <c r="BO168" s="171"/>
      <c r="BP168" s="171"/>
      <c r="BQ168" s="171"/>
      <c r="BR168" s="171"/>
      <c r="BS168" s="171"/>
      <c r="BT168" s="171"/>
      <c r="BU168" s="171"/>
      <c r="BV168" s="171"/>
      <c r="BW168" s="171"/>
      <c r="BX168" s="171"/>
      <c r="BY168" s="171"/>
      <c r="BZ168" s="171"/>
      <c r="CA168" s="171">
        <f>COUNTIF(AJ168:AX168,"*OK*")</f>
        <v>0</v>
      </c>
      <c r="CB168" s="171"/>
      <c r="CC168" s="171">
        <f>COUNTIF(AJ168:AX168,"*OP*")</f>
        <v>0</v>
      </c>
    </row>
    <row r="169" spans="1:81" s="204" customFormat="1" ht="15" hidden="1" customHeight="1">
      <c r="A169" s="241">
        <v>23031</v>
      </c>
      <c r="B169" s="160" t="s">
        <v>646</v>
      </c>
      <c r="C169" s="468">
        <f>T169</f>
        <v>297.06</v>
      </c>
      <c r="D169" s="160">
        <f>COUNTIF(AJ169:AX169,"*OK*")</f>
        <v>2</v>
      </c>
      <c r="E169" s="160"/>
      <c r="F169" s="182" t="s">
        <v>647</v>
      </c>
      <c r="G169" s="182" t="s">
        <v>527</v>
      </c>
      <c r="H169" s="168"/>
      <c r="I169" s="168"/>
      <c r="J169" s="182"/>
      <c r="K169" s="196" t="s">
        <v>68</v>
      </c>
      <c r="L169" s="182" t="s">
        <v>456</v>
      </c>
      <c r="M169" s="182"/>
      <c r="N169" s="182"/>
      <c r="O169" s="161">
        <v>195.54</v>
      </c>
      <c r="P169" s="161">
        <v>191.6</v>
      </c>
      <c r="Q169" s="161">
        <v>180.21</v>
      </c>
      <c r="R169" s="186">
        <v>182.32</v>
      </c>
      <c r="S169" s="510">
        <v>183.5196</v>
      </c>
      <c r="T169" s="554">
        <v>297.06</v>
      </c>
      <c r="U169" s="164"/>
      <c r="V169" s="165">
        <v>150</v>
      </c>
      <c r="W169" s="187"/>
      <c r="X169" s="208" t="s">
        <v>70</v>
      </c>
      <c r="Y169" s="166" t="s">
        <v>80</v>
      </c>
      <c r="Z169" s="167" t="s">
        <v>648</v>
      </c>
      <c r="AA169" s="165" t="s">
        <v>222</v>
      </c>
      <c r="AB169" s="188" t="s">
        <v>104</v>
      </c>
      <c r="AC169" s="168" t="s">
        <v>97</v>
      </c>
      <c r="AD169" s="160"/>
      <c r="AE169" s="160"/>
      <c r="AF169" s="160"/>
      <c r="AG169" s="160"/>
      <c r="AH169" s="160"/>
      <c r="AI169" s="163" t="s">
        <v>127</v>
      </c>
      <c r="AJ169" s="170" t="s">
        <v>418</v>
      </c>
      <c r="AK169" s="170"/>
      <c r="AL169" s="170" t="s">
        <v>418</v>
      </c>
      <c r="AM169" s="170"/>
      <c r="AN169" s="170"/>
      <c r="AO169" s="170"/>
      <c r="AP169" s="170"/>
      <c r="AQ169" s="170"/>
      <c r="AR169" s="170"/>
      <c r="AS169" s="170"/>
      <c r="AT169" s="170"/>
      <c r="AU169" s="170"/>
      <c r="AV169" s="170"/>
      <c r="AW169" s="170"/>
      <c r="AX169" s="170"/>
      <c r="AY169" s="170"/>
      <c r="AZ169" s="169" t="s">
        <v>178</v>
      </c>
      <c r="BA169" s="160">
        <f>(COUNTIF(AJ169:AL169,"*OK*")*3) + (COUNTIF(AM169:AO169,"*OK*")*2) + COUNTIF(AP169:AR169,"*OK*")+COUNTIF(AZ169:AZ169,"SI")*0.5</f>
        <v>6</v>
      </c>
      <c r="BB169" s="160" t="str">
        <f>IF(BA169&lt;0.6,"Demasiado Riesgo",IF(BA169&lt;=5,"Riesgo Medio",IF(BA169&lt;=11,"Riesgo Bajo","Cliente Blindado")))</f>
        <v>Riesgo Bajo</v>
      </c>
      <c r="BC169" s="160"/>
      <c r="BD169" s="160"/>
      <c r="BE169" s="160">
        <v>0</v>
      </c>
      <c r="BF169" s="160"/>
      <c r="BG169" s="160"/>
      <c r="BH169" s="160"/>
      <c r="BI169" s="160"/>
      <c r="BJ169" s="160"/>
      <c r="BK169" s="160"/>
      <c r="BL169" s="160"/>
      <c r="BM169" s="160"/>
      <c r="BN169" s="160"/>
      <c r="BO169" s="160"/>
      <c r="BP169" s="160"/>
      <c r="BQ169" s="160"/>
      <c r="BR169" s="160"/>
      <c r="BS169" s="160"/>
      <c r="BT169" s="160"/>
      <c r="BU169" s="160"/>
      <c r="BV169" s="160"/>
      <c r="BW169" s="160"/>
      <c r="BX169" s="160"/>
      <c r="BY169" s="160"/>
      <c r="BZ169" s="160"/>
      <c r="CA169" s="160">
        <f>COUNTIF(AJ169:AX169,"*OK*")</f>
        <v>2</v>
      </c>
      <c r="CB169" s="160"/>
      <c r="CC169" s="160">
        <f>COUNTIF(AJ169:AX169,"*OP*")</f>
        <v>0</v>
      </c>
    </row>
    <row r="170" spans="1:81" s="204" customFormat="1" ht="15" hidden="1" customHeight="1">
      <c r="A170" s="240">
        <v>29019</v>
      </c>
      <c r="B170" s="171" t="s">
        <v>649</v>
      </c>
      <c r="C170" s="468">
        <f>T170</f>
        <v>316.17</v>
      </c>
      <c r="D170" s="171">
        <f>COUNTIF(AJ170:AX170,"*OK*")</f>
        <v>0</v>
      </c>
      <c r="E170" s="171"/>
      <c r="F170" s="191" t="s">
        <v>650</v>
      </c>
      <c r="G170" s="183"/>
      <c r="H170" s="179"/>
      <c r="I170" s="179"/>
      <c r="J170" s="183"/>
      <c r="K170" s="198" t="s">
        <v>68</v>
      </c>
      <c r="L170" s="183" t="s">
        <v>456</v>
      </c>
      <c r="M170" s="183"/>
      <c r="N170" s="183"/>
      <c r="O170" s="172">
        <v>246.82</v>
      </c>
      <c r="P170" s="172">
        <v>282.95</v>
      </c>
      <c r="Q170" s="172">
        <v>291.20999999999998</v>
      </c>
      <c r="R170" s="193">
        <v>300.58999999999997</v>
      </c>
      <c r="S170" s="510">
        <v>315.9153</v>
      </c>
      <c r="T170" s="553">
        <v>316.17</v>
      </c>
      <c r="U170" s="175"/>
      <c r="V170" s="176">
        <v>200</v>
      </c>
      <c r="W170" s="194"/>
      <c r="X170" s="209" t="s">
        <v>70</v>
      </c>
      <c r="Y170" s="177" t="s">
        <v>80</v>
      </c>
      <c r="Z170" s="178" t="s">
        <v>651</v>
      </c>
      <c r="AA170" s="176" t="s">
        <v>59</v>
      </c>
      <c r="AB170" s="195" t="s">
        <v>65</v>
      </c>
      <c r="AC170" s="179" t="s">
        <v>97</v>
      </c>
      <c r="AD170" s="171"/>
      <c r="AE170" s="171"/>
      <c r="AF170" s="171"/>
      <c r="AG170" s="171"/>
      <c r="AH170" s="171"/>
      <c r="AI170" s="174" t="s">
        <v>127</v>
      </c>
      <c r="AJ170" s="170"/>
      <c r="AK170" s="170"/>
      <c r="AL170" s="170"/>
      <c r="AM170" s="170"/>
      <c r="AN170" s="170"/>
      <c r="AO170" s="170"/>
      <c r="AP170" s="170"/>
      <c r="AQ170" s="170"/>
      <c r="AR170" s="170"/>
      <c r="AS170" s="170"/>
      <c r="AT170" s="170"/>
      <c r="AU170" s="170"/>
      <c r="AV170" s="170"/>
      <c r="AW170" s="170"/>
      <c r="AX170" s="170"/>
      <c r="AY170" s="170"/>
      <c r="AZ170" s="180" t="s">
        <v>178</v>
      </c>
      <c r="BA170" s="171">
        <f>(COUNTIF(AJ170:AL170,"*OK*")*3) + (COUNTIF(AM170:AO170,"*OK*")*2) + COUNTIF(AP170:AR170,"*OK*")+COUNTIF(AZ170:AZ170,"SI")*0.5</f>
        <v>0</v>
      </c>
      <c r="BB170" s="171" t="str">
        <f>IF(BA170&lt;0.6,"Demasiado Riesgo",IF(BA170&lt;=5,"Riesgo Medio",IF(BA170&lt;=11,"Riesgo Bajo","Cliente Blindado")))</f>
        <v>Demasiado Riesgo</v>
      </c>
      <c r="BC170" s="171"/>
      <c r="BD170" s="171"/>
      <c r="BE170" s="171">
        <v>0</v>
      </c>
      <c r="BF170" s="171"/>
      <c r="BG170" s="171"/>
      <c r="BH170" s="171"/>
      <c r="BI170" s="171"/>
      <c r="BJ170" s="171"/>
      <c r="BK170" s="171"/>
      <c r="BL170" s="171"/>
      <c r="BM170" s="171"/>
      <c r="BN170" s="171"/>
      <c r="BO170" s="171"/>
      <c r="BP170" s="171"/>
      <c r="BQ170" s="171"/>
      <c r="BR170" s="171"/>
      <c r="BS170" s="171"/>
      <c r="BT170" s="171"/>
      <c r="BU170" s="171"/>
      <c r="BV170" s="171"/>
      <c r="BW170" s="171"/>
      <c r="BX170" s="171"/>
      <c r="BY170" s="171"/>
      <c r="BZ170" s="171"/>
      <c r="CA170" s="171">
        <f>COUNTIF(AJ170:AX170,"*OK*")</f>
        <v>0</v>
      </c>
      <c r="CB170" s="171"/>
      <c r="CC170" s="171">
        <f>COUNTIF(AJ170:AX170,"*OP*")</f>
        <v>0</v>
      </c>
    </row>
    <row r="171" spans="1:81" ht="15" hidden="1" customHeight="1">
      <c r="A171" s="241">
        <v>24187</v>
      </c>
      <c r="B171" s="160"/>
      <c r="C171" s="468">
        <f>T171</f>
        <v>334.22</v>
      </c>
      <c r="D171" s="160">
        <f>COUNTIF(AJ171:AX171,"*OK*")</f>
        <v>1</v>
      </c>
      <c r="E171" s="160"/>
      <c r="F171" s="184" t="s">
        <v>652</v>
      </c>
      <c r="G171" s="182"/>
      <c r="H171" s="168"/>
      <c r="I171" s="168"/>
      <c r="J171" s="182"/>
      <c r="K171" s="196" t="s">
        <v>68</v>
      </c>
      <c r="L171" s="182" t="s">
        <v>456</v>
      </c>
      <c r="M171" s="182"/>
      <c r="N171" s="182"/>
      <c r="O171" s="161">
        <v>250.08</v>
      </c>
      <c r="P171" s="161">
        <v>252.05</v>
      </c>
      <c r="Q171" s="161">
        <v>250.64</v>
      </c>
      <c r="R171" s="186">
        <v>256.55</v>
      </c>
      <c r="S171" s="510">
        <v>265.46559999999999</v>
      </c>
      <c r="T171" s="554">
        <v>334.22</v>
      </c>
      <c r="U171" s="164"/>
      <c r="V171" s="165">
        <v>100</v>
      </c>
      <c r="W171" s="187"/>
      <c r="X171" s="208" t="s">
        <v>70</v>
      </c>
      <c r="Y171" s="166" t="s">
        <v>243</v>
      </c>
      <c r="Z171" s="167" t="s">
        <v>653</v>
      </c>
      <c r="AA171" s="165" t="s">
        <v>59</v>
      </c>
      <c r="AB171" s="188" t="s">
        <v>65</v>
      </c>
      <c r="AC171" s="168" t="s">
        <v>97</v>
      </c>
      <c r="AD171" s="160"/>
      <c r="AE171" s="160"/>
      <c r="AF171" s="160"/>
      <c r="AG171" s="160"/>
      <c r="AH171" s="160"/>
      <c r="AI171" s="163" t="s">
        <v>59</v>
      </c>
      <c r="AJ171" s="170"/>
      <c r="AK171" s="170"/>
      <c r="AL171" s="170"/>
      <c r="AM171" s="170" t="s">
        <v>654</v>
      </c>
      <c r="AN171" s="170"/>
      <c r="AO171" s="170"/>
      <c r="AP171" s="170"/>
      <c r="AQ171" s="170"/>
      <c r="AR171" s="170"/>
      <c r="AS171" s="170"/>
      <c r="AT171" s="170" t="s">
        <v>418</v>
      </c>
      <c r="AU171" s="170"/>
      <c r="AV171" s="170"/>
      <c r="AW171" s="170"/>
      <c r="AX171" s="170"/>
      <c r="AY171" s="170"/>
      <c r="AZ171" s="169" t="s">
        <v>59</v>
      </c>
      <c r="BA171" s="160">
        <f>(COUNTIF(AJ171:AL171,"*OK*")*3) + (COUNTIF(AM171:AO171,"*OK*")*2) + COUNTIF(AP171:AR171,"*OK*")+COUNTIF(AZ171:AZ171,"SI")*0.5</f>
        <v>0</v>
      </c>
      <c r="BB171" s="160" t="str">
        <f>IF(BA171&lt;0.6,"Demasiado Riesgo",IF(BA171&lt;=5,"Riesgo Medio",IF(BA171&lt;=11,"Riesgo Bajo","Cliente Blindado")))</f>
        <v>Demasiado Riesgo</v>
      </c>
      <c r="BC171" s="160"/>
      <c r="BD171" s="160"/>
      <c r="BE171" s="160">
        <v>0</v>
      </c>
      <c r="BF171" s="160"/>
      <c r="BG171" s="160"/>
      <c r="BH171" s="160"/>
      <c r="BI171" s="160"/>
      <c r="BJ171" s="160"/>
      <c r="BK171" s="160"/>
      <c r="BL171" s="160"/>
      <c r="BM171" s="160"/>
      <c r="BN171" s="160"/>
      <c r="BO171" s="160"/>
      <c r="BP171" s="160"/>
      <c r="BQ171" s="160"/>
      <c r="BR171" s="160"/>
      <c r="BS171" s="160"/>
      <c r="BT171" s="160"/>
      <c r="BU171" s="160"/>
      <c r="BV171" s="160"/>
      <c r="BW171" s="160"/>
      <c r="BX171" s="160"/>
      <c r="BY171" s="160"/>
      <c r="BZ171" s="160"/>
      <c r="CA171" s="160">
        <f>COUNTIF(AJ171:AX171,"*OK*")</f>
        <v>1</v>
      </c>
      <c r="CB171" s="160"/>
      <c r="CC171" s="160">
        <f>COUNTIF(AJ171:AX171,"*OP*")</f>
        <v>1</v>
      </c>
    </row>
    <row r="172" spans="1:81" ht="15" hidden="1" customHeight="1">
      <c r="A172" s="241">
        <v>17740</v>
      </c>
      <c r="B172" s="160" t="s">
        <v>655</v>
      </c>
      <c r="C172" s="468">
        <f>T172</f>
        <v>350.77</v>
      </c>
      <c r="D172" s="160">
        <f>COUNTIF(AJ172:AX172,"*OK*")</f>
        <v>0</v>
      </c>
      <c r="E172" s="160"/>
      <c r="F172" s="182" t="s">
        <v>656</v>
      </c>
      <c r="G172" s="182"/>
      <c r="H172" s="168"/>
      <c r="I172" s="168"/>
      <c r="J172" s="182"/>
      <c r="K172" s="196" t="s">
        <v>68</v>
      </c>
      <c r="L172" s="182" t="s">
        <v>456</v>
      </c>
      <c r="M172" s="182"/>
      <c r="N172" s="182"/>
      <c r="O172" s="161">
        <v>350.05</v>
      </c>
      <c r="P172" s="161">
        <v>355.76</v>
      </c>
      <c r="Q172" s="161">
        <v>333.29</v>
      </c>
      <c r="R172" s="186">
        <v>338.08</v>
      </c>
      <c r="S172" s="510">
        <v>348.64269999999999</v>
      </c>
      <c r="T172" s="554">
        <v>350.77</v>
      </c>
      <c r="U172" s="164"/>
      <c r="V172" s="165">
        <v>300</v>
      </c>
      <c r="W172" s="187"/>
      <c r="X172" s="203" t="s">
        <v>253</v>
      </c>
      <c r="Y172" s="166" t="s">
        <v>141</v>
      </c>
      <c r="Z172" s="167" t="s">
        <v>657</v>
      </c>
      <c r="AA172" s="165" t="s">
        <v>59</v>
      </c>
      <c r="AB172" s="188" t="s">
        <v>65</v>
      </c>
      <c r="AC172" s="168" t="s">
        <v>84</v>
      </c>
      <c r="AD172" s="160"/>
      <c r="AE172" s="160"/>
      <c r="AF172" s="160"/>
      <c r="AG172" s="160"/>
      <c r="AH172" s="160"/>
      <c r="AI172" s="163" t="s">
        <v>59</v>
      </c>
      <c r="AJ172" s="170"/>
      <c r="AK172" s="170"/>
      <c r="AL172" s="170"/>
      <c r="AM172" s="170"/>
      <c r="AN172" s="170"/>
      <c r="AO172" s="170"/>
      <c r="AP172" s="170"/>
      <c r="AQ172" s="170"/>
      <c r="AR172" s="170"/>
      <c r="AS172" s="170"/>
      <c r="AT172" s="170"/>
      <c r="AU172" s="170"/>
      <c r="AV172" s="170"/>
      <c r="AW172" s="170"/>
      <c r="AX172" s="170"/>
      <c r="AY172" s="170"/>
      <c r="AZ172" s="169" t="s">
        <v>178</v>
      </c>
      <c r="BA172" s="160">
        <f>(COUNTIF(AJ172:AL172,"*OK*")*3) + (COUNTIF(AM172:AO172,"*OK*")*2) + COUNTIF(AP172:AR172,"*OK*")+COUNTIF(AZ172:AZ172,"SI")*0.5</f>
        <v>0</v>
      </c>
      <c r="BB172" s="160" t="str">
        <f>IF(BA172&lt;0.6,"Demasiado Riesgo",IF(BA172&lt;=5,"Riesgo Medio",IF(BA172&lt;=11,"Riesgo Bajo","Cliente Blindado")))</f>
        <v>Demasiado Riesgo</v>
      </c>
      <c r="BC172" s="160"/>
      <c r="BD172" s="160"/>
      <c r="BE172" s="160">
        <v>0</v>
      </c>
      <c r="BF172" s="160"/>
      <c r="BG172" s="160"/>
      <c r="BH172" s="160"/>
      <c r="BI172" s="160"/>
      <c r="BJ172" s="160"/>
      <c r="BK172" s="160"/>
      <c r="BL172" s="160"/>
      <c r="BM172" s="160"/>
      <c r="BN172" s="160"/>
      <c r="BO172" s="160"/>
      <c r="BP172" s="160"/>
      <c r="BQ172" s="160"/>
      <c r="BR172" s="160"/>
      <c r="BS172" s="160"/>
      <c r="BT172" s="160"/>
      <c r="BU172" s="160"/>
      <c r="BV172" s="160"/>
      <c r="BW172" s="160"/>
      <c r="BX172" s="160"/>
      <c r="BY172" s="160"/>
      <c r="BZ172" s="160"/>
      <c r="CA172" s="160">
        <f>COUNTIF(AJ172:AX172,"*OK*")</f>
        <v>0</v>
      </c>
      <c r="CB172" s="160"/>
      <c r="CC172" s="160">
        <f>COUNTIF(AJ172:AX172,"*OP*")</f>
        <v>0</v>
      </c>
    </row>
    <row r="173" spans="1:81" ht="15" hidden="1" customHeight="1">
      <c r="A173" s="241">
        <v>31808</v>
      </c>
      <c r="B173" s="160" t="s">
        <v>658</v>
      </c>
      <c r="C173" s="468">
        <f>T173</f>
        <v>374.66</v>
      </c>
      <c r="D173" s="160">
        <f>COUNTIF(AJ173:AX173,"*OK*")</f>
        <v>0</v>
      </c>
      <c r="E173" s="160"/>
      <c r="F173" s="246" t="s">
        <v>659</v>
      </c>
      <c r="G173" s="182"/>
      <c r="H173" s="168"/>
      <c r="I173" s="168"/>
      <c r="J173" s="182"/>
      <c r="K173" s="196" t="s">
        <v>68</v>
      </c>
      <c r="L173" s="182" t="s">
        <v>456</v>
      </c>
      <c r="M173" s="182"/>
      <c r="N173" s="182" t="s">
        <v>136</v>
      </c>
      <c r="O173" s="161">
        <v>288.32</v>
      </c>
      <c r="P173" s="161">
        <v>352.41</v>
      </c>
      <c r="Q173" s="161">
        <v>359.21</v>
      </c>
      <c r="R173" s="186">
        <v>235.12</v>
      </c>
      <c r="S173" s="510">
        <v>345.20760000000001</v>
      </c>
      <c r="T173" s="554">
        <v>374.66</v>
      </c>
      <c r="U173" s="164"/>
      <c r="V173" s="165">
        <v>200</v>
      </c>
      <c r="W173" s="187"/>
      <c r="X173" s="207" t="s">
        <v>70</v>
      </c>
      <c r="Y173" s="166" t="s">
        <v>162</v>
      </c>
      <c r="Z173" s="167" t="s">
        <v>660</v>
      </c>
      <c r="AA173" s="165" t="s">
        <v>222</v>
      </c>
      <c r="AB173" s="188" t="s">
        <v>104</v>
      </c>
      <c r="AC173" s="168" t="s">
        <v>84</v>
      </c>
      <c r="AD173" s="160"/>
      <c r="AE173" s="160"/>
      <c r="AF173" s="160"/>
      <c r="AG173" s="160"/>
      <c r="AH173" s="160"/>
      <c r="AI173" s="163" t="s">
        <v>127</v>
      </c>
      <c r="AJ173" s="170"/>
      <c r="AK173" s="170"/>
      <c r="AL173" s="170"/>
      <c r="AM173" s="170"/>
      <c r="AN173" s="170"/>
      <c r="AO173" s="170"/>
      <c r="AP173" s="170"/>
      <c r="AQ173" s="170"/>
      <c r="AR173" s="170"/>
      <c r="AS173" s="170"/>
      <c r="AT173" s="170"/>
      <c r="AU173" s="170"/>
      <c r="AV173" s="170"/>
      <c r="AW173" s="170"/>
      <c r="AX173" s="170"/>
      <c r="AY173" s="170"/>
      <c r="AZ173" s="169" t="s">
        <v>178</v>
      </c>
      <c r="BA173" s="160">
        <f>(COUNTIF(AJ173:AL173,"*OK*")*3) + (COUNTIF(AM173:AO173,"*OK*")*2) + COUNTIF(AP173:AR173,"*OK*")+COUNTIF(AZ173:AZ173,"SI")*0.5</f>
        <v>0</v>
      </c>
      <c r="BB173" s="160" t="str">
        <f>IF(BA173&lt;0.6,"Demasiado Riesgo",IF(BA173&lt;=5,"Riesgo Medio",IF(BA173&lt;=11,"Riesgo Bajo","Cliente Blindado")))</f>
        <v>Demasiado Riesgo</v>
      </c>
      <c r="BC173" s="160"/>
      <c r="BD173" s="160"/>
      <c r="BE173" s="160">
        <v>0</v>
      </c>
      <c r="BF173" s="160"/>
      <c r="BG173" s="160"/>
      <c r="BH173" s="160"/>
      <c r="BI173" s="160"/>
      <c r="BJ173" s="160"/>
      <c r="BK173" s="160"/>
      <c r="BL173" s="160"/>
      <c r="BM173" s="160"/>
      <c r="BN173" s="160"/>
      <c r="BO173" s="160"/>
      <c r="BP173" s="160"/>
      <c r="BQ173" s="160"/>
      <c r="BR173" s="160"/>
      <c r="BS173" s="160"/>
      <c r="BT173" s="160"/>
      <c r="BU173" s="160"/>
      <c r="BV173" s="160"/>
      <c r="BW173" s="160"/>
      <c r="BX173" s="160"/>
      <c r="BY173" s="160"/>
      <c r="BZ173" s="160"/>
      <c r="CA173" s="160">
        <f>COUNTIF(AJ173:AX173,"*OK*")</f>
        <v>0</v>
      </c>
      <c r="CB173" s="160"/>
      <c r="CC173" s="160">
        <f>COUNTIF(AJ173:AX173,"*OP*")</f>
        <v>0</v>
      </c>
    </row>
    <row r="174" spans="1:81" ht="15" hidden="1" customHeight="1">
      <c r="A174" s="240"/>
      <c r="B174" s="171"/>
      <c r="C174" s="468">
        <f>T174</f>
        <v>383.91</v>
      </c>
      <c r="D174" s="171">
        <f>COUNTIF(AJ174:AX174,"*OK*")</f>
        <v>0</v>
      </c>
      <c r="E174" s="171"/>
      <c r="F174" s="183" t="s">
        <v>661</v>
      </c>
      <c r="G174" s="183"/>
      <c r="H174" s="179"/>
      <c r="I174" s="179"/>
      <c r="J174" s="183"/>
      <c r="K174" s="198" t="s">
        <v>68</v>
      </c>
      <c r="L174" s="183" t="s">
        <v>456</v>
      </c>
      <c r="M174" s="183"/>
      <c r="N174" s="183"/>
      <c r="O174" s="172">
        <v>246.29</v>
      </c>
      <c r="P174" s="172">
        <v>400.19</v>
      </c>
      <c r="Q174" s="172">
        <v>334.99</v>
      </c>
      <c r="R174" s="193">
        <v>303.22000000000003</v>
      </c>
      <c r="S174" s="510">
        <v>355.81900000000002</v>
      </c>
      <c r="T174" s="553">
        <v>383.91</v>
      </c>
      <c r="U174" s="175"/>
      <c r="V174" s="176">
        <v>150</v>
      </c>
      <c r="W174" s="194"/>
      <c r="X174" s="211" t="s">
        <v>70</v>
      </c>
      <c r="Y174" s="177" t="s">
        <v>80</v>
      </c>
      <c r="Z174" s="178" t="s">
        <v>662</v>
      </c>
      <c r="AA174" s="176" t="s">
        <v>59</v>
      </c>
      <c r="AB174" s="195" t="s">
        <v>65</v>
      </c>
      <c r="AC174" s="179" t="s">
        <v>97</v>
      </c>
      <c r="AD174" s="171"/>
      <c r="AE174" s="171"/>
      <c r="AF174" s="171"/>
      <c r="AG174" s="171"/>
      <c r="AH174" s="171"/>
      <c r="AI174" s="174" t="s">
        <v>59</v>
      </c>
      <c r="AJ174" s="170"/>
      <c r="AK174" s="170"/>
      <c r="AL174" s="170" t="s">
        <v>621</v>
      </c>
      <c r="AM174" s="170"/>
      <c r="AN174" s="170"/>
      <c r="AO174" s="170"/>
      <c r="AP174" s="170"/>
      <c r="AQ174" s="170"/>
      <c r="AR174" s="170"/>
      <c r="AS174" s="170"/>
      <c r="AT174" s="170"/>
      <c r="AU174" s="170"/>
      <c r="AV174" s="170"/>
      <c r="AW174" s="170"/>
      <c r="AX174" s="170"/>
      <c r="AY174" s="170" t="s">
        <v>173</v>
      </c>
      <c r="AZ174" s="180" t="s">
        <v>59</v>
      </c>
      <c r="BA174" s="171">
        <f>(COUNTIF(AJ174:AL174,"*OK*")*3) + (COUNTIF(AM174:AO174,"*OK*")*2) + COUNTIF(AP174:AR174,"*OK*")+COUNTIF(AZ174:AZ174,"SI")*0.5</f>
        <v>0</v>
      </c>
      <c r="BB174" s="171" t="str">
        <f>IF(BA174&lt;0.6,"Demasiado Riesgo",IF(BA174&lt;=5,"Riesgo Medio",IF(BA174&lt;=11,"Riesgo Bajo","Cliente Blindado")))</f>
        <v>Demasiado Riesgo</v>
      </c>
      <c r="BC174" s="171"/>
      <c r="BD174" s="171"/>
      <c r="BE174" s="171">
        <v>0</v>
      </c>
      <c r="BF174" s="171"/>
      <c r="BG174" s="171"/>
      <c r="BH174" s="171"/>
      <c r="BI174" s="171"/>
      <c r="BJ174" s="171"/>
      <c r="BK174" s="171"/>
      <c r="BL174" s="171"/>
      <c r="BM174" s="171"/>
      <c r="BN174" s="171"/>
      <c r="BO174" s="171"/>
      <c r="BP174" s="171"/>
      <c r="BQ174" s="171"/>
      <c r="BR174" s="171"/>
      <c r="BS174" s="171"/>
      <c r="BT174" s="171"/>
      <c r="BU174" s="171"/>
      <c r="BV174" s="171"/>
      <c r="BW174" s="171"/>
      <c r="BX174" s="171"/>
      <c r="BY174" s="171"/>
      <c r="BZ174" s="171"/>
      <c r="CA174" s="171">
        <f>COUNTIF(AJ174:AX174,"*OK*")</f>
        <v>0</v>
      </c>
      <c r="CB174" s="171"/>
      <c r="CC174" s="171">
        <f>COUNTIF(AJ174:AX174,"*OP*")</f>
        <v>1</v>
      </c>
    </row>
    <row r="175" spans="1:81" ht="15" hidden="1" customHeight="1">
      <c r="A175" s="241">
        <v>23029</v>
      </c>
      <c r="B175" s="160" t="s">
        <v>663</v>
      </c>
      <c r="C175" s="468">
        <f>T175</f>
        <v>402.95</v>
      </c>
      <c r="D175" s="160">
        <f>COUNTIF(AJ175:AX175,"*OK*")</f>
        <v>0</v>
      </c>
      <c r="E175" s="160"/>
      <c r="F175" s="182" t="s">
        <v>527</v>
      </c>
      <c r="G175" s="182" t="s">
        <v>527</v>
      </c>
      <c r="H175" s="168"/>
      <c r="I175" s="168"/>
      <c r="J175" s="182"/>
      <c r="K175" s="196" t="s">
        <v>68</v>
      </c>
      <c r="L175" s="182" t="s">
        <v>456</v>
      </c>
      <c r="M175" s="182"/>
      <c r="N175" s="182"/>
      <c r="O175" s="161">
        <v>218.95</v>
      </c>
      <c r="P175" s="161">
        <v>210.33</v>
      </c>
      <c r="Q175" s="161">
        <v>200.44</v>
      </c>
      <c r="R175" s="186">
        <v>215.17</v>
      </c>
      <c r="S175" s="510">
        <v>228.8509</v>
      </c>
      <c r="T175" s="554">
        <v>402.95</v>
      </c>
      <c r="U175" s="164"/>
      <c r="V175" s="165">
        <v>100</v>
      </c>
      <c r="W175" s="187"/>
      <c r="X175" s="207" t="s">
        <v>70</v>
      </c>
      <c r="Y175" s="166" t="s">
        <v>80</v>
      </c>
      <c r="Z175" s="167" t="s">
        <v>664</v>
      </c>
      <c r="AA175" s="165" t="s">
        <v>59</v>
      </c>
      <c r="AB175" s="188" t="s">
        <v>65</v>
      </c>
      <c r="AC175" s="168" t="s">
        <v>97</v>
      </c>
      <c r="AD175" s="160"/>
      <c r="AE175" s="160"/>
      <c r="AF175" s="160"/>
      <c r="AG175" s="160"/>
      <c r="AH175" s="160"/>
      <c r="AI175" s="163" t="s">
        <v>127</v>
      </c>
      <c r="AJ175" s="170" t="s">
        <v>173</v>
      </c>
      <c r="AK175" s="170"/>
      <c r="AL175" s="170" t="s">
        <v>173</v>
      </c>
      <c r="AM175" s="170"/>
      <c r="AN175" s="170"/>
      <c r="AO175" s="170"/>
      <c r="AP175" s="170"/>
      <c r="AQ175" s="170"/>
      <c r="AR175" s="170"/>
      <c r="AS175" s="170"/>
      <c r="AT175" s="170"/>
      <c r="AU175" s="170"/>
      <c r="AV175" s="170"/>
      <c r="AW175" s="170"/>
      <c r="AX175" s="170"/>
      <c r="AY175" s="170"/>
      <c r="AZ175" s="169" t="s">
        <v>178</v>
      </c>
      <c r="BA175" s="160">
        <f>(COUNTIF(AJ175:AL175,"*OK*")*3) + (COUNTIF(AM175:AO175,"*OK*")*2) + COUNTIF(AP175:AR175,"*OK*")+COUNTIF(AZ175:AZ175,"SI")*0.5</f>
        <v>0</v>
      </c>
      <c r="BB175" s="160" t="str">
        <f>IF(BA175&lt;0.6,"Demasiado Riesgo",IF(BA175&lt;=5,"Riesgo Medio",IF(BA175&lt;=11,"Riesgo Bajo","Cliente Blindado")))</f>
        <v>Demasiado Riesgo</v>
      </c>
      <c r="BC175" s="160"/>
      <c r="BD175" s="160"/>
      <c r="BE175" s="160">
        <v>0</v>
      </c>
      <c r="BF175" s="160"/>
      <c r="BG175" s="160"/>
      <c r="BH175" s="160"/>
      <c r="BI175" s="160"/>
      <c r="BJ175" s="160"/>
      <c r="BK175" s="160"/>
      <c r="BL175" s="160"/>
      <c r="BM175" s="160"/>
      <c r="BN175" s="160"/>
      <c r="BO175" s="160"/>
      <c r="BP175" s="160"/>
      <c r="BQ175" s="160"/>
      <c r="BR175" s="160"/>
      <c r="BS175" s="160"/>
      <c r="BT175" s="160"/>
      <c r="BU175" s="160"/>
      <c r="BV175" s="160"/>
      <c r="BW175" s="160"/>
      <c r="BX175" s="160"/>
      <c r="BY175" s="160"/>
      <c r="BZ175" s="160"/>
      <c r="CA175" s="160">
        <f>COUNTIF(AJ175:AX175,"*OK*")</f>
        <v>0</v>
      </c>
      <c r="CB175" s="160"/>
      <c r="CC175" s="160">
        <f>COUNTIF(AJ175:AX175,"*OP*")</f>
        <v>2</v>
      </c>
    </row>
    <row r="176" spans="1:81" ht="15" hidden="1" customHeight="1">
      <c r="A176" s="240"/>
      <c r="B176" s="171"/>
      <c r="C176" s="468">
        <f>T176</f>
        <v>412.33</v>
      </c>
      <c r="D176" s="171">
        <f>COUNTIF(AJ176:AX176,"*OK*")</f>
        <v>0</v>
      </c>
      <c r="E176" s="171"/>
      <c r="F176" s="201" t="s">
        <v>665</v>
      </c>
      <c r="G176" s="183"/>
      <c r="H176" s="168" t="s">
        <v>666</v>
      </c>
      <c r="I176" s="168"/>
      <c r="J176" s="183"/>
      <c r="K176" s="198" t="s">
        <v>68</v>
      </c>
      <c r="L176" s="183" t="s">
        <v>456</v>
      </c>
      <c r="M176" s="183"/>
      <c r="N176" s="183"/>
      <c r="O176" s="172">
        <v>428.46</v>
      </c>
      <c r="P176" s="172">
        <v>433.98</v>
      </c>
      <c r="Q176" s="172">
        <v>439.9</v>
      </c>
      <c r="R176" s="193">
        <v>444.36</v>
      </c>
      <c r="S176" s="510">
        <v>440.50209999999998</v>
      </c>
      <c r="T176" s="551">
        <v>412.33</v>
      </c>
      <c r="U176" s="175"/>
      <c r="V176" s="176">
        <v>150</v>
      </c>
      <c r="W176" s="194"/>
      <c r="X176" s="211" t="s">
        <v>70</v>
      </c>
      <c r="Y176" s="177" t="s">
        <v>80</v>
      </c>
      <c r="Z176" s="178" t="s">
        <v>667</v>
      </c>
      <c r="AA176" s="176" t="s">
        <v>59</v>
      </c>
      <c r="AB176" s="195" t="s">
        <v>65</v>
      </c>
      <c r="AC176" s="179" t="s">
        <v>84</v>
      </c>
      <c r="AD176" s="171"/>
      <c r="AE176" s="171"/>
      <c r="AF176" s="171"/>
      <c r="AG176" s="171"/>
      <c r="AH176" s="171"/>
      <c r="AI176" s="174" t="s">
        <v>59</v>
      </c>
      <c r="AJ176" s="170"/>
      <c r="AK176" s="170"/>
      <c r="AL176" s="170"/>
      <c r="AM176" s="170"/>
      <c r="AN176" s="170"/>
      <c r="AO176" s="170"/>
      <c r="AP176" s="170"/>
      <c r="AQ176" s="170"/>
      <c r="AR176" s="170"/>
      <c r="AS176" s="170"/>
      <c r="AT176" s="170"/>
      <c r="AU176" s="170"/>
      <c r="AV176" s="170"/>
      <c r="AW176" s="170"/>
      <c r="AX176" s="170"/>
      <c r="AY176" s="170"/>
      <c r="AZ176" s="180" t="s">
        <v>59</v>
      </c>
      <c r="BA176" s="171">
        <f>(COUNTIF(AJ176:AL176,"*OK*")*3) + (COUNTIF(AM176:AO176,"*OK*")*2) + COUNTIF(AP176:AR176,"*OK*")+COUNTIF(AZ176:AZ176,"SI")*0.5</f>
        <v>0</v>
      </c>
      <c r="BB176" s="171" t="str">
        <f>IF(BA176&lt;0.6,"Demasiado Riesgo",IF(BA176&lt;=5,"Riesgo Medio",IF(BA176&lt;=11,"Riesgo Bajo","Cliente Blindado")))</f>
        <v>Demasiado Riesgo</v>
      </c>
      <c r="BC176" s="171"/>
      <c r="BD176" s="171"/>
      <c r="BE176" s="171">
        <v>0</v>
      </c>
      <c r="BF176" s="171"/>
      <c r="BG176" s="171"/>
      <c r="BH176" s="171"/>
      <c r="BI176" s="171"/>
      <c r="BJ176" s="171"/>
      <c r="BK176" s="171"/>
      <c r="BL176" s="171"/>
      <c r="BM176" s="171"/>
      <c r="BN176" s="171"/>
      <c r="BO176" s="171"/>
      <c r="BP176" s="171"/>
      <c r="BQ176" s="171"/>
      <c r="BR176" s="171"/>
      <c r="BS176" s="171"/>
      <c r="BT176" s="171"/>
      <c r="BU176" s="171"/>
      <c r="BV176" s="171"/>
      <c r="BW176" s="171"/>
      <c r="BX176" s="171"/>
      <c r="BY176" s="171"/>
      <c r="BZ176" s="171"/>
      <c r="CA176" s="171">
        <f>COUNTIF(AJ176:AX176,"*OK*")</f>
        <v>0</v>
      </c>
      <c r="CB176" s="171"/>
      <c r="CC176" s="171">
        <f>COUNTIF(AJ176:AX176,"*OP*")</f>
        <v>0</v>
      </c>
    </row>
    <row r="177" spans="1:81" ht="15" hidden="1" customHeight="1">
      <c r="A177" s="241">
        <v>6901</v>
      </c>
      <c r="B177" s="160"/>
      <c r="C177" s="468">
        <f>T177</f>
        <v>413.98</v>
      </c>
      <c r="D177" s="160">
        <f>COUNTIF(AJ177:AX177,"*OK*")</f>
        <v>0</v>
      </c>
      <c r="E177" s="160"/>
      <c r="F177" s="201" t="s">
        <v>668</v>
      </c>
      <c r="G177" s="182"/>
      <c r="H177" s="168" t="s">
        <v>669</v>
      </c>
      <c r="I177" s="168"/>
      <c r="J177" s="182"/>
      <c r="K177" s="196" t="s">
        <v>68</v>
      </c>
      <c r="L177" s="182" t="s">
        <v>456</v>
      </c>
      <c r="M177" s="182"/>
      <c r="N177" s="182"/>
      <c r="O177" s="161">
        <v>476.51</v>
      </c>
      <c r="P177" s="161">
        <v>495.91</v>
      </c>
      <c r="Q177" s="161">
        <v>453.7</v>
      </c>
      <c r="R177" s="186">
        <v>429.27</v>
      </c>
      <c r="S177" s="510">
        <v>441.64249999999998</v>
      </c>
      <c r="T177" s="550">
        <v>413.98</v>
      </c>
      <c r="U177" s="164"/>
      <c r="V177" s="165">
        <v>100</v>
      </c>
      <c r="W177" s="187"/>
      <c r="X177" s="207" t="s">
        <v>70</v>
      </c>
      <c r="Y177" s="166" t="s">
        <v>125</v>
      </c>
      <c r="Z177" s="167" t="s">
        <v>670</v>
      </c>
      <c r="AA177" s="165" t="s">
        <v>59</v>
      </c>
      <c r="AB177" s="188" t="s">
        <v>65</v>
      </c>
      <c r="AC177" s="168" t="s">
        <v>92</v>
      </c>
      <c r="AD177" s="160"/>
      <c r="AE177" s="160"/>
      <c r="AF177" s="160"/>
      <c r="AG177" s="160"/>
      <c r="AH177" s="160"/>
      <c r="AI177" s="163" t="s">
        <v>59</v>
      </c>
      <c r="AJ177" s="170"/>
      <c r="AK177" s="170"/>
      <c r="AL177" s="170"/>
      <c r="AM177" s="170"/>
      <c r="AN177" s="170"/>
      <c r="AO177" s="170"/>
      <c r="AP177" s="170"/>
      <c r="AQ177" s="170"/>
      <c r="AR177" s="170"/>
      <c r="AS177" s="170"/>
      <c r="AT177" s="170"/>
      <c r="AU177" s="170"/>
      <c r="AV177" s="170"/>
      <c r="AW177" s="170"/>
      <c r="AX177" s="170"/>
      <c r="AY177" s="170"/>
      <c r="AZ177" s="169" t="s">
        <v>178</v>
      </c>
      <c r="BA177" s="160">
        <f>(COUNTIF(AJ177:AL177,"*OK*")*3) + (COUNTIF(AM177:AO177,"*OK*")*2) + COUNTIF(AP177:AR177,"*OK*")+COUNTIF(AZ177:AZ177,"SI")*0.5</f>
        <v>0</v>
      </c>
      <c r="BB177" s="160" t="str">
        <f>IF(BA177&lt;0.6,"Demasiado Riesgo",IF(BA177&lt;=5,"Riesgo Medio",IF(BA177&lt;=11,"Riesgo Bajo","Cliente Blindado")))</f>
        <v>Demasiado Riesgo</v>
      </c>
      <c r="BC177" s="160"/>
      <c r="BD177" s="160"/>
      <c r="BE177" s="160">
        <v>0</v>
      </c>
      <c r="BF177" s="160"/>
      <c r="BG177" s="160"/>
      <c r="BH177" s="160"/>
      <c r="BI177" s="160"/>
      <c r="BJ177" s="160"/>
      <c r="BK177" s="160"/>
      <c r="BL177" s="160"/>
      <c r="BM177" s="160"/>
      <c r="BN177" s="160"/>
      <c r="BO177" s="160"/>
      <c r="BP177" s="160"/>
      <c r="BQ177" s="160"/>
      <c r="BR177" s="160"/>
      <c r="BS177" s="160"/>
      <c r="BT177" s="160"/>
      <c r="BU177" s="160"/>
      <c r="BV177" s="160"/>
      <c r="BW177" s="160"/>
      <c r="BX177" s="160"/>
      <c r="BY177" s="160"/>
      <c r="BZ177" s="160"/>
      <c r="CA177" s="160">
        <f>COUNTIF(AJ177:AX177,"*OK*")</f>
        <v>0</v>
      </c>
      <c r="CB177" s="160"/>
      <c r="CC177" s="160">
        <f>COUNTIF(AJ177:AX177,"*OP*")</f>
        <v>0</v>
      </c>
    </row>
    <row r="178" spans="1:81" ht="15" hidden="1" customHeight="1">
      <c r="A178" s="241">
        <v>21609</v>
      </c>
      <c r="B178" s="160" t="s">
        <v>671</v>
      </c>
      <c r="C178" s="468">
        <f>T178</f>
        <v>418.17</v>
      </c>
      <c r="D178" s="160">
        <f>COUNTIF(AJ178:AX178,"*OK*")</f>
        <v>0</v>
      </c>
      <c r="E178" s="160"/>
      <c r="F178" s="245" t="s">
        <v>672</v>
      </c>
      <c r="G178" s="182"/>
      <c r="H178" s="168" t="s">
        <v>673</v>
      </c>
      <c r="I178" s="168"/>
      <c r="J178" s="182"/>
      <c r="K178" s="196" t="s">
        <v>68</v>
      </c>
      <c r="L178" s="182" t="s">
        <v>456</v>
      </c>
      <c r="M178" s="182"/>
      <c r="N178" s="182"/>
      <c r="O178" s="161">
        <v>456.1</v>
      </c>
      <c r="P178" s="161">
        <v>430.04</v>
      </c>
      <c r="Q178" s="161">
        <v>481.26</v>
      </c>
      <c r="R178" s="186">
        <v>537.5</v>
      </c>
      <c r="S178" s="510">
        <v>468.0335</v>
      </c>
      <c r="T178" s="550">
        <v>418.17</v>
      </c>
      <c r="U178" s="164"/>
      <c r="V178" s="165">
        <v>150</v>
      </c>
      <c r="W178" s="187"/>
      <c r="X178" s="166" t="s">
        <v>247</v>
      </c>
      <c r="Y178" s="166" t="s">
        <v>162</v>
      </c>
      <c r="Z178" s="167" t="s">
        <v>674</v>
      </c>
      <c r="AA178" s="165" t="s">
        <v>162</v>
      </c>
      <c r="AB178" s="188" t="s">
        <v>240</v>
      </c>
      <c r="AC178" s="168" t="s">
        <v>572</v>
      </c>
      <c r="AD178" s="160"/>
      <c r="AE178" s="160"/>
      <c r="AF178" s="160"/>
      <c r="AG178" s="160"/>
      <c r="AH178" s="160"/>
      <c r="AI178" s="163" t="s">
        <v>127</v>
      </c>
      <c r="AJ178" s="170"/>
      <c r="AK178" s="170"/>
      <c r="AL178" s="170"/>
      <c r="AM178" s="170"/>
      <c r="AN178" s="170"/>
      <c r="AO178" s="170"/>
      <c r="AP178" s="170"/>
      <c r="AQ178" s="170"/>
      <c r="AR178" s="170"/>
      <c r="AS178" s="170"/>
      <c r="AT178" s="170"/>
      <c r="AU178" s="170"/>
      <c r="AV178" s="170"/>
      <c r="AW178" s="170"/>
      <c r="AX178" s="170"/>
      <c r="AY178" s="170" t="s">
        <v>173</v>
      </c>
      <c r="AZ178" s="169" t="s">
        <v>178</v>
      </c>
      <c r="BA178" s="160">
        <f>(COUNTIF(AJ178:AL178,"*OK*")*3) + (COUNTIF(AM178:AO178,"*OK*")*2) + COUNTIF(AP178:AR178,"*OK*")+COUNTIF(AZ178:AZ178,"SI")*0.5</f>
        <v>0</v>
      </c>
      <c r="BB178" s="160" t="str">
        <f>IF(BA178&lt;0.6,"Demasiado Riesgo",IF(BA178&lt;=5,"Riesgo Medio",IF(BA178&lt;=11,"Riesgo Bajo","Cliente Blindado")))</f>
        <v>Demasiado Riesgo</v>
      </c>
      <c r="BC178" s="160"/>
      <c r="BD178" s="160"/>
      <c r="BE178" s="160">
        <v>0</v>
      </c>
      <c r="BF178" s="160"/>
      <c r="BG178" s="160"/>
      <c r="BH178" s="160"/>
      <c r="BI178" s="160"/>
      <c r="BJ178" s="160"/>
      <c r="BK178" s="160"/>
      <c r="BL178" s="160"/>
      <c r="BM178" s="160"/>
      <c r="BN178" s="160"/>
      <c r="BO178" s="160"/>
      <c r="BP178" s="160"/>
      <c r="BQ178" s="160"/>
      <c r="BR178" s="160"/>
      <c r="BS178" s="160"/>
      <c r="BT178" s="160"/>
      <c r="BU178" s="160"/>
      <c r="BV178" s="160"/>
      <c r="BW178" s="160"/>
      <c r="BX178" s="160"/>
      <c r="BY178" s="160"/>
      <c r="BZ178" s="160"/>
      <c r="CA178" s="160">
        <f>COUNTIF(AJ178:AX178,"*OK*")</f>
        <v>0</v>
      </c>
      <c r="CB178" s="160"/>
      <c r="CC178" s="160">
        <f>COUNTIF(AJ178:AX178,"*OP*")</f>
        <v>0</v>
      </c>
    </row>
    <row r="179" spans="1:81" ht="15" hidden="1" customHeight="1">
      <c r="A179" s="240">
        <v>23369</v>
      </c>
      <c r="B179" s="171" t="s">
        <v>675</v>
      </c>
      <c r="C179" s="468">
        <f>T179</f>
        <v>422.53</v>
      </c>
      <c r="D179" s="171">
        <f>COUNTIF(AJ179:AX179,"*OK*")</f>
        <v>3</v>
      </c>
      <c r="E179" s="171"/>
      <c r="F179" s="183" t="s">
        <v>676</v>
      </c>
      <c r="G179" s="183"/>
      <c r="H179" s="179"/>
      <c r="I179" s="179"/>
      <c r="J179" s="183"/>
      <c r="K179" s="198" t="s">
        <v>68</v>
      </c>
      <c r="L179" s="183" t="s">
        <v>456</v>
      </c>
      <c r="M179" s="183"/>
      <c r="N179" s="183"/>
      <c r="O179" s="172">
        <v>187.28</v>
      </c>
      <c r="P179" s="172">
        <v>200.63</v>
      </c>
      <c r="Q179" s="172">
        <v>199.79</v>
      </c>
      <c r="R179" s="193">
        <v>172.96</v>
      </c>
      <c r="S179" s="510">
        <v>399.37150000000003</v>
      </c>
      <c r="T179" s="553">
        <v>422.53</v>
      </c>
      <c r="U179" s="175"/>
      <c r="V179" s="176">
        <v>200</v>
      </c>
      <c r="W179" s="194"/>
      <c r="X179" s="211" t="s">
        <v>70</v>
      </c>
      <c r="Y179" s="177" t="s">
        <v>80</v>
      </c>
      <c r="Z179" s="178" t="s">
        <v>677</v>
      </c>
      <c r="AA179" s="176" t="s">
        <v>59</v>
      </c>
      <c r="AB179" s="195" t="s">
        <v>159</v>
      </c>
      <c r="AC179" s="179" t="s">
        <v>97</v>
      </c>
      <c r="AD179" s="171"/>
      <c r="AE179" s="171"/>
      <c r="AF179" s="171"/>
      <c r="AG179" s="171"/>
      <c r="AH179" s="171"/>
      <c r="AI179" s="174" t="s">
        <v>127</v>
      </c>
      <c r="AJ179" s="170"/>
      <c r="AK179" s="170"/>
      <c r="AL179" s="170" t="s">
        <v>418</v>
      </c>
      <c r="AM179" s="170"/>
      <c r="AN179" s="170"/>
      <c r="AO179" s="170" t="s">
        <v>678</v>
      </c>
      <c r="AP179" s="170"/>
      <c r="AQ179" s="170" t="s">
        <v>418</v>
      </c>
      <c r="AR179" s="170"/>
      <c r="AS179" s="170"/>
      <c r="AT179" s="170"/>
      <c r="AU179" s="170"/>
      <c r="AV179" s="170"/>
      <c r="AW179" s="170"/>
      <c r="AX179" s="170"/>
      <c r="AY179" s="170" t="s">
        <v>679</v>
      </c>
      <c r="AZ179" s="180" t="s">
        <v>680</v>
      </c>
      <c r="BA179" s="171">
        <f>(COUNTIF(AJ179:AL179,"*OK*")*3) + (COUNTIF(AM179:AO179,"*OK*")*2) + COUNTIF(AP179:AR179,"*OK*")+COUNTIF(AZ179:AZ179,"SI")*0.5</f>
        <v>6</v>
      </c>
      <c r="BB179" s="171" t="str">
        <f>IF(BA179&lt;0.6,"Demasiado Riesgo",IF(BA179&lt;=5,"Riesgo Medio",IF(BA179&lt;=11,"Riesgo Bajo","Cliente Blindado")))</f>
        <v>Riesgo Bajo</v>
      </c>
      <c r="BC179" s="171"/>
      <c r="BD179" s="171"/>
      <c r="BE179" s="171">
        <v>0</v>
      </c>
      <c r="BF179" s="171"/>
      <c r="BG179" s="171"/>
      <c r="BH179" s="171"/>
      <c r="BI179" s="171"/>
      <c r="BJ179" s="171"/>
      <c r="BK179" s="171"/>
      <c r="BL179" s="171"/>
      <c r="BM179" s="171"/>
      <c r="BN179" s="171"/>
      <c r="BO179" s="171"/>
      <c r="BP179" s="171"/>
      <c r="BQ179" s="171"/>
      <c r="BR179" s="171"/>
      <c r="BS179" s="171"/>
      <c r="BT179" s="171"/>
      <c r="BU179" s="171"/>
      <c r="BV179" s="171"/>
      <c r="BW179" s="171"/>
      <c r="BX179" s="171"/>
      <c r="BY179" s="171"/>
      <c r="BZ179" s="171"/>
      <c r="CA179" s="171">
        <f>COUNTIF(AJ179:AX179,"*OK*")</f>
        <v>3</v>
      </c>
      <c r="CB179" s="171"/>
      <c r="CC179" s="171">
        <f>COUNTIF(AJ179:AX179,"*OP*")</f>
        <v>0</v>
      </c>
    </row>
    <row r="180" spans="1:81" ht="15" hidden="1" customHeight="1">
      <c r="A180" s="240">
        <v>21436</v>
      </c>
      <c r="B180" s="171" t="s">
        <v>681</v>
      </c>
      <c r="C180" s="468">
        <f>T180</f>
        <v>435.21</v>
      </c>
      <c r="D180" s="171">
        <f>COUNTIF(AJ180:AX180,"*OK*")</f>
        <v>0</v>
      </c>
      <c r="E180" s="171"/>
      <c r="F180" s="201" t="s">
        <v>682</v>
      </c>
      <c r="G180" s="183"/>
      <c r="H180" s="168" t="s">
        <v>683</v>
      </c>
      <c r="I180" s="168"/>
      <c r="J180" s="183"/>
      <c r="K180" s="198" t="s">
        <v>68</v>
      </c>
      <c r="L180" s="183" t="s">
        <v>456</v>
      </c>
      <c r="M180" s="183"/>
      <c r="N180" s="183"/>
      <c r="O180" s="172">
        <v>412.04</v>
      </c>
      <c r="P180" s="172">
        <v>410.1</v>
      </c>
      <c r="Q180" s="172">
        <v>392.31</v>
      </c>
      <c r="R180" s="193">
        <v>424.95</v>
      </c>
      <c r="S180" s="510">
        <v>432.22989999999999</v>
      </c>
      <c r="T180" s="553">
        <v>435.21</v>
      </c>
      <c r="U180" s="175"/>
      <c r="V180" s="176">
        <v>150</v>
      </c>
      <c r="W180" s="194"/>
      <c r="X180" s="177" t="s">
        <v>100</v>
      </c>
      <c r="Y180" s="177" t="s">
        <v>125</v>
      </c>
      <c r="Z180" s="178" t="s">
        <v>684</v>
      </c>
      <c r="AA180" s="176" t="s">
        <v>59</v>
      </c>
      <c r="AB180" s="195" t="s">
        <v>194</v>
      </c>
      <c r="AC180" s="179" t="s">
        <v>92</v>
      </c>
      <c r="AD180" s="171"/>
      <c r="AE180" s="171"/>
      <c r="AF180" s="171"/>
      <c r="AG180" s="171"/>
      <c r="AH180" s="171"/>
      <c r="AI180" s="174" t="s">
        <v>127</v>
      </c>
      <c r="AJ180" s="170"/>
      <c r="AK180" s="170"/>
      <c r="AL180" s="170"/>
      <c r="AM180" s="170"/>
      <c r="AN180" s="170"/>
      <c r="AO180" s="170"/>
      <c r="AP180" s="170"/>
      <c r="AQ180" s="170"/>
      <c r="AR180" s="170"/>
      <c r="AS180" s="170"/>
      <c r="AT180" s="170"/>
      <c r="AU180" s="170"/>
      <c r="AV180" s="170"/>
      <c r="AW180" s="170"/>
      <c r="AX180" s="170"/>
      <c r="AY180" s="170"/>
      <c r="AZ180" s="180" t="s">
        <v>178</v>
      </c>
      <c r="BA180" s="171">
        <f>(COUNTIF(AJ180:AL180,"*OK*")*3) + (COUNTIF(AM180:AO180,"*OK*")*2) + COUNTIF(AP180:AR180,"*OK*")+COUNTIF(AZ180:AZ180,"SI")*0.5</f>
        <v>0</v>
      </c>
      <c r="BB180" s="171" t="str">
        <f>IF(BA180&lt;0.6,"Demasiado Riesgo",IF(BA180&lt;=5,"Riesgo Medio",IF(BA180&lt;=11,"Riesgo Bajo","Cliente Blindado")))</f>
        <v>Demasiado Riesgo</v>
      </c>
      <c r="BC180" s="171"/>
      <c r="BD180" s="171"/>
      <c r="BE180" s="171">
        <v>0</v>
      </c>
      <c r="BF180" s="171"/>
      <c r="BG180" s="171"/>
      <c r="BH180" s="171"/>
      <c r="BI180" s="171"/>
      <c r="BJ180" s="171"/>
      <c r="BK180" s="171"/>
      <c r="BL180" s="171"/>
      <c r="BM180" s="171"/>
      <c r="BN180" s="171"/>
      <c r="BO180" s="171"/>
      <c r="BP180" s="171"/>
      <c r="BQ180" s="171"/>
      <c r="BR180" s="171"/>
      <c r="BS180" s="171"/>
      <c r="BT180" s="171"/>
      <c r="BU180" s="171"/>
      <c r="BV180" s="171"/>
      <c r="BW180" s="171"/>
      <c r="BX180" s="171"/>
      <c r="BY180" s="171"/>
      <c r="BZ180" s="171"/>
      <c r="CA180" s="171">
        <f>COUNTIF(AJ180:AX180,"*OK*")</f>
        <v>0</v>
      </c>
      <c r="CB180" s="171"/>
      <c r="CC180" s="171">
        <f>COUNTIF(AJ180:AX180,"*OP*")</f>
        <v>0</v>
      </c>
    </row>
    <row r="181" spans="1:81" ht="15" hidden="1" customHeight="1">
      <c r="A181" s="240">
        <v>24925</v>
      </c>
      <c r="B181" s="171" t="s">
        <v>685</v>
      </c>
      <c r="C181" s="468">
        <f>T181</f>
        <v>443.25</v>
      </c>
      <c r="D181" s="171">
        <f>COUNTIF(AJ181:AX181,"*OK*")</f>
        <v>0</v>
      </c>
      <c r="E181" s="171"/>
      <c r="F181" s="201" t="s">
        <v>686</v>
      </c>
      <c r="G181" s="183"/>
      <c r="H181" s="168" t="s">
        <v>381</v>
      </c>
      <c r="I181" s="168"/>
      <c r="J181" s="183"/>
      <c r="K181" s="198" t="s">
        <v>68</v>
      </c>
      <c r="L181" s="183" t="s">
        <v>456</v>
      </c>
      <c r="M181" s="183"/>
      <c r="N181" s="183"/>
      <c r="O181" s="172">
        <v>320.44</v>
      </c>
      <c r="P181" s="172">
        <v>320.14</v>
      </c>
      <c r="Q181" s="172">
        <v>321.32</v>
      </c>
      <c r="R181" s="193">
        <v>361.81</v>
      </c>
      <c r="S181" s="510">
        <v>448.16719999999998</v>
      </c>
      <c r="T181" s="551">
        <v>443.25</v>
      </c>
      <c r="U181" s="175"/>
      <c r="V181" s="176">
        <v>100</v>
      </c>
      <c r="W181" s="194"/>
      <c r="X181" s="209" t="s">
        <v>70</v>
      </c>
      <c r="Y181" s="177" t="s">
        <v>80</v>
      </c>
      <c r="Z181" s="178" t="s">
        <v>687</v>
      </c>
      <c r="AA181" s="176" t="s">
        <v>59</v>
      </c>
      <c r="AB181" s="195" t="s">
        <v>104</v>
      </c>
      <c r="AC181" s="179" t="s">
        <v>92</v>
      </c>
      <c r="AD181" s="171"/>
      <c r="AE181" s="171"/>
      <c r="AF181" s="171"/>
      <c r="AG181" s="171"/>
      <c r="AH181" s="171"/>
      <c r="AI181" s="174" t="s">
        <v>127</v>
      </c>
      <c r="AJ181" s="170"/>
      <c r="AK181" s="170"/>
      <c r="AL181" s="189" t="s">
        <v>173</v>
      </c>
      <c r="AM181" s="170"/>
      <c r="AN181" s="170"/>
      <c r="AO181" s="170"/>
      <c r="AP181" s="170"/>
      <c r="AQ181" s="170"/>
      <c r="AR181" s="170"/>
      <c r="AS181" s="170"/>
      <c r="AT181" s="170"/>
      <c r="AU181" s="170"/>
      <c r="AV181" s="170"/>
      <c r="AW181" s="170"/>
      <c r="AX181" s="170"/>
      <c r="AY181" s="170"/>
      <c r="AZ181" s="180" t="s">
        <v>178</v>
      </c>
      <c r="BA181" s="171">
        <f>(COUNTIF(AJ181:AL181,"*OK*")*3) + (COUNTIF(AM181:AO181,"*OK*")*2) + COUNTIF(AP181:AR181,"*OK*")+COUNTIF(AZ181:AZ181,"SI")*0.5</f>
        <v>0</v>
      </c>
      <c r="BB181" s="171" t="str">
        <f>IF(BA181&lt;0.6,"Demasiado Riesgo",IF(BA181&lt;=5,"Riesgo Medio",IF(BA181&lt;=11,"Riesgo Bajo","Cliente Blindado")))</f>
        <v>Demasiado Riesgo</v>
      </c>
      <c r="BC181" s="171"/>
      <c r="BD181" s="171"/>
      <c r="BE181" s="171">
        <v>0</v>
      </c>
      <c r="BF181" s="171"/>
      <c r="BG181" s="171"/>
      <c r="BH181" s="171"/>
      <c r="BI181" s="171"/>
      <c r="BJ181" s="171"/>
      <c r="BK181" s="171"/>
      <c r="BL181" s="171"/>
      <c r="BM181" s="171"/>
      <c r="BN181" s="171"/>
      <c r="BO181" s="171"/>
      <c r="BP181" s="171"/>
      <c r="BQ181" s="171"/>
      <c r="BR181" s="171"/>
      <c r="BS181" s="171"/>
      <c r="BT181" s="171"/>
      <c r="BU181" s="171"/>
      <c r="BV181" s="171"/>
      <c r="BW181" s="171"/>
      <c r="BX181" s="171"/>
      <c r="BY181" s="171"/>
      <c r="BZ181" s="171"/>
      <c r="CA181" s="171">
        <f>COUNTIF(AJ181:AX181,"*OK*")</f>
        <v>0</v>
      </c>
      <c r="CB181" s="171"/>
      <c r="CC181" s="171">
        <f>COUNTIF(AJ181:AX181,"*OP*")</f>
        <v>1</v>
      </c>
    </row>
    <row r="182" spans="1:81" ht="15" hidden="1" customHeight="1">
      <c r="A182" s="241">
        <v>31204</v>
      </c>
      <c r="B182" s="160" t="s">
        <v>688</v>
      </c>
      <c r="C182" s="468">
        <f>T182</f>
        <v>445.49</v>
      </c>
      <c r="D182" s="160">
        <f>COUNTIF(AJ182:AX182,"*OK*")</f>
        <v>1</v>
      </c>
      <c r="E182" s="160"/>
      <c r="F182" s="245" t="s">
        <v>689</v>
      </c>
      <c r="G182" s="182"/>
      <c r="H182" s="168" t="s">
        <v>690</v>
      </c>
      <c r="I182" s="168"/>
      <c r="J182" s="182"/>
      <c r="K182" s="196" t="s">
        <v>68</v>
      </c>
      <c r="L182" s="182" t="s">
        <v>456</v>
      </c>
      <c r="M182" s="182"/>
      <c r="N182" s="182"/>
      <c r="O182" s="161">
        <v>443.77</v>
      </c>
      <c r="P182" s="161">
        <v>415.12</v>
      </c>
      <c r="Q182" s="161">
        <v>400.99</v>
      </c>
      <c r="R182" s="186">
        <v>422.23</v>
      </c>
      <c r="S182" s="510">
        <v>447.61430000000001</v>
      </c>
      <c r="T182" s="550">
        <v>445.49</v>
      </c>
      <c r="U182" s="164"/>
      <c r="V182" s="165">
        <v>200</v>
      </c>
      <c r="W182" s="187"/>
      <c r="X182" s="208" t="s">
        <v>70</v>
      </c>
      <c r="Y182" s="166" t="s">
        <v>108</v>
      </c>
      <c r="Z182" s="167" t="s">
        <v>691</v>
      </c>
      <c r="AA182" s="165" t="s">
        <v>108</v>
      </c>
      <c r="AB182" s="188" t="s">
        <v>138</v>
      </c>
      <c r="AC182" s="168" t="s">
        <v>97</v>
      </c>
      <c r="AD182" s="160"/>
      <c r="AE182" s="160"/>
      <c r="AF182" s="160"/>
      <c r="AG182" s="160"/>
      <c r="AH182" s="160"/>
      <c r="AI182" s="163" t="s">
        <v>59</v>
      </c>
      <c r="AJ182" s="170"/>
      <c r="AK182" s="170"/>
      <c r="AL182" s="170"/>
      <c r="AM182" s="170" t="s">
        <v>654</v>
      </c>
      <c r="AN182" s="170"/>
      <c r="AO182" s="226" t="s">
        <v>418</v>
      </c>
      <c r="AP182" s="170"/>
      <c r="AQ182" s="170"/>
      <c r="AR182" s="170"/>
      <c r="AS182" s="170"/>
      <c r="AT182" s="170"/>
      <c r="AU182" s="170"/>
      <c r="AV182" s="170"/>
      <c r="AW182" s="170"/>
      <c r="AX182" s="170"/>
      <c r="AY182" s="170"/>
      <c r="AZ182" s="169" t="s">
        <v>178</v>
      </c>
      <c r="BA182" s="160">
        <f>(COUNTIF(AJ182:AL182,"*OK*")*3) + (COUNTIF(AM182:AO182,"*OK*")*2) + COUNTIF(AP182:AR182,"*OK*")+COUNTIF(AZ182:AZ182,"SI")*0.5</f>
        <v>2</v>
      </c>
      <c r="BB182" s="160" t="str">
        <f>IF(BA182&lt;0.6,"Demasiado Riesgo",IF(BA182&lt;=5,"Riesgo Medio",IF(BA182&lt;=11,"Riesgo Bajo","Cliente Blindado")))</f>
        <v>Riesgo Medio</v>
      </c>
      <c r="BC182" s="160"/>
      <c r="BD182" s="160"/>
      <c r="BE182" s="160">
        <v>0</v>
      </c>
      <c r="BF182" s="160"/>
      <c r="BG182" s="160"/>
      <c r="BH182" s="160"/>
      <c r="BI182" s="160"/>
      <c r="BJ182" s="160"/>
      <c r="BK182" s="160"/>
      <c r="BL182" s="160"/>
      <c r="BM182" s="160"/>
      <c r="BN182" s="160"/>
      <c r="BO182" s="160"/>
      <c r="BP182" s="160"/>
      <c r="BQ182" s="160"/>
      <c r="BR182" s="160"/>
      <c r="BS182" s="160"/>
      <c r="BT182" s="160"/>
      <c r="BU182" s="160"/>
      <c r="BV182" s="160"/>
      <c r="BW182" s="160"/>
      <c r="BX182" s="160"/>
      <c r="BY182" s="160"/>
      <c r="BZ182" s="160"/>
      <c r="CA182" s="160">
        <f>COUNTIF(AJ182:AX182,"*OK*")</f>
        <v>1</v>
      </c>
      <c r="CB182" s="160"/>
      <c r="CC182" s="160">
        <f>COUNTIF(AJ182:AX182,"*OP*")</f>
        <v>1</v>
      </c>
    </row>
    <row r="183" spans="1:81" ht="15" hidden="1" customHeight="1">
      <c r="A183" s="240"/>
      <c r="B183" s="171"/>
      <c r="C183" s="468">
        <f>T183</f>
        <v>547.82000000000005</v>
      </c>
      <c r="D183" s="171">
        <f>COUNTIF(AJ183:AX183,"*OK*")</f>
        <v>0</v>
      </c>
      <c r="E183" s="171"/>
      <c r="F183" s="245" t="s">
        <v>692</v>
      </c>
      <c r="G183" s="183"/>
      <c r="H183" s="179" t="s">
        <v>693</v>
      </c>
      <c r="I183" s="179"/>
      <c r="J183" s="183"/>
      <c r="K183" s="202" t="s">
        <v>79</v>
      </c>
      <c r="L183" s="183" t="s">
        <v>456</v>
      </c>
      <c r="M183" s="183"/>
      <c r="N183" s="183"/>
      <c r="O183" s="172">
        <v>539.52</v>
      </c>
      <c r="P183" s="172">
        <v>536.27</v>
      </c>
      <c r="Q183" s="172">
        <v>521.59</v>
      </c>
      <c r="R183" s="193">
        <v>538.38</v>
      </c>
      <c r="S183" s="510">
        <v>551.13610000000006</v>
      </c>
      <c r="T183" s="551">
        <v>547.82000000000005</v>
      </c>
      <c r="U183" s="175"/>
      <c r="V183" s="176">
        <v>200</v>
      </c>
      <c r="W183" s="194"/>
      <c r="X183" s="177" t="s">
        <v>70</v>
      </c>
      <c r="Y183" s="177" t="s">
        <v>243</v>
      </c>
      <c r="Z183" s="178" t="s">
        <v>694</v>
      </c>
      <c r="AA183" s="176" t="s">
        <v>59</v>
      </c>
      <c r="AB183" s="195" t="s">
        <v>65</v>
      </c>
      <c r="AC183" s="179" t="s">
        <v>97</v>
      </c>
      <c r="AD183" s="171"/>
      <c r="AE183" s="171"/>
      <c r="AF183" s="171"/>
      <c r="AG183" s="171"/>
      <c r="AH183" s="171"/>
      <c r="AI183" s="174" t="s">
        <v>59</v>
      </c>
      <c r="AJ183" s="170" t="s">
        <v>173</v>
      </c>
      <c r="AK183" s="170"/>
      <c r="AL183" s="170"/>
      <c r="AM183" s="170" t="s">
        <v>654</v>
      </c>
      <c r="AN183" s="170"/>
      <c r="AO183" s="170"/>
      <c r="AP183" s="170"/>
      <c r="AQ183" s="170"/>
      <c r="AR183" s="170"/>
      <c r="AS183" s="170"/>
      <c r="AT183" s="170"/>
      <c r="AU183" s="170"/>
      <c r="AV183" s="170"/>
      <c r="AW183" s="170"/>
      <c r="AX183" s="170"/>
      <c r="AY183" s="170"/>
      <c r="AZ183" s="180" t="s">
        <v>59</v>
      </c>
      <c r="BA183" s="171">
        <f>(COUNTIF(AJ183:AL183,"*OK*")*3) + (COUNTIF(AM183:AO183,"*OK*")*2) + COUNTIF(AP183:AR183,"*OK*")+COUNTIF(AZ183:AZ183,"SI")*0.5</f>
        <v>0</v>
      </c>
      <c r="BB183" s="171" t="str">
        <f>IF(BA183&lt;0.6,"Demasiado Riesgo",IF(BA183&lt;=5,"Riesgo Medio",IF(BA183&lt;=11,"Riesgo Bajo","Cliente Blindado")))</f>
        <v>Demasiado Riesgo</v>
      </c>
      <c r="BC183" s="171"/>
      <c r="BD183" s="171"/>
      <c r="BE183" s="171">
        <v>0</v>
      </c>
      <c r="BF183" s="171"/>
      <c r="BG183" s="171"/>
      <c r="BH183" s="171"/>
      <c r="BI183" s="171"/>
      <c r="BJ183" s="171"/>
      <c r="BK183" s="171"/>
      <c r="BL183" s="171"/>
      <c r="BM183" s="171"/>
      <c r="BN183" s="171"/>
      <c r="BO183" s="171"/>
      <c r="BP183" s="171"/>
      <c r="BQ183" s="171"/>
      <c r="BR183" s="171"/>
      <c r="BS183" s="171"/>
      <c r="BT183" s="171"/>
      <c r="BU183" s="171"/>
      <c r="BV183" s="171"/>
      <c r="BW183" s="171"/>
      <c r="BX183" s="171"/>
      <c r="BY183" s="171"/>
      <c r="BZ183" s="171"/>
      <c r="CA183" s="171">
        <f>COUNTIF(AJ183:AX183,"*OK*")</f>
        <v>0</v>
      </c>
      <c r="CB183" s="171"/>
      <c r="CC183" s="171">
        <f>COUNTIF(AJ183:AX183,"*OP*")</f>
        <v>2</v>
      </c>
    </row>
    <row r="184" spans="1:81" ht="15" hidden="1" customHeight="1">
      <c r="A184" s="241">
        <v>24591</v>
      </c>
      <c r="B184" s="160" t="s">
        <v>695</v>
      </c>
      <c r="C184" s="468">
        <f>T184</f>
        <v>574.73</v>
      </c>
      <c r="D184" s="160">
        <f>COUNTIF(AJ184:AX184,"*OK*")</f>
        <v>0</v>
      </c>
      <c r="E184" s="160"/>
      <c r="F184" s="197" t="s">
        <v>696</v>
      </c>
      <c r="G184" s="182"/>
      <c r="H184" s="168" t="s">
        <v>697</v>
      </c>
      <c r="I184" s="168"/>
      <c r="J184" s="182"/>
      <c r="K184" s="225" t="s">
        <v>79</v>
      </c>
      <c r="L184" s="182" t="s">
        <v>456</v>
      </c>
      <c r="M184" s="182"/>
      <c r="N184" s="182"/>
      <c r="O184" s="161">
        <v>587.47</v>
      </c>
      <c r="P184" s="161">
        <v>546.73</v>
      </c>
      <c r="Q184" s="161">
        <v>555.5</v>
      </c>
      <c r="R184" s="186">
        <v>569.42999999999995</v>
      </c>
      <c r="S184" s="510">
        <v>585.10659999999996</v>
      </c>
      <c r="T184" s="550">
        <v>574.73</v>
      </c>
      <c r="U184" s="164"/>
      <c r="V184" s="165">
        <v>200</v>
      </c>
      <c r="W184" s="187"/>
      <c r="X184" s="203" t="s">
        <v>253</v>
      </c>
      <c r="Y184" s="166" t="s">
        <v>363</v>
      </c>
      <c r="Z184" s="167" t="s">
        <v>698</v>
      </c>
      <c r="AA184" s="165" t="s">
        <v>59</v>
      </c>
      <c r="AB184" s="188" t="s">
        <v>65</v>
      </c>
      <c r="AC184" s="168" t="s">
        <v>97</v>
      </c>
      <c r="AD184" s="160"/>
      <c r="AE184" s="160"/>
      <c r="AF184" s="160"/>
      <c r="AG184" s="160"/>
      <c r="AH184" s="160"/>
      <c r="AI184" s="163" t="s">
        <v>59</v>
      </c>
      <c r="AJ184" s="170"/>
      <c r="AK184" s="170"/>
      <c r="AL184" s="170"/>
      <c r="AM184" s="226" t="s">
        <v>613</v>
      </c>
      <c r="AN184" s="170"/>
      <c r="AO184" s="170"/>
      <c r="AP184" s="170"/>
      <c r="AQ184" s="170"/>
      <c r="AR184" s="170"/>
      <c r="AS184" s="170"/>
      <c r="AT184" s="170"/>
      <c r="AU184" s="170"/>
      <c r="AV184" s="170"/>
      <c r="AW184" s="170"/>
      <c r="AX184" s="170"/>
      <c r="AY184" s="170"/>
      <c r="AZ184" s="169" t="s">
        <v>59</v>
      </c>
      <c r="BA184" s="160">
        <f>(COUNTIF(AJ184:AL184,"*OK*")*3) + (COUNTIF(AM184:AO184,"*OK*")*2) + COUNTIF(AP184:AR184,"*OK*")+COUNTIF(AZ184:AZ184,"SI")*0.5</f>
        <v>0</v>
      </c>
      <c r="BB184" s="160" t="str">
        <f>IF(BA184&lt;0.6,"Demasiado Riesgo",IF(BA184&lt;=5,"Riesgo Medio",IF(BA184&lt;=11,"Riesgo Bajo","Cliente Blindado")))</f>
        <v>Demasiado Riesgo</v>
      </c>
      <c r="BC184" s="160"/>
      <c r="BD184" s="160"/>
      <c r="BE184" s="160">
        <v>0</v>
      </c>
      <c r="BF184" s="160"/>
      <c r="BG184" s="160"/>
      <c r="BH184" s="160"/>
      <c r="BI184" s="160"/>
      <c r="BJ184" s="160"/>
      <c r="BK184" s="160"/>
      <c r="BL184" s="160"/>
      <c r="BM184" s="160"/>
      <c r="BN184" s="160"/>
      <c r="BO184" s="160"/>
      <c r="BP184" s="160"/>
      <c r="BQ184" s="160"/>
      <c r="BR184" s="160"/>
      <c r="BS184" s="160"/>
      <c r="BT184" s="160"/>
      <c r="BU184" s="160"/>
      <c r="BV184" s="160"/>
      <c r="BW184" s="160"/>
      <c r="BX184" s="160"/>
      <c r="BY184" s="160"/>
      <c r="BZ184" s="160"/>
      <c r="CA184" s="160">
        <f>COUNTIF(AJ184:AX184,"*OK*")</f>
        <v>0</v>
      </c>
      <c r="CB184" s="160"/>
      <c r="CC184" s="160">
        <f>COUNTIF(AJ184:AX184,"*OP*")</f>
        <v>1</v>
      </c>
    </row>
    <row r="185" spans="1:81" ht="15" hidden="1" customHeight="1">
      <c r="A185" s="240">
        <v>27187</v>
      </c>
      <c r="B185" s="171"/>
      <c r="C185" s="468">
        <f>T185</f>
        <v>828.35</v>
      </c>
      <c r="D185" s="171">
        <f>COUNTIF(AJ185:AX185,"*OK*")</f>
        <v>2</v>
      </c>
      <c r="E185" s="171"/>
      <c r="F185" s="258" t="s">
        <v>699</v>
      </c>
      <c r="G185" s="183"/>
      <c r="H185" s="179"/>
      <c r="I185" s="179"/>
      <c r="J185" s="183"/>
      <c r="K185" s="349" t="s">
        <v>79</v>
      </c>
      <c r="L185" s="183" t="s">
        <v>456</v>
      </c>
      <c r="M185" s="183"/>
      <c r="N185" s="183"/>
      <c r="O185" s="172">
        <v>141.46</v>
      </c>
      <c r="P185" s="172">
        <v>141.33000000000001</v>
      </c>
      <c r="Q185" s="172">
        <v>134.68</v>
      </c>
      <c r="R185" s="193">
        <v>817.67</v>
      </c>
      <c r="S185" s="510">
        <v>844.79459999999995</v>
      </c>
      <c r="T185" s="551">
        <v>828.35</v>
      </c>
      <c r="U185" s="175"/>
      <c r="V185" s="176">
        <v>200</v>
      </c>
      <c r="W185" s="194"/>
      <c r="X185" s="209" t="s">
        <v>70</v>
      </c>
      <c r="Y185" s="177" t="s">
        <v>80</v>
      </c>
      <c r="Z185" s="178" t="s">
        <v>700</v>
      </c>
      <c r="AA185" s="176" t="s">
        <v>59</v>
      </c>
      <c r="AB185" s="195" t="s">
        <v>65</v>
      </c>
      <c r="AC185" s="179" t="s">
        <v>97</v>
      </c>
      <c r="AD185" s="171"/>
      <c r="AE185" s="171"/>
      <c r="AF185" s="171"/>
      <c r="AG185" s="171"/>
      <c r="AH185" s="171"/>
      <c r="AI185" s="174" t="s">
        <v>59</v>
      </c>
      <c r="AJ185" s="170" t="s">
        <v>418</v>
      </c>
      <c r="AK185" s="170"/>
      <c r="AL185" s="170" t="s">
        <v>418</v>
      </c>
      <c r="AM185" s="170"/>
      <c r="AN185" s="170"/>
      <c r="AO185" s="170"/>
      <c r="AP185" s="170"/>
      <c r="AQ185" s="170"/>
      <c r="AR185" s="170"/>
      <c r="AS185" s="170"/>
      <c r="AT185" s="170"/>
      <c r="AU185" s="170"/>
      <c r="AV185" s="170"/>
      <c r="AW185" s="170"/>
      <c r="AX185" s="170"/>
      <c r="AY185" s="170" t="s">
        <v>701</v>
      </c>
      <c r="AZ185" s="180" t="s">
        <v>59</v>
      </c>
      <c r="BA185" s="171">
        <f>(COUNTIF(AJ185:AL185,"*OK*")*3) + (COUNTIF(AM185:AO185,"*OK*")*2) + COUNTIF(AP185:AR185,"*OK*")+COUNTIF(AZ185:AZ185,"SI")*0.5</f>
        <v>6</v>
      </c>
      <c r="BB185" s="171" t="str">
        <f>IF(BA185&lt;0.6,"Demasiado Riesgo",IF(BA185&lt;=5,"Riesgo Medio",IF(BA185&lt;=11,"Riesgo Bajo","Cliente Blindado")))</f>
        <v>Riesgo Bajo</v>
      </c>
      <c r="BC185" s="171"/>
      <c r="BD185" s="171"/>
      <c r="BE185" s="171">
        <v>0</v>
      </c>
      <c r="BF185" s="171"/>
      <c r="BG185" s="171"/>
      <c r="BH185" s="171"/>
      <c r="BI185" s="171"/>
      <c r="BJ185" s="171"/>
      <c r="BK185" s="171"/>
      <c r="BL185" s="171"/>
      <c r="BM185" s="171"/>
      <c r="BN185" s="171"/>
      <c r="BO185" s="171"/>
      <c r="BP185" s="171"/>
      <c r="BQ185" s="171"/>
      <c r="BR185" s="171"/>
      <c r="BS185" s="171"/>
      <c r="BT185" s="171"/>
      <c r="BU185" s="171"/>
      <c r="BV185" s="171"/>
      <c r="BW185" s="171"/>
      <c r="BX185" s="171"/>
      <c r="BY185" s="171"/>
      <c r="BZ185" s="171"/>
      <c r="CA185" s="171">
        <f>COUNTIF(AJ185:AX185,"*OK*")</f>
        <v>2</v>
      </c>
      <c r="CB185" s="171"/>
      <c r="CC185" s="171">
        <f>COUNTIF(AJ185:AX185,"*OP*")</f>
        <v>0</v>
      </c>
    </row>
    <row r="186" spans="1:81" ht="15" hidden="1" customHeight="1">
      <c r="A186" s="241">
        <v>31768</v>
      </c>
      <c r="B186" s="160" t="s">
        <v>702</v>
      </c>
      <c r="C186" s="468">
        <f>T186</f>
        <v>1046</v>
      </c>
      <c r="D186" s="160">
        <f>COUNTIF(AJ186:AX186,"*OK*")</f>
        <v>0</v>
      </c>
      <c r="E186" s="160"/>
      <c r="F186" s="247" t="s">
        <v>703</v>
      </c>
      <c r="G186" s="182"/>
      <c r="H186" s="168" t="s">
        <v>704</v>
      </c>
      <c r="I186" s="168"/>
      <c r="J186" s="182"/>
      <c r="K186" s="215" t="s">
        <v>79</v>
      </c>
      <c r="L186" s="182" t="s">
        <v>456</v>
      </c>
      <c r="M186" s="182"/>
      <c r="N186" s="182"/>
      <c r="O186" s="161">
        <v>413.5</v>
      </c>
      <c r="P186" s="161">
        <v>399.9</v>
      </c>
      <c r="Q186" s="161">
        <v>1036.2</v>
      </c>
      <c r="R186" s="186">
        <v>1072.81</v>
      </c>
      <c r="S186" s="510">
        <v>1083.9512</v>
      </c>
      <c r="T186" s="550">
        <v>1046</v>
      </c>
      <c r="U186" s="164"/>
      <c r="V186" s="165">
        <v>50</v>
      </c>
      <c r="W186" s="187"/>
      <c r="X186" s="203" t="s">
        <v>705</v>
      </c>
      <c r="Y186" s="166" t="s">
        <v>152</v>
      </c>
      <c r="Z186" s="167" t="s">
        <v>706</v>
      </c>
      <c r="AA186" s="165" t="s">
        <v>59</v>
      </c>
      <c r="AB186" s="188" t="s">
        <v>65</v>
      </c>
      <c r="AC186" s="168" t="s">
        <v>92</v>
      </c>
      <c r="AD186" s="160"/>
      <c r="AE186" s="160"/>
      <c r="AF186" s="160"/>
      <c r="AG186" s="160"/>
      <c r="AH186" s="160"/>
      <c r="AI186" s="163" t="s">
        <v>127</v>
      </c>
      <c r="AJ186" s="170"/>
      <c r="AK186" s="170"/>
      <c r="AL186" s="170"/>
      <c r="AM186" s="170"/>
      <c r="AN186" s="170"/>
      <c r="AO186" s="170"/>
      <c r="AP186" s="170"/>
      <c r="AQ186" s="170"/>
      <c r="AR186" s="170"/>
      <c r="AS186" s="170"/>
      <c r="AT186" s="170"/>
      <c r="AU186" s="170"/>
      <c r="AV186" s="170"/>
      <c r="AW186" s="170"/>
      <c r="AX186" s="170"/>
      <c r="AY186" s="170" t="s">
        <v>111</v>
      </c>
      <c r="AZ186" s="169" t="s">
        <v>178</v>
      </c>
      <c r="BA186" s="160">
        <f>(COUNTIF(AJ186:AL186,"*OK*")*3) + (COUNTIF(AM186:AO186,"*OK*")*2) + COUNTIF(AP186:AR186,"*OK*")+COUNTIF(AZ186:AZ186,"SI")*0.5</f>
        <v>0</v>
      </c>
      <c r="BB186" s="160" t="str">
        <f>IF(BA186&lt;0.6,"Demasiado Riesgo",IF(BA186&lt;=5,"Riesgo Medio",IF(BA186&lt;=11,"Riesgo Bajo","Cliente Blindado")))</f>
        <v>Demasiado Riesgo</v>
      </c>
      <c r="BC186" s="160"/>
      <c r="BD186" s="160"/>
      <c r="BE186" s="160">
        <v>0</v>
      </c>
      <c r="BF186" s="160"/>
      <c r="BG186" s="160"/>
      <c r="BH186" s="160"/>
      <c r="BI186" s="160"/>
      <c r="BJ186" s="160"/>
      <c r="BK186" s="160"/>
      <c r="BL186" s="160"/>
      <c r="BM186" s="160"/>
      <c r="BN186" s="160"/>
      <c r="BO186" s="160"/>
      <c r="BP186" s="160"/>
      <c r="BQ186" s="160"/>
      <c r="BR186" s="160"/>
      <c r="BS186" s="160"/>
      <c r="BT186" s="160"/>
      <c r="BU186" s="160"/>
      <c r="BV186" s="160"/>
      <c r="BW186" s="160"/>
      <c r="BX186" s="160"/>
      <c r="BY186" s="160"/>
      <c r="BZ186" s="160"/>
      <c r="CA186" s="160">
        <f>COUNTIF(AJ186:AX186,"*OK*")</f>
        <v>0</v>
      </c>
      <c r="CB186" s="160"/>
      <c r="CC186" s="160">
        <f>COUNTIF(AJ186:AX186,"*OP*")</f>
        <v>0</v>
      </c>
    </row>
    <row r="187" spans="1:81" ht="15" hidden="1" customHeight="1">
      <c r="A187" s="502">
        <v>25521</v>
      </c>
      <c r="B187" s="173"/>
      <c r="C187" s="468">
        <f>T187</f>
        <v>1446.28</v>
      </c>
      <c r="D187" s="171">
        <f>COUNTIF(AJ187:AX187,"*OK*")</f>
        <v>0</v>
      </c>
      <c r="E187" s="171"/>
      <c r="F187" s="245" t="s">
        <v>707</v>
      </c>
      <c r="G187" s="183"/>
      <c r="H187" s="194"/>
      <c r="I187" s="194"/>
      <c r="J187" s="183"/>
      <c r="K187" s="198" t="s">
        <v>79</v>
      </c>
      <c r="L187" s="183" t="s">
        <v>456</v>
      </c>
      <c r="M187" s="183" t="s">
        <v>135</v>
      </c>
      <c r="N187" s="183"/>
      <c r="O187" s="172">
        <v>1500.17</v>
      </c>
      <c r="P187" s="172">
        <v>1448.08</v>
      </c>
      <c r="Q187" s="172">
        <v>1603.74</v>
      </c>
      <c r="R187" s="193">
        <v>1357.91</v>
      </c>
      <c r="S187" s="510">
        <v>1353.7166999999999</v>
      </c>
      <c r="T187" s="553">
        <v>1446.28</v>
      </c>
      <c r="U187" s="175"/>
      <c r="V187" s="176">
        <v>200</v>
      </c>
      <c r="W187" s="194"/>
      <c r="X187" s="205" t="s">
        <v>70</v>
      </c>
      <c r="Y187" s="177" t="s">
        <v>89</v>
      </c>
      <c r="Z187" s="178" t="s">
        <v>708</v>
      </c>
      <c r="AA187" s="176" t="s">
        <v>59</v>
      </c>
      <c r="AB187" s="195" t="s">
        <v>65</v>
      </c>
      <c r="AC187" s="179" t="s">
        <v>97</v>
      </c>
      <c r="AD187" s="171"/>
      <c r="AE187" s="171"/>
      <c r="AF187" s="171"/>
      <c r="AG187" s="171"/>
      <c r="AH187" s="171" t="s">
        <v>709</v>
      </c>
      <c r="AI187" s="174" t="s">
        <v>178</v>
      </c>
      <c r="AJ187" s="170"/>
      <c r="AK187" s="170"/>
      <c r="AL187" s="170"/>
      <c r="AM187" s="170"/>
      <c r="AN187" s="170"/>
      <c r="AO187" s="170"/>
      <c r="AP187" s="170"/>
      <c r="AQ187" s="170"/>
      <c r="AR187" s="170"/>
      <c r="AS187" s="170"/>
      <c r="AT187" s="170"/>
      <c r="AU187" s="170"/>
      <c r="AV187" s="170"/>
      <c r="AW187" s="170"/>
      <c r="AX187" s="170"/>
      <c r="AY187" s="170"/>
      <c r="AZ187" s="180" t="s">
        <v>59</v>
      </c>
      <c r="BA187" s="171">
        <f>(COUNTIF(AJ187:AL187,"*OK*")*3) + (COUNTIF(AM187:AO187,"*OK*")*2) + COUNTIF(AP187:AR187,"*OK*")+COUNTIF(AZ187:AZ187,"SI")*0.5</f>
        <v>0</v>
      </c>
      <c r="BB187" s="171" t="str">
        <f>IF(BA187&lt;0.6,"Demasiado Riesgo",IF(BA187&lt;=5,"Riesgo Medio",IF(BA187&lt;=11,"Riesgo Bajo","Cliente Blindado")))</f>
        <v>Demasiado Riesgo</v>
      </c>
      <c r="BC187" s="171"/>
      <c r="BD187" s="171"/>
      <c r="BE187" s="171">
        <v>0</v>
      </c>
      <c r="BF187" s="171"/>
      <c r="BG187" s="171"/>
      <c r="BH187" s="171"/>
      <c r="BI187" s="171"/>
      <c r="BJ187" s="171"/>
      <c r="BK187" s="171"/>
      <c r="BL187" s="171"/>
      <c r="BM187" s="171"/>
      <c r="BN187" s="171"/>
      <c r="BO187" s="171"/>
      <c r="BP187" s="171"/>
      <c r="BQ187" s="171"/>
      <c r="BR187" s="171"/>
      <c r="BS187" s="171"/>
      <c r="BT187" s="171"/>
      <c r="BU187" s="171"/>
      <c r="BV187" s="171"/>
      <c r="BW187" s="171"/>
      <c r="BX187" s="171"/>
      <c r="BY187" s="171"/>
      <c r="BZ187" s="171"/>
      <c r="CA187" s="171">
        <f>COUNTIF(AJ187:AX187,"*OK*")</f>
        <v>0</v>
      </c>
      <c r="CB187" s="171"/>
      <c r="CC187" s="171">
        <f>COUNTIF(AJ187:AX187,"*OP*")</f>
        <v>0</v>
      </c>
    </row>
    <row r="188" spans="1:81" s="231" customFormat="1" ht="15" hidden="1" customHeight="1">
      <c r="A188" s="240">
        <v>32858</v>
      </c>
      <c r="B188" s="171"/>
      <c r="C188" s="468" t="str">
        <f>T188</f>
        <v> </v>
      </c>
      <c r="D188" s="171">
        <f>COUNTIF(AJ188:AX188,"*OK*")</f>
        <v>0</v>
      </c>
      <c r="E188" s="171"/>
      <c r="F188" s="191" t="s">
        <v>710</v>
      </c>
      <c r="G188" s="183"/>
      <c r="H188" s="179"/>
      <c r="I188" s="179"/>
      <c r="J188" s="160" t="s">
        <v>711</v>
      </c>
      <c r="K188" s="198"/>
      <c r="L188" s="183" t="s">
        <v>456</v>
      </c>
      <c r="M188" s="183"/>
      <c r="N188" s="183"/>
      <c r="O188" s="219"/>
      <c r="P188" s="219">
        <v>77</v>
      </c>
      <c r="Q188" s="219">
        <v>76</v>
      </c>
      <c r="R188" s="193" t="s">
        <v>59</v>
      </c>
      <c r="S188" s="510"/>
      <c r="T188" s="551" t="s">
        <v>59</v>
      </c>
      <c r="U188" s="175">
        <v>67</v>
      </c>
      <c r="V188" s="176">
        <v>100</v>
      </c>
      <c r="W188" s="194"/>
      <c r="X188" s="209" t="s">
        <v>70</v>
      </c>
      <c r="Y188" s="177" t="s">
        <v>89</v>
      </c>
      <c r="Z188" s="178" t="s">
        <v>712</v>
      </c>
      <c r="AA188" s="176" t="s">
        <v>59</v>
      </c>
      <c r="AB188" s="195" t="s">
        <v>65</v>
      </c>
      <c r="AC188" s="179"/>
      <c r="AD188" s="171"/>
      <c r="AE188" s="171"/>
      <c r="AF188" s="171"/>
      <c r="AG188" s="171"/>
      <c r="AH188" s="171"/>
      <c r="AI188" s="174"/>
      <c r="AJ188" s="170"/>
      <c r="AK188" s="170"/>
      <c r="AL188" s="170"/>
      <c r="AM188" s="170"/>
      <c r="AN188" s="170"/>
      <c r="AO188" s="170"/>
      <c r="AP188" s="170"/>
      <c r="AQ188" s="170"/>
      <c r="AR188" s="170"/>
      <c r="AS188" s="170"/>
      <c r="AT188" s="170"/>
      <c r="AU188" s="170"/>
      <c r="AV188" s="170"/>
      <c r="AW188" s="170"/>
      <c r="AX188" s="170"/>
      <c r="AY188" s="170"/>
      <c r="AZ188" s="180"/>
      <c r="BA188" s="171">
        <f>(COUNTIF(AJ188:AL188,"*OK*")*3) + (COUNTIF(AM188:AO188,"*OK*")*2) + COUNTIF(AP188:AR188,"*OK*")+COUNTIF(AZ188:AZ188,"SI")*0.5</f>
        <v>0</v>
      </c>
      <c r="BB188" s="171"/>
      <c r="BC188" s="171"/>
      <c r="BD188" s="171"/>
      <c r="BE188" s="171">
        <v>0</v>
      </c>
      <c r="BF188" s="171"/>
      <c r="BG188" s="171"/>
      <c r="BH188" s="171"/>
      <c r="BI188" s="171"/>
      <c r="BJ188" s="171"/>
      <c r="BK188" s="171"/>
      <c r="BL188" s="171"/>
      <c r="BM188" s="171"/>
      <c r="BN188" s="171"/>
      <c r="BO188" s="171"/>
      <c r="BP188" s="171"/>
      <c r="BQ188" s="171"/>
      <c r="BR188" s="171"/>
      <c r="BS188" s="171"/>
      <c r="BT188" s="171"/>
      <c r="BU188" s="171"/>
      <c r="BV188" s="171"/>
      <c r="BW188" s="171"/>
      <c r="BX188" s="171"/>
      <c r="BY188" s="171"/>
      <c r="BZ188" s="171"/>
      <c r="CA188" s="171">
        <f>COUNTIF(AJ188:AX188,"*OK*")</f>
        <v>0</v>
      </c>
      <c r="CB188" s="171"/>
      <c r="CC188" s="171">
        <f>COUNTIF(AJ188:AX188,"*OP*")</f>
        <v>0</v>
      </c>
    </row>
    <row r="189" spans="1:81" ht="15" hidden="1" customHeight="1">
      <c r="A189" s="241">
        <v>31646</v>
      </c>
      <c r="B189" s="160"/>
      <c r="C189" s="468" t="str">
        <f>T189</f>
        <v> </v>
      </c>
      <c r="D189" s="160">
        <f>COUNTIF(AJ189:AX189,"*OK*")</f>
        <v>0</v>
      </c>
      <c r="E189" s="160"/>
      <c r="F189" s="248" t="s">
        <v>713</v>
      </c>
      <c r="G189" s="160"/>
      <c r="H189" s="168"/>
      <c r="I189" s="168"/>
      <c r="J189" s="160" t="s">
        <v>711</v>
      </c>
      <c r="K189" s="220" t="s">
        <v>68</v>
      </c>
      <c r="L189" s="160" t="s">
        <v>456</v>
      </c>
      <c r="M189" s="160"/>
      <c r="N189" s="160"/>
      <c r="O189" s="221"/>
      <c r="P189" s="221">
        <v>60</v>
      </c>
      <c r="Q189" s="221">
        <v>67</v>
      </c>
      <c r="R189" s="186" t="s">
        <v>59</v>
      </c>
      <c r="S189" s="510"/>
      <c r="T189" s="550" t="s">
        <v>59</v>
      </c>
      <c r="U189" s="164"/>
      <c r="V189" s="165">
        <v>100</v>
      </c>
      <c r="W189" s="160"/>
      <c r="X189" s="208" t="s">
        <v>70</v>
      </c>
      <c r="Y189" s="166" t="s">
        <v>71</v>
      </c>
      <c r="Z189" s="167" t="s">
        <v>714</v>
      </c>
      <c r="AA189" s="163" t="s">
        <v>132</v>
      </c>
      <c r="AB189" s="167" t="s">
        <v>194</v>
      </c>
      <c r="AC189" s="168"/>
      <c r="AD189" s="160"/>
      <c r="AE189" s="160"/>
      <c r="AF189" s="160"/>
      <c r="AG189" s="160"/>
      <c r="AH189" s="160"/>
      <c r="AI189" s="163" t="s">
        <v>59</v>
      </c>
      <c r="AJ189" s="170"/>
      <c r="AK189" s="170"/>
      <c r="AL189" s="170"/>
      <c r="AM189" s="170" t="s">
        <v>715</v>
      </c>
      <c r="AN189" s="170"/>
      <c r="AO189" s="170"/>
      <c r="AP189" s="170"/>
      <c r="AQ189" s="170"/>
      <c r="AR189" s="170"/>
      <c r="AS189" s="170"/>
      <c r="AT189" s="170"/>
      <c r="AU189" s="170"/>
      <c r="AV189" s="170"/>
      <c r="AW189" s="170"/>
      <c r="AX189" s="170"/>
      <c r="AY189" s="170"/>
      <c r="AZ189" s="169" t="s">
        <v>59</v>
      </c>
      <c r="BA189" s="160">
        <f>(COUNTIF(AJ189:AL189,"*OK*")*3) + (COUNTIF(AM189:AO189,"*OK*")*2) + COUNTIF(AP189:AR189,"*OK*")+COUNTIF(AZ189:AZ189,"SI")*0.5</f>
        <v>0</v>
      </c>
      <c r="BB189" s="160" t="str">
        <f>IF(BA189&lt;0.6,"Demasiado Riesgo",IF(BA189&lt;=5,"Riesgo Medio",IF(BA189&lt;=11,"Riesgo Bajo","Cliente Blindado")))</f>
        <v>Demasiado Riesgo</v>
      </c>
      <c r="BC189" s="160"/>
      <c r="BD189" s="160"/>
      <c r="BE189" s="160">
        <v>0</v>
      </c>
      <c r="BF189" s="160"/>
      <c r="BG189" s="160"/>
      <c r="BH189" s="160"/>
      <c r="BI189" s="160"/>
      <c r="BJ189" s="160"/>
      <c r="BK189" s="160"/>
      <c r="BL189" s="160"/>
      <c r="BM189" s="160"/>
      <c r="BN189" s="160"/>
      <c r="BO189" s="160"/>
      <c r="BP189" s="160"/>
      <c r="BQ189" s="160"/>
      <c r="BR189" s="160"/>
      <c r="BS189" s="160"/>
      <c r="BT189" s="160"/>
      <c r="BU189" s="160"/>
      <c r="BV189" s="160"/>
      <c r="BW189" s="160"/>
      <c r="BX189" s="160"/>
      <c r="BY189" s="160"/>
      <c r="BZ189" s="160"/>
      <c r="CA189" s="160">
        <f>COUNTIF(AJ189:AX189,"*OK*")</f>
        <v>0</v>
      </c>
      <c r="CB189" s="160"/>
      <c r="CC189" s="160">
        <f>COUNTIF(AJ189:AX189,"*OP*")</f>
        <v>1</v>
      </c>
    </row>
    <row r="190" spans="1:81" ht="15" hidden="1" customHeight="1">
      <c r="A190" s="500">
        <v>18593</v>
      </c>
      <c r="B190" s="173" t="s">
        <v>716</v>
      </c>
      <c r="C190" s="468" t="str">
        <f>T190</f>
        <v> </v>
      </c>
      <c r="D190" s="171">
        <f>COUNTIF(AJ190:AX190,"*OK*")</f>
        <v>0</v>
      </c>
      <c r="E190" s="171"/>
      <c r="F190" s="183" t="s">
        <v>717</v>
      </c>
      <c r="G190" s="183"/>
      <c r="H190" s="179"/>
      <c r="I190" s="179"/>
      <c r="J190" s="183" t="s">
        <v>574</v>
      </c>
      <c r="K190" s="192" t="s">
        <v>68</v>
      </c>
      <c r="L190" s="183" t="s">
        <v>456</v>
      </c>
      <c r="M190" s="183"/>
      <c r="N190" s="183"/>
      <c r="O190" s="172">
        <v>579.16999999999996</v>
      </c>
      <c r="P190" s="172">
        <v>521.85</v>
      </c>
      <c r="Q190" s="172">
        <v>507</v>
      </c>
      <c r="R190" s="222">
        <v>518.16999999999996</v>
      </c>
      <c r="S190" s="510">
        <v>493.65379999999999</v>
      </c>
      <c r="T190" s="551" t="s">
        <v>59</v>
      </c>
      <c r="U190" s="175"/>
      <c r="V190" s="176">
        <v>100</v>
      </c>
      <c r="W190" s="194"/>
      <c r="X190" s="209" t="s">
        <v>70</v>
      </c>
      <c r="Y190" s="177" t="s">
        <v>141</v>
      </c>
      <c r="Z190" s="178" t="s">
        <v>718</v>
      </c>
      <c r="AA190" s="176" t="s">
        <v>59</v>
      </c>
      <c r="AB190" s="195" t="s">
        <v>159</v>
      </c>
      <c r="AC190" s="179"/>
      <c r="AD190" s="171"/>
      <c r="AE190" s="171"/>
      <c r="AF190" s="171"/>
      <c r="AG190" s="171"/>
      <c r="AH190" s="171"/>
      <c r="AI190" s="174" t="s">
        <v>59</v>
      </c>
      <c r="AJ190" s="170"/>
      <c r="AK190" s="170"/>
      <c r="AL190" s="170"/>
      <c r="AM190" s="170"/>
      <c r="AN190" s="170"/>
      <c r="AO190" s="170"/>
      <c r="AP190" s="170"/>
      <c r="AQ190" s="170"/>
      <c r="AR190" s="170"/>
      <c r="AS190" s="170"/>
      <c r="AT190" s="170"/>
      <c r="AU190" s="170"/>
      <c r="AV190" s="170"/>
      <c r="AW190" s="170"/>
      <c r="AX190" s="170"/>
      <c r="AY190" s="170"/>
      <c r="AZ190" s="180" t="s">
        <v>178</v>
      </c>
      <c r="BA190" s="171">
        <f>(COUNTIF(AJ190:AL190,"*OK*")*3) + (COUNTIF(AM190:AO190,"*OK*")*2) + COUNTIF(AP190:AR190,"*OK*")+COUNTIF(AZ190:AZ190,"SI")*0.5</f>
        <v>0</v>
      </c>
      <c r="BB190" s="171" t="str">
        <f>IF(BA190&lt;0.6,"Demasiado Riesgo",IF(BA190&lt;=5,"Riesgo Medio",IF(BA190&lt;=11,"Riesgo Bajo","Cliente Blindado")))</f>
        <v>Demasiado Riesgo</v>
      </c>
      <c r="BC190" s="171"/>
      <c r="BD190" s="171"/>
      <c r="BE190" s="171">
        <v>0</v>
      </c>
      <c r="BF190" s="171"/>
      <c r="BG190" s="171"/>
      <c r="BH190" s="171"/>
      <c r="BI190" s="171"/>
      <c r="BJ190" s="171"/>
      <c r="BK190" s="171"/>
      <c r="BL190" s="171"/>
      <c r="BM190" s="171"/>
      <c r="BN190" s="171"/>
      <c r="BO190" s="171"/>
      <c r="BP190" s="171"/>
      <c r="BQ190" s="171"/>
      <c r="BR190" s="171"/>
      <c r="BS190" s="171"/>
      <c r="BT190" s="171"/>
      <c r="BU190" s="171"/>
      <c r="BV190" s="171"/>
      <c r="BW190" s="171"/>
      <c r="BX190" s="171"/>
      <c r="BY190" s="171"/>
      <c r="BZ190" s="171"/>
      <c r="CA190" s="171">
        <f>COUNTIF(AJ190:AX190,"*OK*")</f>
        <v>0</v>
      </c>
      <c r="CB190" s="171"/>
      <c r="CC190" s="171">
        <f>COUNTIF(AJ190:AX190,"*OP*")</f>
        <v>0</v>
      </c>
    </row>
    <row r="191" spans="1:81" ht="15" hidden="1" customHeight="1">
      <c r="A191" s="241">
        <v>34959</v>
      </c>
      <c r="B191" s="160"/>
      <c r="C191" s="468" t="str">
        <f>T191</f>
        <v> </v>
      </c>
      <c r="D191" s="160">
        <f>COUNTIF(AJ191:AX191,"*OK*")</f>
        <v>0</v>
      </c>
      <c r="E191" s="160"/>
      <c r="F191" s="160" t="s">
        <v>719</v>
      </c>
      <c r="G191" s="160"/>
      <c r="H191" s="168"/>
      <c r="I191" s="168"/>
      <c r="J191" s="160"/>
      <c r="K191" s="220" t="s">
        <v>68</v>
      </c>
      <c r="L191" s="160" t="s">
        <v>456</v>
      </c>
      <c r="M191" s="160"/>
      <c r="N191" s="160"/>
      <c r="O191" s="223">
        <v>137.18</v>
      </c>
      <c r="P191" s="223"/>
      <c r="Q191" s="223"/>
      <c r="R191" s="224" t="s">
        <v>59</v>
      </c>
      <c r="S191" s="510">
        <v>0</v>
      </c>
      <c r="T191" s="555" t="s">
        <v>59</v>
      </c>
      <c r="U191" s="164"/>
      <c r="V191" s="165">
        <v>100</v>
      </c>
      <c r="W191" s="160"/>
      <c r="X191" s="208" t="s">
        <v>70</v>
      </c>
      <c r="Y191" s="166" t="s">
        <v>363</v>
      </c>
      <c r="Z191" s="167" t="s">
        <v>720</v>
      </c>
      <c r="AA191" s="163" t="s">
        <v>59</v>
      </c>
      <c r="AB191" s="167" t="s">
        <v>164</v>
      </c>
      <c r="AC191" s="168"/>
      <c r="AD191" s="160"/>
      <c r="AE191" s="160"/>
      <c r="AF191" s="160"/>
      <c r="AG191" s="160"/>
      <c r="AH191" s="160"/>
      <c r="AI191" s="163" t="s">
        <v>59</v>
      </c>
      <c r="AJ191" s="170"/>
      <c r="AK191" s="170"/>
      <c r="AL191" s="170"/>
      <c r="AM191" s="170"/>
      <c r="AN191" s="170"/>
      <c r="AO191" s="170"/>
      <c r="AP191" s="170"/>
      <c r="AQ191" s="170"/>
      <c r="AR191" s="170"/>
      <c r="AS191" s="170"/>
      <c r="AT191" s="170"/>
      <c r="AU191" s="170"/>
      <c r="AV191" s="170"/>
      <c r="AW191" s="170"/>
      <c r="AX191" s="170"/>
      <c r="AY191" s="170"/>
      <c r="AZ191" s="169" t="s">
        <v>59</v>
      </c>
      <c r="BA191" s="160">
        <f>(COUNTIF(AJ191:AL191,"*OK*")*3) + (COUNTIF(AM191:AO191,"*OK*")*2) + COUNTIF(AP191:AR191,"*OK*")+COUNTIF(AZ191:AZ191,"SI")*0.5</f>
        <v>0</v>
      </c>
      <c r="BB191" s="160" t="str">
        <f>IF(BA191&lt;0.6,"Demasiado Riesgo",IF(BA191&lt;=5,"Riesgo Medio",IF(BA191&lt;=11,"Riesgo Bajo","Cliente Blindado")))</f>
        <v>Demasiado Riesgo</v>
      </c>
      <c r="BC191" s="160"/>
      <c r="BD191" s="160"/>
      <c r="BE191" s="160">
        <v>0</v>
      </c>
      <c r="BF191" s="160"/>
      <c r="BG191" s="160"/>
      <c r="BH191" s="160"/>
      <c r="BI191" s="160"/>
      <c r="BJ191" s="160"/>
      <c r="BK191" s="160"/>
      <c r="BL191" s="160"/>
      <c r="BM191" s="160"/>
      <c r="BN191" s="160"/>
      <c r="BO191" s="160"/>
      <c r="BP191" s="160"/>
      <c r="BQ191" s="160"/>
      <c r="BR191" s="160"/>
      <c r="BS191" s="160"/>
      <c r="BT191" s="160"/>
      <c r="BU191" s="160"/>
      <c r="BV191" s="160"/>
      <c r="BW191" s="160"/>
      <c r="BX191" s="160"/>
      <c r="BY191" s="160"/>
      <c r="BZ191" s="160"/>
      <c r="CA191" s="160">
        <f>COUNTIF(AJ191:AX191,"*OK*")</f>
        <v>0</v>
      </c>
      <c r="CB191" s="160"/>
      <c r="CC191" s="160">
        <f>COUNTIF(AJ191:AX191,"*OP*")</f>
        <v>0</v>
      </c>
    </row>
    <row r="192" spans="1:81" ht="15" hidden="1" customHeight="1">
      <c r="A192" s="241"/>
      <c r="B192" s="160"/>
      <c r="C192" s="468" t="str">
        <f>T192</f>
        <v> </v>
      </c>
      <c r="D192" s="160">
        <f>COUNTIF(AJ192:AX192,"*OK*")</f>
        <v>0</v>
      </c>
      <c r="E192" s="160"/>
      <c r="F192" s="432" t="s">
        <v>721</v>
      </c>
      <c r="G192" s="182"/>
      <c r="H192" s="168" t="s">
        <v>722</v>
      </c>
      <c r="I192" s="168"/>
      <c r="J192" s="182"/>
      <c r="K192" s="182" t="s">
        <v>68</v>
      </c>
      <c r="L192" s="213" t="s">
        <v>456</v>
      </c>
      <c r="M192" s="182"/>
      <c r="N192" s="182"/>
      <c r="O192" s="161">
        <v>307.42</v>
      </c>
      <c r="P192" s="161">
        <v>307.14</v>
      </c>
      <c r="Q192" s="161">
        <v>292.7</v>
      </c>
      <c r="R192" s="186">
        <v>302.12</v>
      </c>
      <c r="S192" s="510">
        <v>0</v>
      </c>
      <c r="T192" s="550" t="s">
        <v>59</v>
      </c>
      <c r="U192" s="164"/>
      <c r="V192" s="165">
        <v>200</v>
      </c>
      <c r="W192" s="187"/>
      <c r="X192" s="203" t="s">
        <v>247</v>
      </c>
      <c r="Y192" s="166" t="s">
        <v>80</v>
      </c>
      <c r="Z192" s="167" t="s">
        <v>723</v>
      </c>
      <c r="AA192" s="165" t="s">
        <v>59</v>
      </c>
      <c r="AB192" s="188" t="s">
        <v>240</v>
      </c>
      <c r="AC192" s="168" t="s">
        <v>139</v>
      </c>
      <c r="AD192" s="160"/>
      <c r="AE192" s="160"/>
      <c r="AF192" s="160"/>
      <c r="AG192" s="160"/>
      <c r="AH192" s="160"/>
      <c r="AI192" s="163" t="s">
        <v>59</v>
      </c>
      <c r="AJ192" s="214"/>
      <c r="AK192" s="214"/>
      <c r="AL192" s="214"/>
      <c r="AM192" s="214"/>
      <c r="AN192" s="214"/>
      <c r="AO192" s="214"/>
      <c r="AP192" s="214"/>
      <c r="AQ192" s="214"/>
      <c r="AR192" s="214"/>
      <c r="AS192" s="214"/>
      <c r="AT192" s="214"/>
      <c r="AU192" s="214"/>
      <c r="AV192" s="214"/>
      <c r="AW192" s="214"/>
      <c r="AX192" s="214"/>
      <c r="AY192" s="214"/>
      <c r="AZ192" s="169" t="s">
        <v>59</v>
      </c>
      <c r="BA192" s="160">
        <f>(COUNTIF(AJ192:AL192,"*OK*")*3) + (COUNTIF(AM192:AO192,"*OK*")*2) + COUNTIF(AP192:AR192,"*OK*")+COUNTIF(AZ192:AZ192,"SI")*0.5</f>
        <v>0</v>
      </c>
      <c r="BB192" s="160" t="str">
        <f>IF(BA192&lt;0.6,"Demasiado Riesgo",IF(BA192&lt;=5,"Riesgo Medio",IF(BA192&lt;=11,"Riesgo Bajo","Cliente Blindado")))</f>
        <v>Demasiado Riesgo</v>
      </c>
      <c r="BC192" s="160"/>
      <c r="BD192" s="160"/>
      <c r="BE192" s="160">
        <v>0</v>
      </c>
      <c r="BF192" s="160"/>
      <c r="BG192" s="160"/>
      <c r="BH192" s="160"/>
      <c r="BI192" s="160"/>
      <c r="BJ192" s="160"/>
      <c r="BK192" s="160"/>
      <c r="BL192" s="160"/>
      <c r="BM192" s="160"/>
      <c r="BN192" s="160"/>
      <c r="BO192" s="160"/>
      <c r="BP192" s="160"/>
      <c r="BQ192" s="160"/>
      <c r="BR192" s="160"/>
      <c r="BS192" s="160"/>
      <c r="BT192" s="160"/>
      <c r="BU192" s="160"/>
      <c r="BV192" s="160"/>
      <c r="BW192" s="160"/>
      <c r="BX192" s="160"/>
      <c r="BY192" s="160"/>
      <c r="BZ192" s="160"/>
      <c r="CA192" s="160">
        <f>COUNTIF(AJ192:AX192,"*OK*")</f>
        <v>0</v>
      </c>
      <c r="CB192" s="160"/>
      <c r="CC192" s="160">
        <f>COUNTIF(AJ192:AX192,"*OP*")</f>
        <v>0</v>
      </c>
    </row>
    <row r="193" spans="1:81" ht="15" hidden="1" customHeight="1">
      <c r="A193" s="240">
        <v>27159</v>
      </c>
      <c r="B193" s="171" t="s">
        <v>724</v>
      </c>
      <c r="C193" s="468" t="str">
        <f>T193</f>
        <v> </v>
      </c>
      <c r="D193" s="171">
        <f>COUNTIF(AJ193:AX193,"*OK*")</f>
        <v>0</v>
      </c>
      <c r="E193" s="171"/>
      <c r="F193" s="183" t="s">
        <v>725</v>
      </c>
      <c r="G193" s="183"/>
      <c r="H193" s="179"/>
      <c r="I193" s="179"/>
      <c r="J193" s="183"/>
      <c r="K193" s="198" t="s">
        <v>68</v>
      </c>
      <c r="L193" s="183" t="s">
        <v>456</v>
      </c>
      <c r="M193" s="183"/>
      <c r="N193" s="183"/>
      <c r="O193" s="172">
        <v>69.290000000000006</v>
      </c>
      <c r="P193" s="172">
        <v>71.39</v>
      </c>
      <c r="Q193" s="172">
        <v>70.09</v>
      </c>
      <c r="R193" s="193">
        <v>68.09</v>
      </c>
      <c r="S193" s="510">
        <v>69.010999999999996</v>
      </c>
      <c r="T193" s="551" t="s">
        <v>59</v>
      </c>
      <c r="U193" s="175"/>
      <c r="V193" s="176">
        <v>50</v>
      </c>
      <c r="W193" s="194"/>
      <c r="X193" s="209" t="s">
        <v>70</v>
      </c>
      <c r="Y193" s="177" t="s">
        <v>302</v>
      </c>
      <c r="Z193" s="178" t="s">
        <v>726</v>
      </c>
      <c r="AA193" s="176" t="s">
        <v>59</v>
      </c>
      <c r="AB193" s="195" t="s">
        <v>159</v>
      </c>
      <c r="AC193" s="179" t="s">
        <v>139</v>
      </c>
      <c r="AD193" s="171"/>
      <c r="AE193" s="171"/>
      <c r="AF193" s="171"/>
      <c r="AG193" s="171"/>
      <c r="AH193" s="171" t="s">
        <v>727</v>
      </c>
      <c r="AI193" s="174" t="s">
        <v>59</v>
      </c>
      <c r="AJ193" s="170"/>
      <c r="AK193" s="170"/>
      <c r="AL193" s="170"/>
      <c r="AM193" s="170"/>
      <c r="AN193" s="170"/>
      <c r="AO193" s="170"/>
      <c r="AP193" s="170"/>
      <c r="AQ193" s="170"/>
      <c r="AR193" s="170"/>
      <c r="AS193" s="170"/>
      <c r="AT193" s="170"/>
      <c r="AU193" s="170"/>
      <c r="AV193" s="170"/>
      <c r="AW193" s="170"/>
      <c r="AX193" s="170"/>
      <c r="AY193" s="170"/>
      <c r="AZ193" s="180" t="s">
        <v>59</v>
      </c>
      <c r="BA193" s="171">
        <f>(COUNTIF(AJ193:AL193,"*OK*")*3) + (COUNTIF(AM193:AO193,"*OK*")*2) + COUNTIF(AP193:AR193,"*OK*")+COUNTIF(AZ193:AZ193,"SI")*0.5</f>
        <v>0</v>
      </c>
      <c r="BB193" s="171" t="str">
        <f>IF(BA193&lt;0.6,"Demasiado Riesgo",IF(BA193&lt;=5,"Riesgo Medio",IF(BA193&lt;=11,"Riesgo Bajo","Cliente Blindado")))</f>
        <v>Demasiado Riesgo</v>
      </c>
      <c r="BC193" s="171"/>
      <c r="BD193" s="171"/>
      <c r="BE193" s="171">
        <v>0</v>
      </c>
      <c r="BF193" s="171"/>
      <c r="BG193" s="171"/>
      <c r="BH193" s="171"/>
      <c r="BI193" s="171"/>
      <c r="BJ193" s="171"/>
      <c r="BK193" s="171"/>
      <c r="BL193" s="171"/>
      <c r="BM193" s="171"/>
      <c r="BN193" s="171"/>
      <c r="BO193" s="171"/>
      <c r="BP193" s="171"/>
      <c r="BQ193" s="171"/>
      <c r="BR193" s="171"/>
      <c r="BS193" s="171"/>
      <c r="BT193" s="171"/>
      <c r="BU193" s="171"/>
      <c r="BV193" s="171"/>
      <c r="BW193" s="171"/>
      <c r="BX193" s="171"/>
      <c r="BY193" s="171"/>
      <c r="BZ193" s="171"/>
      <c r="CA193" s="171">
        <f>COUNTIF(AJ193:AX193,"*OK*")</f>
        <v>0</v>
      </c>
      <c r="CB193" s="171"/>
      <c r="CC193" s="171">
        <f>COUNTIF(AJ193:AX193,"*OP*")</f>
        <v>0</v>
      </c>
    </row>
    <row r="194" spans="1:81" ht="15" hidden="1" customHeight="1">
      <c r="A194" s="240">
        <v>5725</v>
      </c>
      <c r="B194" s="171"/>
      <c r="C194" s="468" t="str">
        <f>T194</f>
        <v> </v>
      </c>
      <c r="D194" s="171">
        <f>COUNTIF(AN194:AY194,"OK")</f>
        <v>0</v>
      </c>
      <c r="E194" s="171"/>
      <c r="F194" s="173" t="s">
        <v>728</v>
      </c>
      <c r="G194" s="173" t="s">
        <v>59</v>
      </c>
      <c r="H194" s="179"/>
      <c r="I194" s="179"/>
      <c r="J194" s="173" t="s">
        <v>59</v>
      </c>
      <c r="K194" s="173" t="s">
        <v>68</v>
      </c>
      <c r="L194" s="173" t="s">
        <v>456</v>
      </c>
      <c r="M194" s="173" t="s">
        <v>59</v>
      </c>
      <c r="N194" s="173" t="s">
        <v>59</v>
      </c>
      <c r="O194" s="173" t="s">
        <v>59</v>
      </c>
      <c r="P194" s="173" t="s">
        <v>59</v>
      </c>
      <c r="Q194" s="173" t="s">
        <v>59</v>
      </c>
      <c r="R194" s="174">
        <v>156.19</v>
      </c>
      <c r="S194" s="511"/>
      <c r="T194" s="556" t="s">
        <v>59</v>
      </c>
      <c r="U194" s="175"/>
      <c r="V194" s="176" t="s">
        <v>59</v>
      </c>
      <c r="W194" s="171"/>
      <c r="X194" s="205"/>
      <c r="Y194" s="177"/>
      <c r="Z194" s="178"/>
      <c r="AA194" s="174" t="s">
        <v>59</v>
      </c>
      <c r="AB194" s="178" t="s">
        <v>194</v>
      </c>
      <c r="AC194" s="179"/>
      <c r="AD194" s="171"/>
      <c r="AE194" s="171"/>
      <c r="AF194" s="171"/>
      <c r="AG194" s="171"/>
      <c r="AH194" s="171"/>
      <c r="AI194" s="174" t="s">
        <v>59</v>
      </c>
      <c r="AJ194" s="170"/>
      <c r="AK194" s="170"/>
      <c r="AL194" s="170"/>
      <c r="AM194" s="170"/>
      <c r="AN194" s="170"/>
      <c r="AO194" s="170"/>
      <c r="AP194" s="170"/>
      <c r="AQ194" s="170"/>
      <c r="AR194" s="170"/>
      <c r="AS194" s="170"/>
      <c r="AT194" s="170"/>
      <c r="AU194" s="170"/>
      <c r="AV194" s="170"/>
      <c r="AW194" s="170"/>
      <c r="AX194" s="170"/>
      <c r="AY194" s="170"/>
      <c r="AZ194" s="180" t="s">
        <v>59</v>
      </c>
      <c r="BA194" s="171">
        <f>(COUNTIF(AJ194:AL194,"*OK*")*3) + (COUNTIF(AM194:AO194,"*OK*")*2) + COUNTIF(AP194:AR194,"*OK*")+COUNTIF(AZ194:AZ194,"SI")*0.5</f>
        <v>0</v>
      </c>
      <c r="BB194" s="171" t="str">
        <f>IF(BA194&lt;0.6,"Demasiado Riesgo",IF(BA194&lt;=5,"Riesgo Medio",IF(BA194&lt;=11,"Riesgo Bajo","Cliente Blindado")))</f>
        <v>Demasiado Riesgo</v>
      </c>
      <c r="BC194" s="171"/>
      <c r="BD194" s="171"/>
      <c r="BE194" s="171">
        <v>0</v>
      </c>
      <c r="BF194" s="171"/>
      <c r="BG194" s="171"/>
      <c r="BH194" s="171"/>
      <c r="BI194" s="171"/>
      <c r="BJ194" s="171"/>
      <c r="BK194" s="171"/>
      <c r="BL194" s="171"/>
      <c r="BM194" s="171"/>
      <c r="BN194" s="171"/>
      <c r="BO194" s="171"/>
      <c r="BP194" s="171"/>
      <c r="BQ194" s="171"/>
      <c r="BR194" s="171"/>
      <c r="BS194" s="171"/>
      <c r="BT194" s="171"/>
      <c r="BU194" s="171"/>
      <c r="BV194" s="171"/>
      <c r="BW194" s="171"/>
      <c r="BX194" s="171"/>
      <c r="BY194" s="171"/>
      <c r="BZ194" s="171"/>
      <c r="CA194" s="171">
        <f>COUNTIF(AJ194:AX194,"*OK*")</f>
        <v>0</v>
      </c>
      <c r="CB194" s="171"/>
      <c r="CC194" s="171">
        <f>COUNTIF(AJ194:AX194,"*OP*")</f>
        <v>0</v>
      </c>
    </row>
    <row r="195" spans="1:81" ht="15" hidden="1" customHeight="1">
      <c r="A195" s="501">
        <v>27444</v>
      </c>
      <c r="B195" s="162"/>
      <c r="C195" s="468">
        <f>T195</f>
        <v>355.22</v>
      </c>
      <c r="D195" s="160">
        <f>COUNTIF(AJ195:AX195,"*OK*")</f>
        <v>0</v>
      </c>
      <c r="E195" s="160"/>
      <c r="F195" s="182" t="s">
        <v>729</v>
      </c>
      <c r="G195" s="182"/>
      <c r="H195" s="168"/>
      <c r="I195" s="168"/>
      <c r="J195" s="182"/>
      <c r="K195" s="196" t="s">
        <v>79</v>
      </c>
      <c r="L195" s="182" t="s">
        <v>730</v>
      </c>
      <c r="M195" s="182"/>
      <c r="N195" s="182"/>
      <c r="O195" s="161"/>
      <c r="P195" s="161">
        <v>1069.5899999999999</v>
      </c>
      <c r="Q195" s="161">
        <v>319.36</v>
      </c>
      <c r="R195" s="186">
        <v>379.08</v>
      </c>
      <c r="S195" s="510">
        <v>364.70240000000001</v>
      </c>
      <c r="T195" s="550">
        <v>355.22</v>
      </c>
      <c r="U195" s="164"/>
      <c r="V195" s="165">
        <v>200</v>
      </c>
      <c r="W195" s="187"/>
      <c r="X195" s="208" t="s">
        <v>70</v>
      </c>
      <c r="Y195" s="166" t="s">
        <v>80</v>
      </c>
      <c r="Z195" s="167" t="s">
        <v>731</v>
      </c>
      <c r="AA195" s="165" t="s">
        <v>59</v>
      </c>
      <c r="AB195" s="188" t="s">
        <v>104</v>
      </c>
      <c r="AC195" s="168"/>
      <c r="AD195" s="160"/>
      <c r="AE195" s="160"/>
      <c r="AF195" s="160"/>
      <c r="AG195" s="160"/>
      <c r="AH195" s="160"/>
      <c r="AI195" s="163" t="s">
        <v>59</v>
      </c>
      <c r="AJ195" s="170"/>
      <c r="AK195" s="170"/>
      <c r="AL195" s="170"/>
      <c r="AM195" s="170"/>
      <c r="AN195" s="170"/>
      <c r="AO195" s="170"/>
      <c r="AP195" s="170"/>
      <c r="AQ195" s="170"/>
      <c r="AR195" s="170"/>
      <c r="AS195" s="170"/>
      <c r="AT195" s="170"/>
      <c r="AU195" s="170"/>
      <c r="AV195" s="170"/>
      <c r="AW195" s="170"/>
      <c r="AX195" s="170"/>
      <c r="AY195" s="170"/>
      <c r="AZ195" s="169" t="s">
        <v>59</v>
      </c>
      <c r="BA195" s="160">
        <f>(COUNTIF(AJ195:AL195,"*OK*")*3) + (COUNTIF(AM195:AO195,"*OK*")*2) + COUNTIF(AP195:AR195,"*OK*")+COUNTIF(AZ195:AZ195,"SI")*0.5</f>
        <v>0</v>
      </c>
      <c r="BB195" s="160" t="str">
        <f>IF(BA195&lt;0.6,"Demasiado Riesgo",IF(BA195&lt;=5,"Riesgo Medio",IF(BA195&lt;=11,"Riesgo Bajo","Cliente Blindado")))</f>
        <v>Demasiado Riesgo</v>
      </c>
      <c r="BC195" s="160"/>
      <c r="BD195" s="160"/>
      <c r="BE195" s="160">
        <v>0</v>
      </c>
      <c r="BF195" s="160"/>
      <c r="BG195" s="160"/>
      <c r="BH195" s="160"/>
      <c r="BI195" s="160"/>
      <c r="BJ195" s="160"/>
      <c r="BK195" s="160"/>
      <c r="BL195" s="160"/>
      <c r="BM195" s="160"/>
      <c r="BN195" s="160"/>
      <c r="BO195" s="160"/>
      <c r="BP195" s="160"/>
      <c r="BQ195" s="160"/>
      <c r="BR195" s="160"/>
      <c r="BS195" s="160"/>
      <c r="BT195" s="160"/>
      <c r="BU195" s="160"/>
      <c r="BV195" s="160"/>
      <c r="BW195" s="160"/>
      <c r="BX195" s="160"/>
      <c r="BY195" s="160"/>
      <c r="BZ195" s="160"/>
      <c r="CA195" s="160">
        <f>COUNTIF(AJ195:AX195,"*OK*")</f>
        <v>0</v>
      </c>
      <c r="CB195" s="160"/>
      <c r="CC195" s="160">
        <f>COUNTIF(AJ195:AX195,"*OP*")</f>
        <v>0</v>
      </c>
    </row>
    <row r="196" spans="1:81" ht="15" hidden="1" customHeight="1">
      <c r="A196" s="240">
        <v>24536</v>
      </c>
      <c r="B196" s="171"/>
      <c r="C196" s="468">
        <f>T196</f>
        <v>3.55</v>
      </c>
      <c r="D196" s="171">
        <f>COUNTIF(AJ196:AX196,"*OK*")</f>
        <v>0</v>
      </c>
      <c r="E196" s="171"/>
      <c r="F196" s="183" t="s">
        <v>732</v>
      </c>
      <c r="G196" s="183"/>
      <c r="H196" s="179"/>
      <c r="I196" s="179"/>
      <c r="J196" s="183"/>
      <c r="K196" s="198" t="s">
        <v>68</v>
      </c>
      <c r="L196" s="183" t="s">
        <v>733</v>
      </c>
      <c r="M196" s="183"/>
      <c r="N196" s="183"/>
      <c r="O196" s="172">
        <v>3.61</v>
      </c>
      <c r="P196" s="172">
        <v>3.61</v>
      </c>
      <c r="Q196" s="172">
        <v>3.44</v>
      </c>
      <c r="R196" s="193">
        <v>3.55</v>
      </c>
      <c r="S196" s="510">
        <v>3.5939000000000001</v>
      </c>
      <c r="T196" s="550">
        <v>3.55</v>
      </c>
      <c r="U196" s="175"/>
      <c r="V196" s="176">
        <v>200</v>
      </c>
      <c r="W196" s="194"/>
      <c r="X196" s="205" t="s">
        <v>253</v>
      </c>
      <c r="Y196" s="177" t="s">
        <v>80</v>
      </c>
      <c r="Z196" s="178" t="s">
        <v>734</v>
      </c>
      <c r="AA196" s="176" t="s">
        <v>59</v>
      </c>
      <c r="AB196" s="178" t="s">
        <v>104</v>
      </c>
      <c r="AC196" s="179"/>
      <c r="AD196" s="171"/>
      <c r="AE196" s="171"/>
      <c r="AF196" s="171"/>
      <c r="AG196" s="171"/>
      <c r="AH196" s="171"/>
      <c r="AI196" s="174" t="s">
        <v>59</v>
      </c>
      <c r="AJ196" s="170"/>
      <c r="AK196" s="170"/>
      <c r="AL196" s="170"/>
      <c r="AM196" s="170"/>
      <c r="AN196" s="170"/>
      <c r="AO196" s="170"/>
      <c r="AP196" s="170"/>
      <c r="AQ196" s="170"/>
      <c r="AR196" s="170"/>
      <c r="AS196" s="170"/>
      <c r="AT196" s="170"/>
      <c r="AU196" s="170"/>
      <c r="AV196" s="170"/>
      <c r="AW196" s="170"/>
      <c r="AX196" s="170"/>
      <c r="AY196" s="170"/>
      <c r="AZ196" s="180" t="s">
        <v>59</v>
      </c>
      <c r="BA196" s="171">
        <f>(COUNTIF(AJ196:AL196,"*OK*")*3) + (COUNTIF(AM196:AO196,"*OK*")*2) + COUNTIF(AP196:AR196,"*OK*")+COUNTIF(AZ196:AZ196,"SI")*0.5</f>
        <v>0</v>
      </c>
      <c r="BB196" s="171" t="str">
        <f>IF(BA196&lt;0.6,"Demasiado Riesgo",IF(BA196&lt;=5,"Riesgo Medio",IF(BA196&lt;=11,"Riesgo Bajo","Cliente Blindado")))</f>
        <v>Demasiado Riesgo</v>
      </c>
      <c r="BC196" s="171"/>
      <c r="BD196" s="171"/>
      <c r="BE196" s="171">
        <v>0</v>
      </c>
      <c r="BF196" s="171"/>
      <c r="BG196" s="171"/>
      <c r="BH196" s="171"/>
      <c r="BI196" s="171"/>
      <c r="BJ196" s="171"/>
      <c r="BK196" s="171"/>
      <c r="BL196" s="171"/>
      <c r="BM196" s="171"/>
      <c r="BN196" s="171"/>
      <c r="BO196" s="171"/>
      <c r="BP196" s="171"/>
      <c r="BQ196" s="171"/>
      <c r="BR196" s="171"/>
      <c r="BS196" s="171"/>
      <c r="BT196" s="171"/>
      <c r="BU196" s="171"/>
      <c r="BV196" s="171"/>
      <c r="BW196" s="171"/>
      <c r="BX196" s="171"/>
      <c r="BY196" s="171"/>
      <c r="BZ196" s="171"/>
      <c r="CA196" s="171">
        <f>COUNTIF(AJ196:AX196,"*OK*")</f>
        <v>0</v>
      </c>
      <c r="CB196" s="171"/>
      <c r="CC196" s="171">
        <f>COUNTIF(AJ196:AX196,"*OP*")</f>
        <v>0</v>
      </c>
    </row>
    <row r="197" spans="1:81" ht="15" hidden="1" customHeight="1">
      <c r="A197" s="241"/>
      <c r="B197" s="160"/>
      <c r="C197" s="468">
        <f>T197</f>
        <v>4.63</v>
      </c>
      <c r="D197" s="160">
        <f>COUNTIF(AJ197:AX197,"*OK*")</f>
        <v>0</v>
      </c>
      <c r="E197" s="160"/>
      <c r="F197" s="182" t="s">
        <v>735</v>
      </c>
      <c r="G197" s="182"/>
      <c r="H197" s="168"/>
      <c r="I197" s="168"/>
      <c r="J197" s="182"/>
      <c r="K197" s="185" t="s">
        <v>68</v>
      </c>
      <c r="L197" s="182" t="s">
        <v>733</v>
      </c>
      <c r="M197" s="182"/>
      <c r="N197" s="182"/>
      <c r="O197" s="161">
        <v>4.7</v>
      </c>
      <c r="P197" s="161">
        <v>4.6900000000000004</v>
      </c>
      <c r="Q197" s="161">
        <v>4.47</v>
      </c>
      <c r="R197" s="186">
        <v>4.62</v>
      </c>
      <c r="S197" s="510">
        <v>4.6795</v>
      </c>
      <c r="T197" s="551">
        <v>4.63</v>
      </c>
      <c r="U197" s="164"/>
      <c r="V197" s="165">
        <v>100</v>
      </c>
      <c r="W197" s="187"/>
      <c r="X197" s="207" t="s">
        <v>70</v>
      </c>
      <c r="Y197" s="166" t="s">
        <v>363</v>
      </c>
      <c r="Z197" s="167" t="s">
        <v>736</v>
      </c>
      <c r="AA197" s="165" t="s">
        <v>59</v>
      </c>
      <c r="AB197" s="167" t="s">
        <v>65</v>
      </c>
      <c r="AC197" s="168"/>
      <c r="AD197" s="160"/>
      <c r="AE197" s="160"/>
      <c r="AF197" s="160"/>
      <c r="AG197" s="160"/>
      <c r="AH197" s="160"/>
      <c r="AI197" s="163" t="s">
        <v>59</v>
      </c>
      <c r="AJ197" s="170"/>
      <c r="AK197" s="170"/>
      <c r="AL197" s="170"/>
      <c r="AM197" s="170"/>
      <c r="AN197" s="170"/>
      <c r="AO197" s="170"/>
      <c r="AP197" s="170"/>
      <c r="AQ197" s="170"/>
      <c r="AR197" s="170"/>
      <c r="AS197" s="170"/>
      <c r="AT197" s="170"/>
      <c r="AU197" s="170"/>
      <c r="AV197" s="170"/>
      <c r="AW197" s="170"/>
      <c r="AX197" s="170"/>
      <c r="AY197" s="170"/>
      <c r="AZ197" s="169" t="s">
        <v>59</v>
      </c>
      <c r="BA197" s="160">
        <f>(COUNTIF(AJ197:AL197,"*OK*")*3) + (COUNTIF(AM197:AO197,"*OK*")*2) + COUNTIF(AP197:AR197,"*OK*")+COUNTIF(AZ197:AZ197,"SI")*0.5</f>
        <v>0</v>
      </c>
      <c r="BB197" s="160" t="str">
        <f>IF(BA197&lt;0.6,"Demasiado Riesgo",IF(BA197&lt;=5,"Riesgo Medio",IF(BA197&lt;=11,"Riesgo Bajo","Cliente Blindado")))</f>
        <v>Demasiado Riesgo</v>
      </c>
      <c r="BC197" s="160"/>
      <c r="BD197" s="160"/>
      <c r="BE197" s="160">
        <v>0</v>
      </c>
      <c r="BF197" s="160"/>
      <c r="BG197" s="160"/>
      <c r="BH197" s="160"/>
      <c r="BI197" s="160"/>
      <c r="BJ197" s="160"/>
      <c r="BK197" s="160"/>
      <c r="BL197" s="160"/>
      <c r="BM197" s="160"/>
      <c r="BN197" s="160"/>
      <c r="BO197" s="160"/>
      <c r="BP197" s="160"/>
      <c r="BQ197" s="160"/>
      <c r="BR197" s="160"/>
      <c r="BS197" s="160"/>
      <c r="BT197" s="160"/>
      <c r="BU197" s="160"/>
      <c r="BV197" s="160"/>
      <c r="BW197" s="160"/>
      <c r="BX197" s="160"/>
      <c r="BY197" s="160"/>
      <c r="BZ197" s="160"/>
      <c r="CA197" s="160">
        <f>COUNTIF(AJ197:AX197,"*OK*")</f>
        <v>0</v>
      </c>
      <c r="CB197" s="160"/>
      <c r="CC197" s="160">
        <f>COUNTIF(AJ197:AX197,"*OP*")</f>
        <v>0</v>
      </c>
    </row>
    <row r="198" spans="1:81" ht="15" hidden="1" customHeight="1">
      <c r="A198" s="241"/>
      <c r="B198" s="160"/>
      <c r="C198" s="468">
        <f>T198</f>
        <v>5.14</v>
      </c>
      <c r="D198" s="160">
        <f>COUNTIF(AJ198:AX198,"*OK*")</f>
        <v>0</v>
      </c>
      <c r="E198" s="160"/>
      <c r="F198" s="182" t="s">
        <v>737</v>
      </c>
      <c r="G198" s="182"/>
      <c r="H198" s="168"/>
      <c r="I198" s="168"/>
      <c r="J198" s="182"/>
      <c r="K198" s="185" t="s">
        <v>68</v>
      </c>
      <c r="L198" s="182" t="s">
        <v>733</v>
      </c>
      <c r="M198" s="182"/>
      <c r="N198" s="182"/>
      <c r="O198" s="161"/>
      <c r="P198" s="161"/>
      <c r="Q198" s="161">
        <v>7.46</v>
      </c>
      <c r="R198" s="186">
        <v>7.7</v>
      </c>
      <c r="S198" s="510">
        <v>7.7991000000000001</v>
      </c>
      <c r="T198" s="551">
        <v>5.14</v>
      </c>
      <c r="U198" s="164"/>
      <c r="V198" s="165">
        <v>50</v>
      </c>
      <c r="W198" s="187"/>
      <c r="X198" s="208" t="s">
        <v>70</v>
      </c>
      <c r="Y198" s="166" t="s">
        <v>71</v>
      </c>
      <c r="Z198" s="167" t="s">
        <v>738</v>
      </c>
      <c r="AA198" s="165" t="s">
        <v>59</v>
      </c>
      <c r="AB198" s="167" t="s">
        <v>65</v>
      </c>
      <c r="AC198" s="168"/>
      <c r="AD198" s="160"/>
      <c r="AE198" s="160"/>
      <c r="AF198" s="160"/>
      <c r="AG198" s="160"/>
      <c r="AH198" s="160"/>
      <c r="AI198" s="163" t="s">
        <v>59</v>
      </c>
      <c r="AJ198" s="170"/>
      <c r="AK198" s="170"/>
      <c r="AL198" s="170"/>
      <c r="AM198" s="170"/>
      <c r="AN198" s="170"/>
      <c r="AO198" s="170"/>
      <c r="AP198" s="170"/>
      <c r="AQ198" s="170"/>
      <c r="AR198" s="170"/>
      <c r="AS198" s="170"/>
      <c r="AT198" s="170"/>
      <c r="AU198" s="170"/>
      <c r="AV198" s="170"/>
      <c r="AW198" s="170"/>
      <c r="AX198" s="170"/>
      <c r="AY198" s="170"/>
      <c r="AZ198" s="167" t="s">
        <v>59</v>
      </c>
      <c r="BA198" s="160">
        <f>(COUNTIF(AJ198:AL198,"*OK*")*3) + (COUNTIF(AM198:AO198,"*OK*")*2) + COUNTIF(AP198:AR198,"*OK*")+COUNTIF(AZ198:AZ198,"SI")*0.5</f>
        <v>0</v>
      </c>
      <c r="BB198" s="160" t="str">
        <f>IF(BA198&lt;0.6,"Demasiado Riesgo",IF(BA198&lt;=5,"Riesgo Medio",IF(BA198&lt;=11,"Riesgo Bajo","Cliente Blindado")))</f>
        <v>Demasiado Riesgo</v>
      </c>
      <c r="BC198" s="160"/>
      <c r="BD198" s="160"/>
      <c r="BE198" s="160">
        <v>0</v>
      </c>
      <c r="BF198" s="160"/>
      <c r="BG198" s="160"/>
      <c r="BH198" s="160"/>
      <c r="BI198" s="160"/>
      <c r="BJ198" s="160"/>
      <c r="BK198" s="160"/>
      <c r="BL198" s="160"/>
      <c r="BM198" s="160"/>
      <c r="BN198" s="160"/>
      <c r="BO198" s="160"/>
      <c r="BP198" s="160"/>
      <c r="BQ198" s="160"/>
      <c r="BR198" s="160"/>
      <c r="BS198" s="160"/>
      <c r="BT198" s="160"/>
      <c r="BU198" s="160"/>
      <c r="BV198" s="160"/>
      <c r="BW198" s="160"/>
      <c r="BX198" s="160"/>
      <c r="BY198" s="160"/>
      <c r="BZ198" s="160"/>
      <c r="CA198" s="160">
        <f>COUNTIF(AJ198:AX198,"*OK*")</f>
        <v>0</v>
      </c>
      <c r="CB198" s="160"/>
      <c r="CC198" s="160">
        <f>COUNTIF(AJ198:AX198,"*OP*")</f>
        <v>0</v>
      </c>
    </row>
    <row r="199" spans="1:81" ht="15" hidden="1" customHeight="1">
      <c r="A199" s="241"/>
      <c r="B199" s="160"/>
      <c r="C199" s="468">
        <f>T199</f>
        <v>6.17</v>
      </c>
      <c r="D199" s="160">
        <f>COUNTIF(AJ199:AX199,"*OK*")</f>
        <v>0</v>
      </c>
      <c r="E199" s="160"/>
      <c r="F199" s="182" t="s">
        <v>739</v>
      </c>
      <c r="G199" s="182"/>
      <c r="H199" s="168"/>
      <c r="I199" s="168"/>
      <c r="J199" s="182"/>
      <c r="K199" s="185" t="s">
        <v>68</v>
      </c>
      <c r="L199" s="182" t="s">
        <v>733</v>
      </c>
      <c r="M199" s="182"/>
      <c r="N199" s="182"/>
      <c r="O199" s="161">
        <v>6.26</v>
      </c>
      <c r="P199" s="161">
        <v>6.26</v>
      </c>
      <c r="Q199" s="161">
        <v>5.96</v>
      </c>
      <c r="R199" s="186">
        <v>6.16</v>
      </c>
      <c r="S199" s="510">
        <v>6.2393000000000001</v>
      </c>
      <c r="T199" s="551">
        <v>6.17</v>
      </c>
      <c r="U199" s="164"/>
      <c r="V199" s="165">
        <v>100</v>
      </c>
      <c r="W199" s="187"/>
      <c r="X199" s="208" t="s">
        <v>70</v>
      </c>
      <c r="Y199" s="166" t="s">
        <v>162</v>
      </c>
      <c r="Z199" s="167" t="s">
        <v>740</v>
      </c>
      <c r="AA199" s="165" t="s">
        <v>59</v>
      </c>
      <c r="AB199" s="167" t="s">
        <v>240</v>
      </c>
      <c r="AC199" s="168"/>
      <c r="AD199" s="160"/>
      <c r="AE199" s="160"/>
      <c r="AF199" s="160"/>
      <c r="AG199" s="160"/>
      <c r="AH199" s="160"/>
      <c r="AI199" s="163" t="s">
        <v>59</v>
      </c>
      <c r="AJ199" s="170"/>
      <c r="AK199" s="170"/>
      <c r="AL199" s="170"/>
      <c r="AM199" s="170"/>
      <c r="AN199" s="170"/>
      <c r="AO199" s="170"/>
      <c r="AP199" s="170"/>
      <c r="AQ199" s="170"/>
      <c r="AR199" s="170"/>
      <c r="AS199" s="170"/>
      <c r="AT199" s="170"/>
      <c r="AU199" s="170"/>
      <c r="AV199" s="170"/>
      <c r="AW199" s="170"/>
      <c r="AX199" s="170"/>
      <c r="AY199" s="170"/>
      <c r="AZ199" s="169" t="s">
        <v>59</v>
      </c>
      <c r="BA199" s="160">
        <f>(COUNTIF(AJ199:AL199,"*OK*")*3) + (COUNTIF(AM199:AO199,"*OK*")*2) + COUNTIF(AP199:AR199,"*OK*")+COUNTIF(AZ199:AZ199,"SI")*0.5</f>
        <v>0</v>
      </c>
      <c r="BB199" s="160" t="str">
        <f>IF(BA199&lt;0.6,"Demasiado Riesgo",IF(BA199&lt;=5,"Riesgo Medio",IF(BA199&lt;=11,"Riesgo Bajo","Cliente Blindado")))</f>
        <v>Demasiado Riesgo</v>
      </c>
      <c r="BC199" s="160"/>
      <c r="BD199" s="160"/>
      <c r="BE199" s="160">
        <v>0</v>
      </c>
      <c r="BF199" s="160"/>
      <c r="BG199" s="160"/>
      <c r="BH199" s="160"/>
      <c r="BI199" s="160"/>
      <c r="BJ199" s="160"/>
      <c r="BK199" s="160"/>
      <c r="BL199" s="160"/>
      <c r="BM199" s="160"/>
      <c r="BN199" s="160"/>
      <c r="BO199" s="160"/>
      <c r="BP199" s="160"/>
      <c r="BQ199" s="160"/>
      <c r="BR199" s="160"/>
      <c r="BS199" s="160"/>
      <c r="BT199" s="160"/>
      <c r="BU199" s="160"/>
      <c r="BV199" s="160"/>
      <c r="BW199" s="160"/>
      <c r="BX199" s="160"/>
      <c r="BY199" s="160"/>
      <c r="BZ199" s="160"/>
      <c r="CA199" s="160">
        <f>COUNTIF(AJ199:AX199,"*OK*")</f>
        <v>0</v>
      </c>
      <c r="CB199" s="160"/>
      <c r="CC199" s="160">
        <f>COUNTIF(AJ199:AX199,"*OP*")</f>
        <v>0</v>
      </c>
    </row>
    <row r="200" spans="1:81" ht="15" hidden="1" customHeight="1">
      <c r="A200" s="240">
        <v>35369</v>
      </c>
      <c r="B200" s="171"/>
      <c r="C200" s="468">
        <f>T200</f>
        <v>6.17</v>
      </c>
      <c r="D200" s="171">
        <f>COUNTIF(AJ200:AX200,"*OK*")</f>
        <v>0</v>
      </c>
      <c r="E200" s="171"/>
      <c r="F200" s="183" t="s">
        <v>741</v>
      </c>
      <c r="G200" s="183"/>
      <c r="H200" s="179"/>
      <c r="I200" s="179"/>
      <c r="J200" s="183"/>
      <c r="K200" s="192" t="s">
        <v>68</v>
      </c>
      <c r="L200" s="183" t="s">
        <v>733</v>
      </c>
      <c r="M200" s="183"/>
      <c r="N200" s="183"/>
      <c r="O200" s="172">
        <v>6.26</v>
      </c>
      <c r="P200" s="172">
        <v>6.26</v>
      </c>
      <c r="Q200" s="172">
        <v>5.96</v>
      </c>
      <c r="R200" s="193">
        <v>6.16</v>
      </c>
      <c r="S200" s="510">
        <v>6.2393000000000001</v>
      </c>
      <c r="T200" s="550">
        <v>6.17</v>
      </c>
      <c r="U200" s="175"/>
      <c r="V200" s="176">
        <v>100</v>
      </c>
      <c r="W200" s="194"/>
      <c r="X200" s="209" t="s">
        <v>70</v>
      </c>
      <c r="Y200" s="177" t="s">
        <v>363</v>
      </c>
      <c r="Z200" s="178" t="s">
        <v>742</v>
      </c>
      <c r="AA200" s="176" t="s">
        <v>59</v>
      </c>
      <c r="AB200" s="178" t="s">
        <v>65</v>
      </c>
      <c r="AC200" s="179"/>
      <c r="AD200" s="171"/>
      <c r="AE200" s="171"/>
      <c r="AF200" s="171"/>
      <c r="AG200" s="171"/>
      <c r="AH200" s="171"/>
      <c r="AI200" s="174" t="s">
        <v>59</v>
      </c>
      <c r="AJ200" s="170"/>
      <c r="AK200" s="170"/>
      <c r="AL200" s="170"/>
      <c r="AM200" s="170"/>
      <c r="AN200" s="170"/>
      <c r="AO200" s="170"/>
      <c r="AP200" s="170"/>
      <c r="AQ200" s="170"/>
      <c r="AR200" s="170"/>
      <c r="AS200" s="170"/>
      <c r="AT200" s="170"/>
      <c r="AU200" s="170"/>
      <c r="AV200" s="170"/>
      <c r="AW200" s="170"/>
      <c r="AX200" s="170"/>
      <c r="AY200" s="170"/>
      <c r="AZ200" s="180" t="s">
        <v>59</v>
      </c>
      <c r="BA200" s="171">
        <f>(COUNTIF(AJ200:AL200,"*OK*")*3) + (COUNTIF(AM200:AO200,"*OK*")*2) + COUNTIF(AP200:AR200,"*OK*")+COUNTIF(AZ200:AZ200,"SI")*0.5</f>
        <v>0</v>
      </c>
      <c r="BB200" s="171" t="str">
        <f>IF(BA200&lt;0.6,"Demasiado Riesgo",IF(BA200&lt;=5,"Riesgo Medio",IF(BA200&lt;=11,"Riesgo Bajo","Cliente Blindado")))</f>
        <v>Demasiado Riesgo</v>
      </c>
      <c r="BC200" s="171"/>
      <c r="BD200" s="171"/>
      <c r="BE200" s="171">
        <v>0</v>
      </c>
      <c r="BF200" s="171"/>
      <c r="BG200" s="171"/>
      <c r="BH200" s="171"/>
      <c r="BI200" s="171"/>
      <c r="BJ200" s="171"/>
      <c r="BK200" s="171"/>
      <c r="BL200" s="171"/>
      <c r="BM200" s="171"/>
      <c r="BN200" s="171"/>
      <c r="BO200" s="171"/>
      <c r="BP200" s="171"/>
      <c r="BQ200" s="171"/>
      <c r="BR200" s="171"/>
      <c r="BS200" s="171"/>
      <c r="BT200" s="171"/>
      <c r="BU200" s="171"/>
      <c r="BV200" s="171"/>
      <c r="BW200" s="171"/>
      <c r="BX200" s="171"/>
      <c r="BY200" s="171"/>
      <c r="BZ200" s="171"/>
      <c r="CA200" s="171">
        <f>COUNTIF(AJ200:AX200,"*OK*")</f>
        <v>0</v>
      </c>
      <c r="CB200" s="171"/>
      <c r="CC200" s="171">
        <f>COUNTIF(AJ200:AX200,"*OP*")</f>
        <v>0</v>
      </c>
    </row>
    <row r="201" spans="1:81" ht="15" hidden="1" customHeight="1">
      <c r="A201" s="240"/>
      <c r="B201" s="171"/>
      <c r="C201" s="468">
        <f>T201</f>
        <v>7.71</v>
      </c>
      <c r="D201" s="171">
        <f>COUNTIF(AJ201:AX201,"*OK*")</f>
        <v>0</v>
      </c>
      <c r="E201" s="171"/>
      <c r="F201" s="183" t="s">
        <v>743</v>
      </c>
      <c r="G201" s="183"/>
      <c r="H201" s="179"/>
      <c r="I201" s="179"/>
      <c r="J201" s="183"/>
      <c r="K201" s="192" t="s">
        <v>68</v>
      </c>
      <c r="L201" s="183" t="s">
        <v>733</v>
      </c>
      <c r="M201" s="183"/>
      <c r="N201" s="183"/>
      <c r="O201" s="172">
        <v>7.83</v>
      </c>
      <c r="P201" s="172">
        <v>7.82</v>
      </c>
      <c r="Q201" s="172">
        <v>7.46</v>
      </c>
      <c r="R201" s="193">
        <v>7.7</v>
      </c>
      <c r="S201" s="510">
        <v>7.7991000000000001</v>
      </c>
      <c r="T201" s="550">
        <v>7.71</v>
      </c>
      <c r="U201" s="175"/>
      <c r="V201" s="176">
        <v>50</v>
      </c>
      <c r="W201" s="194"/>
      <c r="X201" s="209" t="s">
        <v>70</v>
      </c>
      <c r="Y201" s="177" t="s">
        <v>71</v>
      </c>
      <c r="Z201" s="178" t="s">
        <v>744</v>
      </c>
      <c r="AA201" s="176" t="s">
        <v>59</v>
      </c>
      <c r="AB201" s="178" t="s">
        <v>65</v>
      </c>
      <c r="AC201" s="179"/>
      <c r="AD201" s="171"/>
      <c r="AE201" s="171"/>
      <c r="AF201" s="171"/>
      <c r="AG201" s="171"/>
      <c r="AH201" s="171"/>
      <c r="AI201" s="174" t="s">
        <v>59</v>
      </c>
      <c r="AJ201" s="170"/>
      <c r="AK201" s="170"/>
      <c r="AL201" s="170"/>
      <c r="AM201" s="170"/>
      <c r="AN201" s="170"/>
      <c r="AO201" s="170"/>
      <c r="AP201" s="170"/>
      <c r="AQ201" s="170"/>
      <c r="AR201" s="170"/>
      <c r="AS201" s="170"/>
      <c r="AT201" s="170"/>
      <c r="AU201" s="170"/>
      <c r="AV201" s="170"/>
      <c r="AW201" s="170"/>
      <c r="AX201" s="170"/>
      <c r="AY201" s="170"/>
      <c r="AZ201" s="180" t="s">
        <v>59</v>
      </c>
      <c r="BA201" s="171">
        <f>(COUNTIF(AJ201:AL201,"*OK*")*3) + (COUNTIF(AM201:AO201,"*OK*")*2) + COUNTIF(AP201:AR201,"*OK*")+COUNTIF(AZ201:AZ201,"SI")*0.5</f>
        <v>0</v>
      </c>
      <c r="BB201" s="171" t="str">
        <f>IF(BA201&lt;0.6,"Demasiado Riesgo",IF(BA201&lt;=5,"Riesgo Medio",IF(BA201&lt;=11,"Riesgo Bajo","Cliente Blindado")))</f>
        <v>Demasiado Riesgo</v>
      </c>
      <c r="BC201" s="171"/>
      <c r="BD201" s="171"/>
      <c r="BE201" s="171">
        <v>0</v>
      </c>
      <c r="BF201" s="171"/>
      <c r="BG201" s="171"/>
      <c r="BH201" s="171"/>
      <c r="BI201" s="171"/>
      <c r="BJ201" s="171"/>
      <c r="BK201" s="171"/>
      <c r="BL201" s="171"/>
      <c r="BM201" s="171"/>
      <c r="BN201" s="171"/>
      <c r="BO201" s="171"/>
      <c r="BP201" s="171"/>
      <c r="BQ201" s="171"/>
      <c r="BR201" s="171"/>
      <c r="BS201" s="171"/>
      <c r="BT201" s="171"/>
      <c r="BU201" s="171"/>
      <c r="BV201" s="171"/>
      <c r="BW201" s="171"/>
      <c r="BX201" s="171"/>
      <c r="BY201" s="171"/>
      <c r="BZ201" s="171"/>
      <c r="CA201" s="171">
        <f>COUNTIF(AJ201:AX201,"*OK*")</f>
        <v>0</v>
      </c>
      <c r="CB201" s="171"/>
      <c r="CC201" s="171">
        <f>COUNTIF(AJ201:AX201,"*OP*")</f>
        <v>0</v>
      </c>
    </row>
    <row r="202" spans="1:81" ht="15" hidden="1" customHeight="1">
      <c r="A202" s="240"/>
      <c r="B202" s="171"/>
      <c r="C202" s="468">
        <f>T202</f>
        <v>7.78</v>
      </c>
      <c r="D202" s="171">
        <f>COUNTIF(AJ202:AX202,"*OK*")</f>
        <v>0</v>
      </c>
      <c r="E202" s="171"/>
      <c r="F202" s="183" t="s">
        <v>745</v>
      </c>
      <c r="G202" s="183"/>
      <c r="H202" s="179"/>
      <c r="I202" s="179"/>
      <c r="J202" s="183"/>
      <c r="K202" s="198" t="s">
        <v>68</v>
      </c>
      <c r="L202" s="183" t="s">
        <v>733</v>
      </c>
      <c r="M202" s="183"/>
      <c r="N202" s="183"/>
      <c r="O202" s="172">
        <v>7.9</v>
      </c>
      <c r="P202" s="172">
        <v>7.89</v>
      </c>
      <c r="Q202" s="172">
        <v>7.52</v>
      </c>
      <c r="R202" s="193">
        <v>7.76</v>
      </c>
      <c r="S202" s="510">
        <v>7.8666999999999998</v>
      </c>
      <c r="T202" s="550">
        <v>7.78</v>
      </c>
      <c r="U202" s="175"/>
      <c r="V202" s="176">
        <v>50</v>
      </c>
      <c r="W202" s="194"/>
      <c r="X202" s="209" t="s">
        <v>70</v>
      </c>
      <c r="Y202" s="177" t="s">
        <v>71</v>
      </c>
      <c r="Z202" s="178" t="s">
        <v>72</v>
      </c>
      <c r="AA202" s="176" t="s">
        <v>59</v>
      </c>
      <c r="AB202" s="178" t="s">
        <v>65</v>
      </c>
      <c r="AC202" s="179"/>
      <c r="AD202" s="171"/>
      <c r="AE202" s="171"/>
      <c r="AF202" s="171"/>
      <c r="AG202" s="171"/>
      <c r="AH202" s="171"/>
      <c r="AI202" s="174" t="s">
        <v>59</v>
      </c>
      <c r="AJ202" s="170"/>
      <c r="AK202" s="170"/>
      <c r="AL202" s="170"/>
      <c r="AM202" s="170"/>
      <c r="AN202" s="170"/>
      <c r="AO202" s="170"/>
      <c r="AP202" s="170"/>
      <c r="AQ202" s="170"/>
      <c r="AR202" s="170"/>
      <c r="AS202" s="170"/>
      <c r="AT202" s="170"/>
      <c r="AU202" s="170"/>
      <c r="AV202" s="170"/>
      <c r="AW202" s="170"/>
      <c r="AX202" s="170"/>
      <c r="AY202" s="170"/>
      <c r="AZ202" s="180" t="s">
        <v>59</v>
      </c>
      <c r="BA202" s="171">
        <f>(COUNTIF(AJ202:AL202,"*OK*")*3) + (COUNTIF(AM202:AO202,"*OK*")*2) + COUNTIF(AP202:AR202,"*OK*")+COUNTIF(AZ202:AZ202,"SI")*0.5</f>
        <v>0</v>
      </c>
      <c r="BB202" s="171" t="str">
        <f>IF(BA202&lt;0.6,"Demasiado Riesgo",IF(BA202&lt;=5,"Riesgo Medio",IF(BA202&lt;=11,"Riesgo Bajo","Cliente Blindado")))</f>
        <v>Demasiado Riesgo</v>
      </c>
      <c r="BC202" s="171"/>
      <c r="BD202" s="171"/>
      <c r="BE202" s="171">
        <v>0</v>
      </c>
      <c r="BF202" s="171"/>
      <c r="BG202" s="171"/>
      <c r="BH202" s="171"/>
      <c r="BI202" s="171"/>
      <c r="BJ202" s="171"/>
      <c r="BK202" s="171"/>
      <c r="BL202" s="171"/>
      <c r="BM202" s="171"/>
      <c r="BN202" s="171"/>
      <c r="BO202" s="171"/>
      <c r="BP202" s="171"/>
      <c r="BQ202" s="171"/>
      <c r="BR202" s="171"/>
      <c r="BS202" s="171"/>
      <c r="BT202" s="171"/>
      <c r="BU202" s="171"/>
      <c r="BV202" s="171"/>
      <c r="BW202" s="171"/>
      <c r="BX202" s="171"/>
      <c r="BY202" s="171"/>
      <c r="BZ202" s="171"/>
      <c r="CA202" s="171">
        <f>COUNTIF(AJ202:AX202,"*OK*")</f>
        <v>0</v>
      </c>
      <c r="CB202" s="171"/>
      <c r="CC202" s="171">
        <f>COUNTIF(AJ202:AX202,"*OP*")</f>
        <v>0</v>
      </c>
    </row>
    <row r="203" spans="1:81" ht="15" hidden="1" customHeight="1">
      <c r="A203" s="241"/>
      <c r="B203" s="160"/>
      <c r="C203" s="468">
        <f>T203</f>
        <v>9.26</v>
      </c>
      <c r="D203" s="160">
        <f>COUNTIF(AJ203:AX203,"*OK*")</f>
        <v>0</v>
      </c>
      <c r="E203" s="160"/>
      <c r="F203" s="182" t="s">
        <v>746</v>
      </c>
      <c r="G203" s="182"/>
      <c r="H203" s="168"/>
      <c r="I203" s="168"/>
      <c r="J203" s="182"/>
      <c r="K203" s="185" t="s">
        <v>68</v>
      </c>
      <c r="L203" s="182" t="s">
        <v>733</v>
      </c>
      <c r="M203" s="182"/>
      <c r="N203" s="182"/>
      <c r="O203" s="161">
        <v>9.4</v>
      </c>
      <c r="P203" s="161">
        <v>9.39</v>
      </c>
      <c r="Q203" s="161">
        <v>8.9499999999999993</v>
      </c>
      <c r="R203" s="186">
        <v>9.23</v>
      </c>
      <c r="S203" s="510">
        <v>9.3589000000000002</v>
      </c>
      <c r="T203" s="551">
        <v>9.26</v>
      </c>
      <c r="U203" s="164"/>
      <c r="V203" s="165">
        <v>100</v>
      </c>
      <c r="W203" s="187"/>
      <c r="X203" s="208" t="s">
        <v>70</v>
      </c>
      <c r="Y203" s="166" t="s">
        <v>363</v>
      </c>
      <c r="Z203" s="167" t="s">
        <v>747</v>
      </c>
      <c r="AA203" s="165" t="s">
        <v>59</v>
      </c>
      <c r="AB203" s="167" t="s">
        <v>65</v>
      </c>
      <c r="AC203" s="168"/>
      <c r="AD203" s="160"/>
      <c r="AE203" s="160"/>
      <c r="AF203" s="160"/>
      <c r="AG203" s="160"/>
      <c r="AH203" s="160"/>
      <c r="AI203" s="167" t="s">
        <v>59</v>
      </c>
      <c r="AJ203" s="170"/>
      <c r="AK203" s="170"/>
      <c r="AL203" s="170"/>
      <c r="AM203" s="170"/>
      <c r="AN203" s="170"/>
      <c r="AO203" s="170"/>
      <c r="AP203" s="170"/>
      <c r="AQ203" s="170"/>
      <c r="AR203" s="170"/>
      <c r="AS203" s="170"/>
      <c r="AT203" s="170"/>
      <c r="AU203" s="170"/>
      <c r="AV203" s="170"/>
      <c r="AW203" s="170"/>
      <c r="AX203" s="170"/>
      <c r="AY203" s="170"/>
      <c r="AZ203" s="167" t="s">
        <v>59</v>
      </c>
      <c r="BA203" s="160">
        <f>(COUNTIF(AJ203:AL203,"*OK*")*3) + (COUNTIF(AM203:AO203,"*OK*")*2) + COUNTIF(AP203:AR203,"*OK*")+COUNTIF(AZ203:AZ203,"SI")*0.5</f>
        <v>0</v>
      </c>
      <c r="BB203" s="160" t="str">
        <f>IF(BA203&lt;0.6,"Demasiado Riesgo",IF(BA203&lt;=5,"Riesgo Medio",IF(BA203&lt;=11,"Riesgo Bajo","Cliente Blindado")))</f>
        <v>Demasiado Riesgo</v>
      </c>
      <c r="BC203" s="160"/>
      <c r="BD203" s="160"/>
      <c r="BE203" s="160">
        <v>0</v>
      </c>
      <c r="BF203" s="160"/>
      <c r="BG203" s="160"/>
      <c r="BH203" s="160"/>
      <c r="BI203" s="160"/>
      <c r="BJ203" s="160"/>
      <c r="BK203" s="160"/>
      <c r="BL203" s="160"/>
      <c r="BM203" s="160"/>
      <c r="BN203" s="160"/>
      <c r="BO203" s="160"/>
      <c r="BP203" s="160"/>
      <c r="BQ203" s="160"/>
      <c r="BR203" s="160"/>
      <c r="BS203" s="160"/>
      <c r="BT203" s="160"/>
      <c r="BU203" s="160"/>
      <c r="BV203" s="160"/>
      <c r="BW203" s="160"/>
      <c r="BX203" s="160"/>
      <c r="BY203" s="160"/>
      <c r="BZ203" s="160"/>
      <c r="CA203" s="160">
        <f>COUNTIF(AJ203:AX203,"*OK*")</f>
        <v>0</v>
      </c>
      <c r="CB203" s="160"/>
      <c r="CC203" s="160">
        <f>COUNTIF(AJ203:AX203,"*OP*")</f>
        <v>0</v>
      </c>
    </row>
    <row r="204" spans="1:81" s="121" customFormat="1" ht="15" hidden="1" customHeight="1">
      <c r="A204" s="240"/>
      <c r="B204" s="171"/>
      <c r="C204" s="468">
        <f>T204</f>
        <v>10.8</v>
      </c>
      <c r="D204" s="171">
        <f>COUNTIF(AJ204:AX204,"*OK*")</f>
        <v>0</v>
      </c>
      <c r="E204" s="171"/>
      <c r="F204" s="183" t="s">
        <v>748</v>
      </c>
      <c r="G204" s="183"/>
      <c r="H204" s="179"/>
      <c r="I204" s="179"/>
      <c r="J204" s="183"/>
      <c r="K204" s="192" t="s">
        <v>68</v>
      </c>
      <c r="L204" s="183" t="s">
        <v>733</v>
      </c>
      <c r="M204" s="183"/>
      <c r="N204" s="183"/>
      <c r="O204" s="172">
        <v>10.96</v>
      </c>
      <c r="P204" s="172">
        <v>10.95</v>
      </c>
      <c r="Q204" s="172">
        <v>10.44</v>
      </c>
      <c r="R204" s="193">
        <v>10.77</v>
      </c>
      <c r="S204" s="510">
        <v>10.918699999999999</v>
      </c>
      <c r="T204" s="550">
        <v>10.8</v>
      </c>
      <c r="U204" s="175"/>
      <c r="V204" s="176">
        <v>50</v>
      </c>
      <c r="W204" s="194"/>
      <c r="X204" s="209" t="s">
        <v>70</v>
      </c>
      <c r="Y204" s="177" t="s">
        <v>80</v>
      </c>
      <c r="Z204" s="178" t="s">
        <v>749</v>
      </c>
      <c r="AA204" s="176" t="s">
        <v>59</v>
      </c>
      <c r="AB204" s="178" t="s">
        <v>65</v>
      </c>
      <c r="AC204" s="179"/>
      <c r="AD204" s="171"/>
      <c r="AE204" s="171"/>
      <c r="AF204" s="171"/>
      <c r="AG204" s="171"/>
      <c r="AH204" s="171"/>
      <c r="AI204" s="174" t="s">
        <v>59</v>
      </c>
      <c r="AJ204" s="170"/>
      <c r="AK204" s="170"/>
      <c r="AL204" s="170"/>
      <c r="AM204" s="170"/>
      <c r="AN204" s="170"/>
      <c r="AO204" s="170"/>
      <c r="AP204" s="170"/>
      <c r="AQ204" s="170"/>
      <c r="AR204" s="170"/>
      <c r="AS204" s="170"/>
      <c r="AT204" s="170"/>
      <c r="AU204" s="170"/>
      <c r="AV204" s="170"/>
      <c r="AW204" s="170"/>
      <c r="AX204" s="170"/>
      <c r="AY204" s="170"/>
      <c r="AZ204" s="180" t="s">
        <v>59</v>
      </c>
      <c r="BA204" s="171">
        <f>(COUNTIF(AJ204:AL204,"*OK*")*3) + (COUNTIF(AM204:AO204,"*OK*")*2) + COUNTIF(AP204:AR204,"*OK*")+COUNTIF(AZ204:AZ204,"SI")*0.5</f>
        <v>0</v>
      </c>
      <c r="BB204" s="171" t="str">
        <f>IF(BA204&lt;0.6,"Demasiado Riesgo",IF(BA204&lt;=5,"Riesgo Medio",IF(BA204&lt;=11,"Riesgo Bajo","Cliente Blindado")))</f>
        <v>Demasiado Riesgo</v>
      </c>
      <c r="BC204" s="171"/>
      <c r="BD204" s="171"/>
      <c r="BE204" s="171">
        <v>0</v>
      </c>
      <c r="BF204" s="171"/>
      <c r="BG204" s="171"/>
      <c r="BH204" s="171"/>
      <c r="BI204" s="171"/>
      <c r="BJ204" s="171"/>
      <c r="BK204" s="171"/>
      <c r="BL204" s="171"/>
      <c r="BM204" s="171"/>
      <c r="BN204" s="171"/>
      <c r="BO204" s="171"/>
      <c r="BP204" s="171"/>
      <c r="BQ204" s="171"/>
      <c r="BR204" s="171"/>
      <c r="BS204" s="171"/>
      <c r="BT204" s="171"/>
      <c r="BU204" s="171"/>
      <c r="BV204" s="171"/>
      <c r="BW204" s="171"/>
      <c r="BX204" s="171"/>
      <c r="BY204" s="171"/>
      <c r="BZ204" s="171"/>
      <c r="CA204" s="171">
        <f>COUNTIF(AJ204:AX204,"*OK*")</f>
        <v>0</v>
      </c>
      <c r="CB204" s="171"/>
      <c r="CC204" s="171">
        <f>COUNTIF(AJ204:AX204,"*OP*")</f>
        <v>0</v>
      </c>
    </row>
    <row r="205" spans="1:81" ht="15" hidden="1" customHeight="1">
      <c r="A205" s="241">
        <v>26588</v>
      </c>
      <c r="B205" s="160"/>
      <c r="C205" s="468">
        <f>T205</f>
        <v>12.44</v>
      </c>
      <c r="D205" s="160">
        <f>COUNTIF(AJ205:AX205,"*OK*")</f>
        <v>0</v>
      </c>
      <c r="E205" s="160"/>
      <c r="F205" s="182" t="s">
        <v>750</v>
      </c>
      <c r="G205" s="182"/>
      <c r="H205" s="168"/>
      <c r="I205" s="168"/>
      <c r="J205" s="182"/>
      <c r="K205" s="196" t="s">
        <v>68</v>
      </c>
      <c r="L205" s="182" t="s">
        <v>733</v>
      </c>
      <c r="M205" s="182"/>
      <c r="N205" s="182"/>
      <c r="O205" s="161">
        <v>21.05</v>
      </c>
      <c r="P205" s="161">
        <v>21.03</v>
      </c>
      <c r="Q205" s="161">
        <v>16.03</v>
      </c>
      <c r="R205" s="186">
        <v>12.41</v>
      </c>
      <c r="S205" s="510">
        <v>12.5791</v>
      </c>
      <c r="T205" s="551">
        <v>12.44</v>
      </c>
      <c r="U205" s="164"/>
      <c r="V205" s="165">
        <v>50</v>
      </c>
      <c r="W205" s="187"/>
      <c r="X205" s="208" t="s">
        <v>70</v>
      </c>
      <c r="Y205" s="166" t="s">
        <v>71</v>
      </c>
      <c r="Z205" s="167" t="s">
        <v>76</v>
      </c>
      <c r="AA205" s="165" t="s">
        <v>59</v>
      </c>
      <c r="AB205" s="167" t="s">
        <v>65</v>
      </c>
      <c r="AC205" s="168"/>
      <c r="AD205" s="160"/>
      <c r="AE205" s="160"/>
      <c r="AF205" s="160"/>
      <c r="AG205" s="160"/>
      <c r="AH205" s="160"/>
      <c r="AI205" s="163" t="s">
        <v>59</v>
      </c>
      <c r="AJ205" s="170"/>
      <c r="AK205" s="170"/>
      <c r="AL205" s="545"/>
      <c r="AM205" s="170"/>
      <c r="AN205" s="170"/>
      <c r="AO205" s="170"/>
      <c r="AP205" s="170"/>
      <c r="AQ205" s="170"/>
      <c r="AR205" s="170"/>
      <c r="AS205" s="170"/>
      <c r="AT205" s="170"/>
      <c r="AU205" s="170"/>
      <c r="AV205" s="170"/>
      <c r="AW205" s="170"/>
      <c r="AX205" s="170"/>
      <c r="AY205" s="170"/>
      <c r="AZ205" s="169" t="s">
        <v>59</v>
      </c>
      <c r="BA205" s="160">
        <f>(COUNTIF(AJ205:AL205,"*OK*")*3) + (COUNTIF(AM205:AO205,"*OK*")*2) + COUNTIF(AP205:AR205,"*OK*")+COUNTIF(AZ205:AZ205,"SI")*0.5</f>
        <v>0</v>
      </c>
      <c r="BB205" s="160" t="str">
        <f>IF(BA205&lt;0.6,"Demasiado Riesgo",IF(BA205&lt;=5,"Riesgo Medio",IF(BA205&lt;=11,"Riesgo Bajo","Cliente Blindado")))</f>
        <v>Demasiado Riesgo</v>
      </c>
      <c r="BC205" s="160"/>
      <c r="BD205" s="160"/>
      <c r="BE205" s="160">
        <v>0</v>
      </c>
      <c r="BF205" s="160"/>
      <c r="BG205" s="160"/>
      <c r="BH205" s="160"/>
      <c r="BI205" s="160"/>
      <c r="BJ205" s="160"/>
      <c r="BK205" s="160"/>
      <c r="BL205" s="160"/>
      <c r="BM205" s="160"/>
      <c r="BN205" s="160"/>
      <c r="BO205" s="160"/>
      <c r="BP205" s="160"/>
      <c r="BQ205" s="160"/>
      <c r="BR205" s="160"/>
      <c r="BS205" s="160"/>
      <c r="BT205" s="160"/>
      <c r="BU205" s="160"/>
      <c r="BV205" s="160"/>
      <c r="BW205" s="160"/>
      <c r="BX205" s="160"/>
      <c r="BY205" s="160"/>
      <c r="BZ205" s="160"/>
      <c r="CA205" s="160">
        <f>COUNTIF(AJ205:AX205,"*OK*")</f>
        <v>0</v>
      </c>
      <c r="CB205" s="160"/>
      <c r="CC205" s="160">
        <f>COUNTIF(AJ205:AX205,"*OP*")</f>
        <v>0</v>
      </c>
    </row>
    <row r="206" spans="1:81" ht="15" hidden="1" customHeight="1">
      <c r="A206" s="240">
        <v>26921</v>
      </c>
      <c r="B206" s="171"/>
      <c r="C206" s="468">
        <f>T206</f>
        <v>14.22</v>
      </c>
      <c r="D206" s="171">
        <f>COUNTIF(AJ206:AX206,"*OK*")</f>
        <v>0</v>
      </c>
      <c r="E206" s="171"/>
      <c r="F206" s="183" t="s">
        <v>751</v>
      </c>
      <c r="G206" s="183"/>
      <c r="H206" s="179"/>
      <c r="I206" s="179"/>
      <c r="J206" s="183"/>
      <c r="K206" s="198" t="s">
        <v>68</v>
      </c>
      <c r="L206" s="183" t="s">
        <v>733</v>
      </c>
      <c r="M206" s="183"/>
      <c r="N206" s="183"/>
      <c r="O206" s="172">
        <v>14.43</v>
      </c>
      <c r="P206" s="172">
        <v>14.42</v>
      </c>
      <c r="Q206" s="172">
        <v>13.74</v>
      </c>
      <c r="R206" s="193">
        <v>14.18</v>
      </c>
      <c r="S206" s="510">
        <v>14.3758</v>
      </c>
      <c r="T206" s="550">
        <v>14.22</v>
      </c>
      <c r="U206" s="175"/>
      <c r="V206" s="176">
        <v>50</v>
      </c>
      <c r="W206" s="194"/>
      <c r="X206" s="209" t="s">
        <v>70</v>
      </c>
      <c r="Y206" s="177" t="s">
        <v>71</v>
      </c>
      <c r="Z206" s="178" t="s">
        <v>752</v>
      </c>
      <c r="AA206" s="176" t="s">
        <v>59</v>
      </c>
      <c r="AB206" s="178" t="s">
        <v>65</v>
      </c>
      <c r="AC206" s="179"/>
      <c r="AD206" s="171"/>
      <c r="AE206" s="171"/>
      <c r="AF206" s="171"/>
      <c r="AG206" s="171"/>
      <c r="AH206" s="171"/>
      <c r="AI206" s="174" t="s">
        <v>59</v>
      </c>
      <c r="AJ206" s="170"/>
      <c r="AK206" s="170"/>
      <c r="AL206" s="170"/>
      <c r="AM206" s="170"/>
      <c r="AN206" s="170"/>
      <c r="AO206" s="170"/>
      <c r="AP206" s="170"/>
      <c r="AQ206" s="170"/>
      <c r="AR206" s="170"/>
      <c r="AS206" s="170"/>
      <c r="AT206" s="170"/>
      <c r="AU206" s="170"/>
      <c r="AV206" s="170"/>
      <c r="AW206" s="170"/>
      <c r="AX206" s="170"/>
      <c r="AY206" s="170"/>
      <c r="AZ206" s="180" t="s">
        <v>59</v>
      </c>
      <c r="BA206" s="171">
        <f>(COUNTIF(AJ206:AL206,"*OK*")*3) + (COUNTIF(AM206:AO206,"*OK*")*2) + COUNTIF(AP206:AR206,"*OK*")+COUNTIF(AZ206:AZ206,"SI")*0.5</f>
        <v>0</v>
      </c>
      <c r="BB206" s="171" t="str">
        <f>IF(BA206&lt;0.6,"Demasiado Riesgo",IF(BA206&lt;=5,"Riesgo Medio",IF(BA206&lt;=11,"Riesgo Bajo","Cliente Blindado")))</f>
        <v>Demasiado Riesgo</v>
      </c>
      <c r="BC206" s="171"/>
      <c r="BD206" s="171"/>
      <c r="BE206" s="171">
        <v>0</v>
      </c>
      <c r="BF206" s="171"/>
      <c r="BG206" s="171"/>
      <c r="BH206" s="171"/>
      <c r="BI206" s="171"/>
      <c r="BJ206" s="171"/>
      <c r="BK206" s="171"/>
      <c r="BL206" s="171"/>
      <c r="BM206" s="171"/>
      <c r="BN206" s="171"/>
      <c r="BO206" s="171"/>
      <c r="BP206" s="171"/>
      <c r="BQ206" s="171"/>
      <c r="BR206" s="171"/>
      <c r="BS206" s="171"/>
      <c r="BT206" s="171"/>
      <c r="BU206" s="171"/>
      <c r="BV206" s="171"/>
      <c r="BW206" s="171"/>
      <c r="BX206" s="171"/>
      <c r="BY206" s="171"/>
      <c r="BZ206" s="171"/>
      <c r="CA206" s="171">
        <f>COUNTIF(AJ206:AX206,"*OK*")</f>
        <v>0</v>
      </c>
      <c r="CB206" s="171"/>
      <c r="CC206" s="171">
        <f>COUNTIF(AJ206:AX206,"*OP*")</f>
        <v>0</v>
      </c>
    </row>
    <row r="207" spans="1:81" s="121" customFormat="1" ht="15" hidden="1" customHeight="1">
      <c r="A207" s="241">
        <v>31742</v>
      </c>
      <c r="B207" s="160"/>
      <c r="C207" s="468">
        <f>T207</f>
        <v>15.11</v>
      </c>
      <c r="D207" s="160">
        <f>COUNTIF(AJ207:AX207,"*OK*")</f>
        <v>0</v>
      </c>
      <c r="E207" s="160"/>
      <c r="F207" s="182" t="s">
        <v>753</v>
      </c>
      <c r="G207" s="182"/>
      <c r="H207" s="168"/>
      <c r="I207" s="168"/>
      <c r="J207" s="182"/>
      <c r="K207" s="196" t="s">
        <v>68</v>
      </c>
      <c r="L207" s="182" t="s">
        <v>733</v>
      </c>
      <c r="M207" s="182"/>
      <c r="N207" s="182"/>
      <c r="O207" s="161">
        <v>15.34</v>
      </c>
      <c r="P207" s="161">
        <v>15.32</v>
      </c>
      <c r="Q207" s="161">
        <v>14.6</v>
      </c>
      <c r="R207" s="186">
        <v>15.07</v>
      </c>
      <c r="S207" s="510">
        <v>15.2758</v>
      </c>
      <c r="T207" s="551">
        <v>15.11</v>
      </c>
      <c r="U207" s="164"/>
      <c r="V207" s="165">
        <v>100</v>
      </c>
      <c r="W207" s="187"/>
      <c r="X207" s="208" t="s">
        <v>70</v>
      </c>
      <c r="Y207" s="166" t="s">
        <v>80</v>
      </c>
      <c r="Z207" s="167" t="s">
        <v>754</v>
      </c>
      <c r="AA207" s="165" t="s">
        <v>59</v>
      </c>
      <c r="AB207" s="167" t="s">
        <v>159</v>
      </c>
      <c r="AC207" s="168"/>
      <c r="AD207" s="160"/>
      <c r="AE207" s="160"/>
      <c r="AF207" s="160"/>
      <c r="AG207" s="160"/>
      <c r="AH207" s="160"/>
      <c r="AI207" s="163" t="s">
        <v>59</v>
      </c>
      <c r="AJ207" s="170"/>
      <c r="AK207" s="170"/>
      <c r="AL207" s="170"/>
      <c r="AM207" s="170"/>
      <c r="AN207" s="170"/>
      <c r="AO207" s="170"/>
      <c r="AP207" s="170"/>
      <c r="AQ207" s="170"/>
      <c r="AR207" s="170"/>
      <c r="AS207" s="170"/>
      <c r="AT207" s="170"/>
      <c r="AU207" s="170"/>
      <c r="AV207" s="170"/>
      <c r="AW207" s="170"/>
      <c r="AX207" s="170"/>
      <c r="AY207" s="170"/>
      <c r="AZ207" s="169" t="s">
        <v>59</v>
      </c>
      <c r="BA207" s="160">
        <f>(COUNTIF(AJ207:AL207,"*OK*")*3) + (COUNTIF(AM207:AO207,"*OK*")*2) + COUNTIF(AP207:AR207,"*OK*")+COUNTIF(AZ207:AZ207,"SI")*0.5</f>
        <v>0</v>
      </c>
      <c r="BB207" s="160" t="str">
        <f>IF(BA207&lt;0.6,"Demasiado Riesgo",IF(BA207&lt;=5,"Riesgo Medio",IF(BA207&lt;=11,"Riesgo Bajo","Cliente Blindado")))</f>
        <v>Demasiado Riesgo</v>
      </c>
      <c r="BC207" s="160"/>
      <c r="BD207" s="160"/>
      <c r="BE207" s="160">
        <v>0</v>
      </c>
      <c r="BF207" s="160"/>
      <c r="BG207" s="160"/>
      <c r="BH207" s="160"/>
      <c r="BI207" s="160"/>
      <c r="BJ207" s="160"/>
      <c r="BK207" s="160"/>
      <c r="BL207" s="160"/>
      <c r="BM207" s="160"/>
      <c r="BN207" s="160"/>
      <c r="BO207" s="160"/>
      <c r="BP207" s="160"/>
      <c r="BQ207" s="160"/>
      <c r="BR207" s="160"/>
      <c r="BS207" s="160"/>
      <c r="BT207" s="160"/>
      <c r="BU207" s="160"/>
      <c r="BV207" s="160"/>
      <c r="BW207" s="160"/>
      <c r="BX207" s="160"/>
      <c r="BY207" s="160"/>
      <c r="BZ207" s="160"/>
      <c r="CA207" s="160">
        <f>COUNTIF(AJ207:AX207,"*OK*")</f>
        <v>0</v>
      </c>
      <c r="CB207" s="160"/>
      <c r="CC207" s="160">
        <f>COUNTIF(AJ207:AX207,"*OP*")</f>
        <v>0</v>
      </c>
    </row>
    <row r="208" spans="1:81" ht="15" hidden="1" customHeight="1">
      <c r="A208" s="240">
        <v>35715</v>
      </c>
      <c r="B208" s="171"/>
      <c r="C208" s="468">
        <f>T208</f>
        <v>17.14</v>
      </c>
      <c r="D208" s="171">
        <f>COUNTIF(AJ208:AX208,"*OK*")</f>
        <v>0</v>
      </c>
      <c r="E208" s="171"/>
      <c r="F208" s="183" t="s">
        <v>755</v>
      </c>
      <c r="G208" s="183"/>
      <c r="H208" s="179"/>
      <c r="I208" s="179"/>
      <c r="J208" s="183"/>
      <c r="K208" s="192" t="s">
        <v>68</v>
      </c>
      <c r="L208" s="183" t="s">
        <v>733</v>
      </c>
      <c r="M208" s="183"/>
      <c r="N208" s="183"/>
      <c r="O208" s="172">
        <v>17.399999999999999</v>
      </c>
      <c r="P208" s="172">
        <v>17.39</v>
      </c>
      <c r="Q208" s="172">
        <v>16.57</v>
      </c>
      <c r="R208" s="193">
        <v>17.100000000000001</v>
      </c>
      <c r="S208" s="510">
        <v>17.331299999999999</v>
      </c>
      <c r="T208" s="550">
        <v>17.14</v>
      </c>
      <c r="U208" s="175"/>
      <c r="V208" s="176">
        <v>100</v>
      </c>
      <c r="W208" s="194"/>
      <c r="X208" s="209" t="s">
        <v>70</v>
      </c>
      <c r="Y208" s="177" t="s">
        <v>162</v>
      </c>
      <c r="Z208" s="178" t="s">
        <v>756</v>
      </c>
      <c r="AA208" s="176" t="s">
        <v>71</v>
      </c>
      <c r="AB208" s="178" t="s">
        <v>159</v>
      </c>
      <c r="AC208" s="179"/>
      <c r="AD208" s="171"/>
      <c r="AE208" s="171"/>
      <c r="AF208" s="171"/>
      <c r="AG208" s="171"/>
      <c r="AH208" s="171"/>
      <c r="AI208" s="174" t="s">
        <v>59</v>
      </c>
      <c r="AJ208" s="170"/>
      <c r="AK208" s="170"/>
      <c r="AL208" s="170"/>
      <c r="AM208" s="170"/>
      <c r="AN208" s="170"/>
      <c r="AO208" s="170"/>
      <c r="AP208" s="170"/>
      <c r="AQ208" s="170"/>
      <c r="AR208" s="170"/>
      <c r="AS208" s="170"/>
      <c r="AT208" s="170"/>
      <c r="AU208" s="170"/>
      <c r="AV208" s="170"/>
      <c r="AW208" s="170"/>
      <c r="AX208" s="170"/>
      <c r="AY208" s="170"/>
      <c r="AZ208" s="180" t="s">
        <v>59</v>
      </c>
      <c r="BA208" s="171">
        <f>(COUNTIF(AJ208:AL208,"*OK*")*3) + (COUNTIF(AM208:AO208,"*OK*")*2) + COUNTIF(AP208:AR208,"*OK*")+COUNTIF(AZ208:AZ208,"SI")*0.5</f>
        <v>0</v>
      </c>
      <c r="BB208" s="171" t="str">
        <f>IF(BA208&lt;0.6,"Demasiado Riesgo",IF(BA208&lt;=5,"Riesgo Medio",IF(BA208&lt;=11,"Riesgo Bajo","Cliente Blindado")))</f>
        <v>Demasiado Riesgo</v>
      </c>
      <c r="BC208" s="171"/>
      <c r="BD208" s="171"/>
      <c r="BE208" s="171">
        <v>0</v>
      </c>
      <c r="BF208" s="171"/>
      <c r="BG208" s="171"/>
      <c r="BH208" s="171"/>
      <c r="BI208" s="171"/>
      <c r="BJ208" s="171"/>
      <c r="BK208" s="171"/>
      <c r="BL208" s="171"/>
      <c r="BM208" s="171"/>
      <c r="BN208" s="171"/>
      <c r="BO208" s="171"/>
      <c r="BP208" s="171"/>
      <c r="BQ208" s="171"/>
      <c r="BR208" s="171"/>
      <c r="BS208" s="171"/>
      <c r="BT208" s="171"/>
      <c r="BU208" s="171"/>
      <c r="BV208" s="171"/>
      <c r="BW208" s="171"/>
      <c r="BX208" s="171"/>
      <c r="BY208" s="171"/>
      <c r="BZ208" s="171"/>
      <c r="CA208" s="171">
        <f>COUNTIF(AJ208:AX208,"*OK*")</f>
        <v>0</v>
      </c>
      <c r="CB208" s="171"/>
      <c r="CC208" s="171">
        <f>COUNTIF(AJ208:AX208,"*OP*")</f>
        <v>0</v>
      </c>
    </row>
    <row r="209" spans="1:81" ht="15" hidden="1" customHeight="1">
      <c r="A209" s="240">
        <v>21316</v>
      </c>
      <c r="B209" s="171"/>
      <c r="C209" s="468">
        <f>T209</f>
        <v>17.5</v>
      </c>
      <c r="D209" s="171">
        <f>COUNTIF(AJ209:AX209,"*OK*")</f>
        <v>0</v>
      </c>
      <c r="E209" s="171"/>
      <c r="F209" s="183" t="s">
        <v>757</v>
      </c>
      <c r="G209" s="183"/>
      <c r="H209" s="179"/>
      <c r="I209" s="179"/>
      <c r="J209" s="183"/>
      <c r="K209" s="198" t="s">
        <v>68</v>
      </c>
      <c r="L209" s="183" t="s">
        <v>733</v>
      </c>
      <c r="M209" s="183"/>
      <c r="N209" s="183" t="s">
        <v>136</v>
      </c>
      <c r="O209" s="172">
        <v>17.77</v>
      </c>
      <c r="P209" s="172">
        <v>17.75</v>
      </c>
      <c r="Q209" s="172">
        <v>16.920000000000002</v>
      </c>
      <c r="R209" s="193">
        <v>17.46</v>
      </c>
      <c r="S209" s="510">
        <v>17.698699999999999</v>
      </c>
      <c r="T209" s="550">
        <v>17.5</v>
      </c>
      <c r="U209" s="175"/>
      <c r="V209" s="176">
        <v>50</v>
      </c>
      <c r="W209" s="194"/>
      <c r="X209" s="209" t="s">
        <v>70</v>
      </c>
      <c r="Y209" s="177" t="s">
        <v>71</v>
      </c>
      <c r="Z209" s="178" t="s">
        <v>758</v>
      </c>
      <c r="AA209" s="176" t="s">
        <v>59</v>
      </c>
      <c r="AB209" s="178" t="s">
        <v>65</v>
      </c>
      <c r="AC209" s="179"/>
      <c r="AD209" s="171"/>
      <c r="AE209" s="171"/>
      <c r="AF209" s="171"/>
      <c r="AG209" s="171"/>
      <c r="AH209" s="171"/>
      <c r="AI209" s="174" t="s">
        <v>59</v>
      </c>
      <c r="AJ209" s="170"/>
      <c r="AK209" s="170"/>
      <c r="AL209" s="170"/>
      <c r="AM209" s="170"/>
      <c r="AN209" s="170"/>
      <c r="AO209" s="170"/>
      <c r="AP209" s="170"/>
      <c r="AQ209" s="170"/>
      <c r="AR209" s="170"/>
      <c r="AS209" s="170"/>
      <c r="AT209" s="170"/>
      <c r="AU209" s="170"/>
      <c r="AV209" s="170"/>
      <c r="AW209" s="170"/>
      <c r="AX209" s="170"/>
      <c r="AY209" s="170"/>
      <c r="AZ209" s="180" t="s">
        <v>59</v>
      </c>
      <c r="BA209" s="171">
        <f>(COUNTIF(AJ209:AL209,"*OK*")*3) + (COUNTIF(AM209:AO209,"*OK*")*2) + COUNTIF(AP209:AR209,"*OK*")+COUNTIF(AZ209:AZ209,"SI")*0.5</f>
        <v>0</v>
      </c>
      <c r="BB209" s="171" t="str">
        <f>IF(BA209&lt;0.6,"Demasiado Riesgo",IF(BA209&lt;=5,"Riesgo Medio",IF(BA209&lt;=11,"Riesgo Bajo","Cliente Blindado")))</f>
        <v>Demasiado Riesgo</v>
      </c>
      <c r="BC209" s="171"/>
      <c r="BD209" s="171"/>
      <c r="BE209" s="171">
        <v>0</v>
      </c>
      <c r="BF209" s="171"/>
      <c r="BG209" s="171"/>
      <c r="BH209" s="171"/>
      <c r="BI209" s="171"/>
      <c r="BJ209" s="171"/>
      <c r="BK209" s="171"/>
      <c r="BL209" s="171"/>
      <c r="BM209" s="171"/>
      <c r="BN209" s="171"/>
      <c r="BO209" s="171"/>
      <c r="BP209" s="171"/>
      <c r="BQ209" s="171"/>
      <c r="BR209" s="171"/>
      <c r="BS209" s="171"/>
      <c r="BT209" s="171"/>
      <c r="BU209" s="171"/>
      <c r="BV209" s="171"/>
      <c r="BW209" s="171"/>
      <c r="BX209" s="171"/>
      <c r="BY209" s="171"/>
      <c r="BZ209" s="171"/>
      <c r="CA209" s="171">
        <f>COUNTIF(AJ209:AX209,"*OK*")</f>
        <v>0</v>
      </c>
      <c r="CB209" s="171"/>
      <c r="CC209" s="171">
        <f>COUNTIF(AJ209:AX209,"*OP*")</f>
        <v>0</v>
      </c>
    </row>
    <row r="210" spans="1:81" ht="15" hidden="1" customHeight="1">
      <c r="A210" s="240">
        <v>24144</v>
      </c>
      <c r="B210" s="171"/>
      <c r="C210" s="468">
        <f>T210</f>
        <v>18.52</v>
      </c>
      <c r="D210" s="171">
        <f>COUNTIF(AJ210:AX210,"*OK*")</f>
        <v>0</v>
      </c>
      <c r="E210" s="171"/>
      <c r="F210" s="183" t="s">
        <v>759</v>
      </c>
      <c r="G210" s="183"/>
      <c r="H210" s="179"/>
      <c r="I210" s="179"/>
      <c r="J210" s="183"/>
      <c r="K210" s="198" t="s">
        <v>68</v>
      </c>
      <c r="L210" s="183" t="s">
        <v>733</v>
      </c>
      <c r="M210" s="183"/>
      <c r="N210" s="183"/>
      <c r="O210" s="172">
        <v>18.8</v>
      </c>
      <c r="P210" s="172">
        <v>18.79</v>
      </c>
      <c r="Q210" s="172">
        <v>17.899999999999999</v>
      </c>
      <c r="R210" s="193">
        <v>18.48</v>
      </c>
      <c r="S210" s="510">
        <v>18.729399999999998</v>
      </c>
      <c r="T210" s="550">
        <v>18.52</v>
      </c>
      <c r="U210" s="175"/>
      <c r="V210" s="176">
        <v>50</v>
      </c>
      <c r="W210" s="194"/>
      <c r="X210" s="209" t="s">
        <v>70</v>
      </c>
      <c r="Y210" s="177" t="s">
        <v>89</v>
      </c>
      <c r="Z210" s="178" t="s">
        <v>760</v>
      </c>
      <c r="AA210" s="176" t="s">
        <v>59</v>
      </c>
      <c r="AB210" s="178" t="s">
        <v>61</v>
      </c>
      <c r="AC210" s="179"/>
      <c r="AD210" s="171"/>
      <c r="AE210" s="171"/>
      <c r="AF210" s="171"/>
      <c r="AG210" s="171"/>
      <c r="AH210" s="171"/>
      <c r="AI210" s="174" t="s">
        <v>59</v>
      </c>
      <c r="AJ210" s="170"/>
      <c r="AK210" s="170"/>
      <c r="AL210" s="170"/>
      <c r="AM210" s="170"/>
      <c r="AN210" s="170"/>
      <c r="AO210" s="170"/>
      <c r="AP210" s="170"/>
      <c r="AQ210" s="170"/>
      <c r="AR210" s="170"/>
      <c r="AS210" s="170"/>
      <c r="AT210" s="170"/>
      <c r="AU210" s="170"/>
      <c r="AV210" s="170"/>
      <c r="AW210" s="170"/>
      <c r="AX210" s="170"/>
      <c r="AY210" s="170"/>
      <c r="AZ210" s="180" t="s">
        <v>59</v>
      </c>
      <c r="BA210" s="171">
        <f>(COUNTIF(AJ210:AL210,"*OK*")*3) + (COUNTIF(AM210:AO210,"*OK*")*2) + COUNTIF(AP210:AR210,"*OK*")+COUNTIF(AZ210:AZ210,"SI")*0.5</f>
        <v>0</v>
      </c>
      <c r="BB210" s="171" t="str">
        <f>IF(BA210&lt;0.6,"Demasiado Riesgo",IF(BA210&lt;=5,"Riesgo Medio",IF(BA210&lt;=11,"Riesgo Bajo","Cliente Blindado")))</f>
        <v>Demasiado Riesgo</v>
      </c>
      <c r="BC210" s="171"/>
      <c r="BD210" s="171"/>
      <c r="BE210" s="171">
        <v>0</v>
      </c>
      <c r="BF210" s="171"/>
      <c r="BG210" s="171"/>
      <c r="BH210" s="171"/>
      <c r="BI210" s="171"/>
      <c r="BJ210" s="171"/>
      <c r="BK210" s="171"/>
      <c r="BL210" s="171"/>
      <c r="BM210" s="171"/>
      <c r="BN210" s="171"/>
      <c r="BO210" s="171"/>
      <c r="BP210" s="171"/>
      <c r="BQ210" s="171"/>
      <c r="BR210" s="171"/>
      <c r="BS210" s="171"/>
      <c r="BT210" s="171"/>
      <c r="BU210" s="171"/>
      <c r="BV210" s="171"/>
      <c r="BW210" s="171"/>
      <c r="BX210" s="171"/>
      <c r="BY210" s="171"/>
      <c r="BZ210" s="171"/>
      <c r="CA210" s="171">
        <f>COUNTIF(AJ210:AX210,"*OK*")</f>
        <v>0</v>
      </c>
      <c r="CB210" s="171"/>
      <c r="CC210" s="171">
        <f>COUNTIF(AJ210:AX210,"*OP*")</f>
        <v>0</v>
      </c>
    </row>
    <row r="211" spans="1:81" ht="15" hidden="1" customHeight="1">
      <c r="A211" s="241"/>
      <c r="B211" s="160"/>
      <c r="C211" s="468">
        <f>T211</f>
        <v>20</v>
      </c>
      <c r="D211" s="160">
        <f>COUNTIF(AJ211:AX211,"*OK*")</f>
        <v>0</v>
      </c>
      <c r="E211" s="160"/>
      <c r="F211" s="182" t="s">
        <v>761</v>
      </c>
      <c r="G211" s="182"/>
      <c r="H211" s="168"/>
      <c r="I211" s="168"/>
      <c r="J211" s="182"/>
      <c r="K211" s="185" t="s">
        <v>68</v>
      </c>
      <c r="L211" s="182" t="s">
        <v>733</v>
      </c>
      <c r="M211" s="182"/>
      <c r="N211" s="182"/>
      <c r="O211" s="161">
        <v>20.3</v>
      </c>
      <c r="P211" s="161">
        <v>21.09</v>
      </c>
      <c r="Q211" s="161">
        <v>20.100000000000001</v>
      </c>
      <c r="R211" s="186">
        <v>19.95</v>
      </c>
      <c r="S211" s="510">
        <v>20.219899999999999</v>
      </c>
      <c r="T211" s="551">
        <v>20</v>
      </c>
      <c r="U211" s="164"/>
      <c r="V211" s="165">
        <v>50</v>
      </c>
      <c r="W211" s="187"/>
      <c r="X211" s="208" t="s">
        <v>70</v>
      </c>
      <c r="Y211" s="166" t="s">
        <v>141</v>
      </c>
      <c r="Z211" s="167" t="s">
        <v>762</v>
      </c>
      <c r="AA211" s="165" t="s">
        <v>59</v>
      </c>
      <c r="AB211" s="188" t="s">
        <v>65</v>
      </c>
      <c r="AC211" s="168"/>
      <c r="AD211" s="160"/>
      <c r="AE211" s="160"/>
      <c r="AF211" s="160"/>
      <c r="AG211" s="160"/>
      <c r="AH211" s="160"/>
      <c r="AI211" s="163" t="s">
        <v>59</v>
      </c>
      <c r="AJ211" s="170"/>
      <c r="AK211" s="170"/>
      <c r="AL211" s="170"/>
      <c r="AM211" s="170"/>
      <c r="AN211" s="170"/>
      <c r="AO211" s="170"/>
      <c r="AP211" s="170"/>
      <c r="AQ211" s="170"/>
      <c r="AR211" s="170"/>
      <c r="AS211" s="170"/>
      <c r="AT211" s="170"/>
      <c r="AU211" s="170"/>
      <c r="AV211" s="170"/>
      <c r="AW211" s="170"/>
      <c r="AX211" s="170"/>
      <c r="AY211" s="170"/>
      <c r="AZ211" s="169" t="s">
        <v>59</v>
      </c>
      <c r="BA211" s="160">
        <f>(COUNTIF(AJ211:AL211,"*OK*")*3) + (COUNTIF(AM211:AO211,"*OK*")*2) + COUNTIF(AP211:AR211,"*OK*")+COUNTIF(AZ211:AZ211,"SI")*0.5</f>
        <v>0</v>
      </c>
      <c r="BB211" s="160" t="str">
        <f>IF(BA211&lt;0.6,"Demasiado Riesgo",IF(BA211&lt;=5,"Riesgo Medio",IF(BA211&lt;=11,"Riesgo Bajo","Cliente Blindado")))</f>
        <v>Demasiado Riesgo</v>
      </c>
      <c r="BC211" s="160"/>
      <c r="BD211" s="160"/>
      <c r="BE211" s="160">
        <v>0</v>
      </c>
      <c r="BF211" s="160"/>
      <c r="BG211" s="160"/>
      <c r="BH211" s="160"/>
      <c r="BI211" s="160"/>
      <c r="BJ211" s="160"/>
      <c r="BK211" s="160"/>
      <c r="BL211" s="160"/>
      <c r="BM211" s="160"/>
      <c r="BN211" s="160"/>
      <c r="BO211" s="160"/>
      <c r="BP211" s="160"/>
      <c r="BQ211" s="160"/>
      <c r="BR211" s="160"/>
      <c r="BS211" s="160"/>
      <c r="BT211" s="160"/>
      <c r="BU211" s="160"/>
      <c r="BV211" s="160"/>
      <c r="BW211" s="160"/>
      <c r="BX211" s="160"/>
      <c r="BY211" s="160"/>
      <c r="BZ211" s="160"/>
      <c r="CA211" s="160">
        <f>COUNTIF(AJ211:AX211,"*OK*")</f>
        <v>0</v>
      </c>
      <c r="CB211" s="160"/>
      <c r="CC211" s="160">
        <f>COUNTIF(AJ211:AX211,"*OP*")</f>
        <v>0</v>
      </c>
    </row>
    <row r="212" spans="1:81" ht="15" hidden="1" customHeight="1">
      <c r="A212" s="240"/>
      <c r="B212" s="171"/>
      <c r="C212" s="468">
        <f>T212</f>
        <v>20.75</v>
      </c>
      <c r="D212" s="171">
        <f>COUNTIF(AJ212:AX212,"*OK*")</f>
        <v>0</v>
      </c>
      <c r="E212" s="171"/>
      <c r="F212" s="183" t="s">
        <v>763</v>
      </c>
      <c r="G212" s="183"/>
      <c r="H212" s="179"/>
      <c r="I212" s="179"/>
      <c r="J212" s="183"/>
      <c r="K212" s="198" t="s">
        <v>68</v>
      </c>
      <c r="L212" s="183" t="s">
        <v>733</v>
      </c>
      <c r="M212" s="183"/>
      <c r="N212" s="183"/>
      <c r="O212" s="172">
        <v>21.06</v>
      </c>
      <c r="P212" s="172">
        <v>21.04</v>
      </c>
      <c r="Q212" s="172">
        <v>20.05</v>
      </c>
      <c r="R212" s="193">
        <v>20.7</v>
      </c>
      <c r="S212" s="510">
        <v>20.977799999999998</v>
      </c>
      <c r="T212" s="550">
        <v>20.75</v>
      </c>
      <c r="U212" s="175"/>
      <c r="V212" s="176">
        <v>50</v>
      </c>
      <c r="W212" s="194"/>
      <c r="X212" s="177" t="s">
        <v>253</v>
      </c>
      <c r="Y212" s="177" t="s">
        <v>80</v>
      </c>
      <c r="Z212" s="178" t="s">
        <v>764</v>
      </c>
      <c r="AA212" s="176" t="s">
        <v>59</v>
      </c>
      <c r="AB212" s="178" t="s">
        <v>65</v>
      </c>
      <c r="AC212" s="179"/>
      <c r="AD212" s="171"/>
      <c r="AE212" s="171"/>
      <c r="AF212" s="171"/>
      <c r="AG212" s="171"/>
      <c r="AH212" s="171"/>
      <c r="AI212" s="174" t="s">
        <v>59</v>
      </c>
      <c r="AJ212" s="170"/>
      <c r="AK212" s="170"/>
      <c r="AL212" s="170"/>
      <c r="AM212" s="170"/>
      <c r="AN212" s="170"/>
      <c r="AO212" s="170"/>
      <c r="AP212" s="170"/>
      <c r="AQ212" s="170"/>
      <c r="AR212" s="170"/>
      <c r="AS212" s="170"/>
      <c r="AT212" s="170"/>
      <c r="AU212" s="170"/>
      <c r="AV212" s="170"/>
      <c r="AW212" s="170"/>
      <c r="AX212" s="170"/>
      <c r="AY212" s="170"/>
      <c r="AZ212" s="180" t="s">
        <v>59</v>
      </c>
      <c r="BA212" s="171">
        <f>(COUNTIF(AJ212:AL212,"*OK*")*3) + (COUNTIF(AM212:AO212,"*OK*")*2) + COUNTIF(AP212:AR212,"*OK*")+COUNTIF(AZ212:AZ212,"SI")*0.5</f>
        <v>0</v>
      </c>
      <c r="BB212" s="171" t="str">
        <f>IF(BA212&lt;0.6,"Demasiado Riesgo",IF(BA212&lt;=5,"Riesgo Medio",IF(BA212&lt;=11,"Riesgo Bajo","Cliente Blindado")))</f>
        <v>Demasiado Riesgo</v>
      </c>
      <c r="BC212" s="171"/>
      <c r="BD212" s="171"/>
      <c r="BE212" s="171">
        <v>0</v>
      </c>
      <c r="BF212" s="171"/>
      <c r="BG212" s="171"/>
      <c r="BH212" s="171"/>
      <c r="BI212" s="171"/>
      <c r="BJ212" s="171"/>
      <c r="BK212" s="171"/>
      <c r="BL212" s="171"/>
      <c r="BM212" s="171"/>
      <c r="BN212" s="171"/>
      <c r="BO212" s="171"/>
      <c r="BP212" s="171"/>
      <c r="BQ212" s="171"/>
      <c r="BR212" s="171"/>
      <c r="BS212" s="171"/>
      <c r="BT212" s="171"/>
      <c r="BU212" s="171"/>
      <c r="BV212" s="171"/>
      <c r="BW212" s="171"/>
      <c r="BX212" s="171"/>
      <c r="BY212" s="171"/>
      <c r="BZ212" s="171"/>
      <c r="CA212" s="171">
        <f>COUNTIF(AJ212:AX212,"*OK*")</f>
        <v>0</v>
      </c>
      <c r="CB212" s="171"/>
      <c r="CC212" s="171">
        <f>COUNTIF(AJ212:AX212,"*OP*")</f>
        <v>0</v>
      </c>
    </row>
    <row r="213" spans="1:81" ht="15" hidden="1" customHeight="1">
      <c r="A213" s="241">
        <v>21861</v>
      </c>
      <c r="B213" s="160"/>
      <c r="C213" s="468">
        <f>T213</f>
        <v>22.75</v>
      </c>
      <c r="D213" s="160">
        <f>COUNTIF(AJ213:AX213,"*OK*")</f>
        <v>0</v>
      </c>
      <c r="E213" s="160"/>
      <c r="F213" s="182" t="s">
        <v>765</v>
      </c>
      <c r="G213" s="182"/>
      <c r="H213" s="168"/>
      <c r="I213" s="168"/>
      <c r="J213" s="182"/>
      <c r="K213" s="196" t="s">
        <v>68</v>
      </c>
      <c r="L213" s="182" t="s">
        <v>733</v>
      </c>
      <c r="M213" s="182"/>
      <c r="N213" s="182"/>
      <c r="O213" s="161">
        <v>25.66</v>
      </c>
      <c r="P213" s="161">
        <v>25.64</v>
      </c>
      <c r="Q213" s="161">
        <v>24.43</v>
      </c>
      <c r="R213" s="186">
        <v>22.7</v>
      </c>
      <c r="S213" s="510">
        <v>23.002099999999999</v>
      </c>
      <c r="T213" s="551">
        <v>22.75</v>
      </c>
      <c r="U213" s="164"/>
      <c r="V213" s="165">
        <v>100</v>
      </c>
      <c r="W213" s="187"/>
      <c r="X213" s="203" t="s">
        <v>183</v>
      </c>
      <c r="Y213" s="166" t="s">
        <v>125</v>
      </c>
      <c r="Z213" s="167" t="s">
        <v>766</v>
      </c>
      <c r="AA213" s="165" t="s">
        <v>59</v>
      </c>
      <c r="AB213" s="167" t="s">
        <v>194</v>
      </c>
      <c r="AC213" s="168"/>
      <c r="AD213" s="160"/>
      <c r="AE213" s="160"/>
      <c r="AF213" s="160"/>
      <c r="AG213" s="160"/>
      <c r="AH213" s="160"/>
      <c r="AI213" s="163" t="s">
        <v>59</v>
      </c>
      <c r="AJ213" s="170"/>
      <c r="AK213" s="170"/>
      <c r="AL213" s="170"/>
      <c r="AM213" s="170"/>
      <c r="AN213" s="170"/>
      <c r="AO213" s="170"/>
      <c r="AP213" s="170"/>
      <c r="AQ213" s="170"/>
      <c r="AR213" s="170"/>
      <c r="AS213" s="170"/>
      <c r="AT213" s="170"/>
      <c r="AU213" s="170"/>
      <c r="AV213" s="170"/>
      <c r="AW213" s="170"/>
      <c r="AX213" s="170"/>
      <c r="AY213" s="170"/>
      <c r="AZ213" s="169" t="s">
        <v>59</v>
      </c>
      <c r="BA213" s="160">
        <f>(COUNTIF(AJ213:AL213,"*OK*")*3) + (COUNTIF(AM213:AO213,"*OK*")*2) + COUNTIF(AP213:AR213,"*OK*")+COUNTIF(AZ213:AZ213,"SI")*0.5</f>
        <v>0</v>
      </c>
      <c r="BB213" s="160" t="str">
        <f>IF(BA213&lt;0.6,"Demasiado Riesgo",IF(BA213&lt;=5,"Riesgo Medio",IF(BA213&lt;=11,"Riesgo Bajo","Cliente Blindado")))</f>
        <v>Demasiado Riesgo</v>
      </c>
      <c r="BC213" s="160"/>
      <c r="BD213" s="160"/>
      <c r="BE213" s="160">
        <v>0</v>
      </c>
      <c r="BF213" s="160"/>
      <c r="BG213" s="160"/>
      <c r="BH213" s="160"/>
      <c r="BI213" s="160"/>
      <c r="BJ213" s="160"/>
      <c r="BK213" s="160"/>
      <c r="BL213" s="160"/>
      <c r="BM213" s="160"/>
      <c r="BN213" s="160"/>
      <c r="BO213" s="160"/>
      <c r="BP213" s="160"/>
      <c r="BQ213" s="160"/>
      <c r="BR213" s="160"/>
      <c r="BS213" s="160"/>
      <c r="BT213" s="160"/>
      <c r="BU213" s="160"/>
      <c r="BV213" s="160"/>
      <c r="BW213" s="160"/>
      <c r="BX213" s="160"/>
      <c r="BY213" s="160"/>
      <c r="BZ213" s="160"/>
      <c r="CA213" s="160">
        <f>COUNTIF(AJ213:AX213,"*OK*")</f>
        <v>0</v>
      </c>
      <c r="CB213" s="160"/>
      <c r="CC213" s="160">
        <f>COUNTIF(AJ213:AX213,"*OP*")</f>
        <v>0</v>
      </c>
    </row>
    <row r="214" spans="1:81" ht="15" hidden="1" customHeight="1">
      <c r="A214" s="241"/>
      <c r="B214" s="160"/>
      <c r="C214" s="468">
        <f>T214</f>
        <v>23.77</v>
      </c>
      <c r="D214" s="160">
        <f>COUNTIF(AN214:AY214,"OK")</f>
        <v>0</v>
      </c>
      <c r="E214" s="160"/>
      <c r="F214" s="160" t="s">
        <v>767</v>
      </c>
      <c r="G214" s="160"/>
      <c r="H214" s="168"/>
      <c r="I214" s="168"/>
      <c r="J214" s="160"/>
      <c r="K214" s="220" t="s">
        <v>68</v>
      </c>
      <c r="L214" s="171" t="s">
        <v>768</v>
      </c>
      <c r="M214" s="160"/>
      <c r="N214" s="160"/>
      <c r="O214" s="161"/>
      <c r="P214" s="161"/>
      <c r="Q214" s="161"/>
      <c r="R214" s="186"/>
      <c r="S214" s="510">
        <v>24.033899999999999</v>
      </c>
      <c r="T214" s="549">
        <v>23.77</v>
      </c>
      <c r="U214" s="164"/>
      <c r="V214" s="165" t="s">
        <v>59</v>
      </c>
      <c r="W214" s="160"/>
      <c r="X214" s="203"/>
      <c r="Y214" s="166"/>
      <c r="Z214" s="167"/>
      <c r="AA214" s="163" t="s">
        <v>59</v>
      </c>
      <c r="AB214" s="167"/>
      <c r="AC214" s="168"/>
      <c r="AD214" s="160"/>
      <c r="AE214" s="160"/>
      <c r="AF214" s="160"/>
      <c r="AG214" s="160"/>
      <c r="AH214" s="160"/>
      <c r="AI214" s="542"/>
      <c r="AJ214" s="543"/>
      <c r="AK214" s="543"/>
      <c r="AL214" s="543"/>
      <c r="AM214" s="543"/>
      <c r="AN214" s="543"/>
      <c r="AO214" s="543"/>
      <c r="AP214" s="543"/>
      <c r="AQ214" s="543"/>
      <c r="AR214" s="543"/>
      <c r="AS214" s="543"/>
      <c r="AT214" s="543"/>
      <c r="AU214" s="543"/>
      <c r="AV214" s="543"/>
      <c r="AW214" s="543"/>
      <c r="AX214" s="543"/>
      <c r="AY214" s="543"/>
      <c r="AZ214" s="547"/>
      <c r="BA214" s="160">
        <f>(COUNTIF(AJ214:AL214,"*OK*")*3) + (COUNTIF(AM214:AO214,"*OK*")*2) + COUNTIF(AP214:AR214,"*OK*")+COUNTIF(AZ214:AZ214,"SI")*0.5</f>
        <v>0</v>
      </c>
      <c r="BB214" s="160" t="str">
        <f>IF(BA214&lt;0.6,"Demasiado Riesgo",IF(BA214&lt;=5,"Riesgo Medio",IF(BA214&lt;=11,"Riesgo Bajo","Cliente Blindado")))</f>
        <v>Demasiado Riesgo</v>
      </c>
      <c r="BC214" s="160"/>
      <c r="BD214" s="160"/>
      <c r="BE214" s="160"/>
      <c r="BF214" s="160"/>
      <c r="BG214" s="160"/>
      <c r="BH214" s="160"/>
      <c r="BI214" s="160"/>
      <c r="BJ214" s="160"/>
      <c r="BK214" s="160"/>
      <c r="BL214" s="160"/>
      <c r="BM214" s="160"/>
      <c r="BN214" s="160"/>
      <c r="BO214" s="160"/>
      <c r="BP214" s="160"/>
      <c r="BQ214" s="160"/>
      <c r="BR214" s="160"/>
      <c r="BS214" s="160"/>
      <c r="BT214" s="160"/>
      <c r="BU214" s="160"/>
      <c r="BV214" s="160"/>
      <c r="BW214" s="160"/>
      <c r="BX214" s="160"/>
      <c r="BY214" s="160"/>
      <c r="BZ214" s="160"/>
      <c r="CA214" s="160">
        <f>COUNTIF(AJ214:AX214,"*OK*")</f>
        <v>0</v>
      </c>
      <c r="CB214" s="160"/>
      <c r="CC214" s="160">
        <f>COUNTIF(AJ214:AX214,"*OP*")</f>
        <v>0</v>
      </c>
    </row>
    <row r="215" spans="1:81" ht="15" hidden="1" customHeight="1">
      <c r="A215" s="241">
        <v>30635</v>
      </c>
      <c r="B215" s="160"/>
      <c r="C215" s="468">
        <f>T215</f>
        <v>26.66</v>
      </c>
      <c r="D215" s="160">
        <f>COUNTIF(AJ215:AX215,"*OK*")</f>
        <v>0</v>
      </c>
      <c r="E215" s="160"/>
      <c r="F215" s="182" t="s">
        <v>769</v>
      </c>
      <c r="G215" s="182"/>
      <c r="H215" s="168"/>
      <c r="I215" s="168"/>
      <c r="J215" s="182"/>
      <c r="K215" s="196" t="s">
        <v>68</v>
      </c>
      <c r="L215" s="182" t="s">
        <v>733</v>
      </c>
      <c r="M215" s="182"/>
      <c r="N215" s="182"/>
      <c r="O215" s="161">
        <v>27.06</v>
      </c>
      <c r="P215" s="161">
        <v>27.04</v>
      </c>
      <c r="Q215" s="161">
        <v>25.77</v>
      </c>
      <c r="R215" s="186">
        <v>26.6</v>
      </c>
      <c r="S215" s="510">
        <v>26.956</v>
      </c>
      <c r="T215" s="551">
        <v>26.66</v>
      </c>
      <c r="U215" s="164"/>
      <c r="V215" s="165">
        <v>100</v>
      </c>
      <c r="W215" s="187"/>
      <c r="X215" s="208" t="s">
        <v>70</v>
      </c>
      <c r="Y215" s="166" t="s">
        <v>152</v>
      </c>
      <c r="Z215" s="167" t="s">
        <v>770</v>
      </c>
      <c r="AA215" s="165" t="s">
        <v>132</v>
      </c>
      <c r="AB215" s="167" t="s">
        <v>194</v>
      </c>
      <c r="AC215" s="168"/>
      <c r="AD215" s="160"/>
      <c r="AE215" s="160"/>
      <c r="AF215" s="160"/>
      <c r="AG215" s="160"/>
      <c r="AH215" s="160"/>
      <c r="AI215" s="163" t="s">
        <v>59</v>
      </c>
      <c r="AJ215" s="170"/>
      <c r="AK215" s="170"/>
      <c r="AL215" s="170"/>
      <c r="AM215" s="170"/>
      <c r="AN215" s="170"/>
      <c r="AO215" s="170"/>
      <c r="AP215" s="170"/>
      <c r="AQ215" s="170"/>
      <c r="AR215" s="170"/>
      <c r="AS215" s="170"/>
      <c r="AT215" s="170"/>
      <c r="AU215" s="170"/>
      <c r="AV215" s="170"/>
      <c r="AW215" s="170"/>
      <c r="AX215" s="170"/>
      <c r="AY215" s="170"/>
      <c r="AZ215" s="169" t="s">
        <v>59</v>
      </c>
      <c r="BA215" s="160">
        <f>(COUNTIF(AJ215:AL215,"*OK*")*3) + (COUNTIF(AM215:AO215,"*OK*")*2) + COUNTIF(AP215:AR215,"*OK*")+COUNTIF(AZ215:AZ215,"SI")*0.5</f>
        <v>0</v>
      </c>
      <c r="BB215" s="160" t="str">
        <f>IF(BA215&lt;0.6,"Demasiado Riesgo",IF(BA215&lt;=5,"Riesgo Medio",IF(BA215&lt;=11,"Riesgo Bajo","Cliente Blindado")))</f>
        <v>Demasiado Riesgo</v>
      </c>
      <c r="BC215" s="160"/>
      <c r="BD215" s="160"/>
      <c r="BE215" s="160">
        <v>0</v>
      </c>
      <c r="BF215" s="160"/>
      <c r="BG215" s="160"/>
      <c r="BH215" s="160"/>
      <c r="BI215" s="160"/>
      <c r="BJ215" s="160"/>
      <c r="BK215" s="160"/>
      <c r="BL215" s="160"/>
      <c r="BM215" s="160"/>
      <c r="BN215" s="160"/>
      <c r="BO215" s="160"/>
      <c r="BP215" s="160"/>
      <c r="BQ215" s="160"/>
      <c r="BR215" s="160"/>
      <c r="BS215" s="160"/>
      <c r="BT215" s="160"/>
      <c r="BU215" s="160"/>
      <c r="BV215" s="160"/>
      <c r="BW215" s="160"/>
      <c r="BX215" s="160"/>
      <c r="BY215" s="160"/>
      <c r="BZ215" s="160"/>
      <c r="CA215" s="160">
        <f>COUNTIF(AJ215:AX215,"*OK*")</f>
        <v>0</v>
      </c>
      <c r="CB215" s="160"/>
      <c r="CC215" s="160">
        <f>COUNTIF(AJ215:AX215,"*OP*")</f>
        <v>0</v>
      </c>
    </row>
    <row r="216" spans="1:81" ht="15" hidden="1" customHeight="1">
      <c r="A216" s="240"/>
      <c r="B216" s="171"/>
      <c r="C216" s="468">
        <f>T216</f>
        <v>27.73</v>
      </c>
      <c r="D216" s="171">
        <f>COUNTIF(AJ216:AX216,"*OK*")</f>
        <v>0</v>
      </c>
      <c r="E216" s="171"/>
      <c r="F216" s="183" t="s">
        <v>771</v>
      </c>
      <c r="G216" s="183"/>
      <c r="H216" s="179"/>
      <c r="I216" s="179"/>
      <c r="J216" s="183"/>
      <c r="K216" s="198" t="s">
        <v>68</v>
      </c>
      <c r="L216" s="183" t="s">
        <v>733</v>
      </c>
      <c r="M216" s="183"/>
      <c r="N216" s="183"/>
      <c r="O216" s="172">
        <v>29.71</v>
      </c>
      <c r="P216" s="172">
        <v>29.68</v>
      </c>
      <c r="Q216" s="172">
        <v>28.29</v>
      </c>
      <c r="R216" s="193">
        <v>27.66</v>
      </c>
      <c r="S216" s="510">
        <v>28.0351</v>
      </c>
      <c r="T216" s="550">
        <v>27.73</v>
      </c>
      <c r="U216" s="175"/>
      <c r="V216" s="176">
        <v>50</v>
      </c>
      <c r="W216" s="194"/>
      <c r="X216" s="209" t="s">
        <v>70</v>
      </c>
      <c r="Y216" s="177" t="s">
        <v>80</v>
      </c>
      <c r="Z216" s="178" t="s">
        <v>772</v>
      </c>
      <c r="AA216" s="176" t="s">
        <v>59</v>
      </c>
      <c r="AB216" s="178" t="s">
        <v>104</v>
      </c>
      <c r="AC216" s="179"/>
      <c r="AD216" s="171"/>
      <c r="AE216" s="171"/>
      <c r="AF216" s="171"/>
      <c r="AG216" s="171"/>
      <c r="AH216" s="171"/>
      <c r="AI216" s="174" t="s">
        <v>59</v>
      </c>
      <c r="AJ216" s="170"/>
      <c r="AK216" s="170"/>
      <c r="AL216" s="170"/>
      <c r="AM216" s="170"/>
      <c r="AN216" s="170"/>
      <c r="AO216" s="170"/>
      <c r="AP216" s="170"/>
      <c r="AQ216" s="170"/>
      <c r="AR216" s="170"/>
      <c r="AS216" s="170"/>
      <c r="AT216" s="170"/>
      <c r="AU216" s="170"/>
      <c r="AV216" s="170"/>
      <c r="AW216" s="170"/>
      <c r="AX216" s="170"/>
      <c r="AY216" s="170"/>
      <c r="AZ216" s="180" t="s">
        <v>59</v>
      </c>
      <c r="BA216" s="171">
        <f>(COUNTIF(AJ216:AL216,"*OK*")*3) + (COUNTIF(AM216:AO216,"*OK*")*2) + COUNTIF(AP216:AR216,"*OK*")+COUNTIF(AZ216:AZ216,"SI")*0.5</f>
        <v>0</v>
      </c>
      <c r="BB216" s="171" t="str">
        <f>IF(BA216&lt;0.6,"Demasiado Riesgo",IF(BA216&lt;=5,"Riesgo Medio",IF(BA216&lt;=11,"Riesgo Bajo","Cliente Blindado")))</f>
        <v>Demasiado Riesgo</v>
      </c>
      <c r="BC216" s="171"/>
      <c r="BD216" s="171"/>
      <c r="BE216" s="171">
        <v>0</v>
      </c>
      <c r="BF216" s="171"/>
      <c r="BG216" s="171"/>
      <c r="BH216" s="171"/>
      <c r="BI216" s="171"/>
      <c r="BJ216" s="171"/>
      <c r="BK216" s="171"/>
      <c r="BL216" s="171"/>
      <c r="BM216" s="171"/>
      <c r="BN216" s="171"/>
      <c r="BO216" s="171"/>
      <c r="BP216" s="171"/>
      <c r="BQ216" s="171"/>
      <c r="BR216" s="171"/>
      <c r="BS216" s="171"/>
      <c r="BT216" s="171"/>
      <c r="BU216" s="171"/>
      <c r="BV216" s="171"/>
      <c r="BW216" s="171"/>
      <c r="BX216" s="171"/>
      <c r="BY216" s="171"/>
      <c r="BZ216" s="171"/>
      <c r="CA216" s="171">
        <f>COUNTIF(AJ216:AX216,"*OK*")</f>
        <v>0</v>
      </c>
      <c r="CB216" s="171"/>
      <c r="CC216" s="171">
        <f>COUNTIF(AJ216:AX216,"*OP*")</f>
        <v>0</v>
      </c>
    </row>
    <row r="217" spans="1:81" ht="15" hidden="1" customHeight="1">
      <c r="A217" s="241">
        <v>20600</v>
      </c>
      <c r="B217" s="160"/>
      <c r="C217" s="468">
        <f>T217</f>
        <v>28.44</v>
      </c>
      <c r="D217" s="160">
        <f>COUNTIF(AJ217:AX217,"*OK*")</f>
        <v>0</v>
      </c>
      <c r="E217" s="160"/>
      <c r="F217" s="182" t="s">
        <v>773</v>
      </c>
      <c r="G217" s="182"/>
      <c r="H217" s="168"/>
      <c r="I217" s="168"/>
      <c r="J217" s="182"/>
      <c r="K217" s="182" t="s">
        <v>68</v>
      </c>
      <c r="L217" s="182" t="s">
        <v>733</v>
      </c>
      <c r="M217" s="182"/>
      <c r="N217" s="182"/>
      <c r="O217" s="161">
        <v>43.3</v>
      </c>
      <c r="P217" s="161">
        <v>36.049999999999997</v>
      </c>
      <c r="Q217" s="161">
        <v>34.36</v>
      </c>
      <c r="R217" s="186">
        <v>35.46</v>
      </c>
      <c r="S217" s="510">
        <v>32.345399999999998</v>
      </c>
      <c r="T217" s="551">
        <v>28.44</v>
      </c>
      <c r="U217" s="164"/>
      <c r="V217" s="165">
        <v>100</v>
      </c>
      <c r="W217" s="187"/>
      <c r="X217" s="208" t="s">
        <v>70</v>
      </c>
      <c r="Y217" s="166" t="s">
        <v>71</v>
      </c>
      <c r="Z217" s="167" t="s">
        <v>774</v>
      </c>
      <c r="AA217" s="165" t="s">
        <v>59</v>
      </c>
      <c r="AB217" s="167" t="s">
        <v>159</v>
      </c>
      <c r="AC217" s="168"/>
      <c r="AD217" s="160"/>
      <c r="AE217" s="160"/>
      <c r="AF217" s="160"/>
      <c r="AG217" s="160"/>
      <c r="AH217" s="160"/>
      <c r="AI217" s="163" t="s">
        <v>59</v>
      </c>
      <c r="AJ217" s="170"/>
      <c r="AK217" s="170"/>
      <c r="AL217" s="170"/>
      <c r="AM217" s="170"/>
      <c r="AN217" s="170"/>
      <c r="AO217" s="170"/>
      <c r="AP217" s="170"/>
      <c r="AQ217" s="170"/>
      <c r="AR217" s="170"/>
      <c r="AS217" s="170"/>
      <c r="AT217" s="170"/>
      <c r="AU217" s="170"/>
      <c r="AV217" s="170"/>
      <c r="AW217" s="170"/>
      <c r="AX217" s="170"/>
      <c r="AY217" s="170"/>
      <c r="AZ217" s="169" t="s">
        <v>59</v>
      </c>
      <c r="BA217" s="160">
        <f>(COUNTIF(AJ217:AL217,"*OK*")*3) + (COUNTIF(AM217:AO217,"*OK*")*2) + COUNTIF(AP217:AR217,"*OK*")+COUNTIF(AZ217:AZ217,"SI")*0.5</f>
        <v>0</v>
      </c>
      <c r="BB217" s="160" t="str">
        <f>IF(BA217&lt;0.6,"Demasiado Riesgo",IF(BA217&lt;=5,"Riesgo Medio",IF(BA217&lt;=11,"Riesgo Bajo","Cliente Blindado")))</f>
        <v>Demasiado Riesgo</v>
      </c>
      <c r="BC217" s="160"/>
      <c r="BD217" s="160"/>
      <c r="BE217" s="160">
        <v>0</v>
      </c>
      <c r="BF217" s="160"/>
      <c r="BG217" s="160"/>
      <c r="BH217" s="160"/>
      <c r="BI217" s="160"/>
      <c r="BJ217" s="160"/>
      <c r="BK217" s="160"/>
      <c r="BL217" s="160"/>
      <c r="BM217" s="160"/>
      <c r="BN217" s="160"/>
      <c r="BO217" s="160"/>
      <c r="BP217" s="160"/>
      <c r="BQ217" s="160"/>
      <c r="BR217" s="160"/>
      <c r="BS217" s="160"/>
      <c r="BT217" s="160"/>
      <c r="BU217" s="160"/>
      <c r="BV217" s="160"/>
      <c r="BW217" s="160"/>
      <c r="BX217" s="160"/>
      <c r="BY217" s="160"/>
      <c r="BZ217" s="160"/>
      <c r="CA217" s="160">
        <f>COUNTIF(AJ217:AX217,"*OK*")</f>
        <v>0</v>
      </c>
      <c r="CB217" s="160"/>
      <c r="CC217" s="160">
        <f>COUNTIF(AJ217:AX217,"*OP*")</f>
        <v>0</v>
      </c>
    </row>
    <row r="218" spans="1:81" ht="15" hidden="1" customHeight="1">
      <c r="A218" s="241">
        <v>35584</v>
      </c>
      <c r="B218" s="160"/>
      <c r="C218" s="468">
        <f>T218</f>
        <v>30</v>
      </c>
      <c r="D218" s="160">
        <f>COUNTIF(AJ218:AX218,"*OK*")</f>
        <v>0</v>
      </c>
      <c r="E218" s="160"/>
      <c r="F218" s="182" t="s">
        <v>775</v>
      </c>
      <c r="G218" s="182"/>
      <c r="H218" s="168"/>
      <c r="I218" s="168"/>
      <c r="J218" s="182"/>
      <c r="K218" s="185" t="s">
        <v>68</v>
      </c>
      <c r="L218" s="182" t="s">
        <v>733</v>
      </c>
      <c r="M218" s="182"/>
      <c r="N218" s="182"/>
      <c r="O218" s="161">
        <v>17.399999999999999</v>
      </c>
      <c r="P218" s="161">
        <v>17.39</v>
      </c>
      <c r="Q218" s="161">
        <v>16.57</v>
      </c>
      <c r="R218" s="186">
        <v>17.100000000000001</v>
      </c>
      <c r="S218" s="510">
        <v>17.331299999999999</v>
      </c>
      <c r="T218" s="553">
        <v>30</v>
      </c>
      <c r="U218" s="164"/>
      <c r="V218" s="165">
        <v>50</v>
      </c>
      <c r="W218" s="187"/>
      <c r="X218" s="207" t="s">
        <v>70</v>
      </c>
      <c r="Y218" s="166" t="s">
        <v>162</v>
      </c>
      <c r="Z218" s="167" t="s">
        <v>776</v>
      </c>
      <c r="AA218" s="165" t="s">
        <v>59</v>
      </c>
      <c r="AB218" s="167" t="s">
        <v>65</v>
      </c>
      <c r="AC218" s="168"/>
      <c r="AD218" s="160"/>
      <c r="AE218" s="160"/>
      <c r="AF218" s="160"/>
      <c r="AG218" s="160"/>
      <c r="AH218" s="160"/>
      <c r="AI218" s="163" t="s">
        <v>59</v>
      </c>
      <c r="AJ218" s="170"/>
      <c r="AK218" s="170"/>
      <c r="AL218" s="170"/>
      <c r="AM218" s="170"/>
      <c r="AN218" s="170"/>
      <c r="AO218" s="170"/>
      <c r="AP218" s="170"/>
      <c r="AQ218" s="170"/>
      <c r="AR218" s="170"/>
      <c r="AS218" s="170"/>
      <c r="AT218" s="170"/>
      <c r="AU218" s="170"/>
      <c r="AV218" s="170"/>
      <c r="AW218" s="170"/>
      <c r="AX218" s="170"/>
      <c r="AY218" s="170"/>
      <c r="AZ218" s="169" t="s">
        <v>59</v>
      </c>
      <c r="BA218" s="160">
        <f>(COUNTIF(AJ218:AL218,"*OK*")*3) + (COUNTIF(AM218:AO218,"*OK*")*2) + COUNTIF(AP218:AR218,"*OK*")+COUNTIF(AZ218:AZ218,"SI")*0.5</f>
        <v>0</v>
      </c>
      <c r="BB218" s="160" t="str">
        <f>IF(BA218&lt;0.6,"Demasiado Riesgo",IF(BA218&lt;=5,"Riesgo Medio",IF(BA218&lt;=11,"Riesgo Bajo","Cliente Blindado")))</f>
        <v>Demasiado Riesgo</v>
      </c>
      <c r="BC218" s="160"/>
      <c r="BD218" s="160"/>
      <c r="BE218" s="160">
        <v>0</v>
      </c>
      <c r="BF218" s="160"/>
      <c r="BG218" s="160"/>
      <c r="BH218" s="160"/>
      <c r="BI218" s="160"/>
      <c r="BJ218" s="160"/>
      <c r="BK218" s="160"/>
      <c r="BL218" s="160"/>
      <c r="BM218" s="160"/>
      <c r="BN218" s="160"/>
      <c r="BO218" s="160"/>
      <c r="BP218" s="160"/>
      <c r="BQ218" s="160"/>
      <c r="BR218" s="160"/>
      <c r="BS218" s="160"/>
      <c r="BT218" s="160"/>
      <c r="BU218" s="160"/>
      <c r="BV218" s="160"/>
      <c r="BW218" s="160"/>
      <c r="BX218" s="160"/>
      <c r="BY218" s="160"/>
      <c r="BZ218" s="160"/>
      <c r="CA218" s="160">
        <f>COUNTIF(AJ218:AX218,"*OK*")</f>
        <v>0</v>
      </c>
      <c r="CB218" s="160"/>
      <c r="CC218" s="160">
        <f>COUNTIF(AJ218:AX218,"*OP*")</f>
        <v>0</v>
      </c>
    </row>
    <row r="219" spans="1:81" ht="15" hidden="1" customHeight="1">
      <c r="A219" s="241">
        <v>35650</v>
      </c>
      <c r="B219" s="160"/>
      <c r="C219" s="468">
        <f>T219</f>
        <v>32</v>
      </c>
      <c r="D219" s="160">
        <f>COUNTIF(AJ219:AX219,"*OK*")</f>
        <v>0</v>
      </c>
      <c r="E219" s="160"/>
      <c r="F219" s="182" t="s">
        <v>777</v>
      </c>
      <c r="G219" s="182"/>
      <c r="H219" s="168"/>
      <c r="I219" s="168"/>
      <c r="J219" s="182"/>
      <c r="K219" s="185" t="s">
        <v>68</v>
      </c>
      <c r="L219" s="182" t="s">
        <v>733</v>
      </c>
      <c r="M219" s="182"/>
      <c r="N219" s="182"/>
      <c r="O219" s="161">
        <v>32.479999999999997</v>
      </c>
      <c r="P219" s="161">
        <v>4.0599999999999996</v>
      </c>
      <c r="Q219" s="161">
        <v>30.93</v>
      </c>
      <c r="R219" s="186">
        <v>31.92</v>
      </c>
      <c r="S219" s="510">
        <v>32.351799999999997</v>
      </c>
      <c r="T219" s="551">
        <v>32</v>
      </c>
      <c r="U219" s="164"/>
      <c r="V219" s="165">
        <v>50</v>
      </c>
      <c r="W219" s="187"/>
      <c r="X219" s="208" t="s">
        <v>70</v>
      </c>
      <c r="Y219" s="166" t="s">
        <v>71</v>
      </c>
      <c r="Z219" s="167" t="s">
        <v>74</v>
      </c>
      <c r="AA219" s="165" t="s">
        <v>59</v>
      </c>
      <c r="AB219" s="167" t="s">
        <v>65</v>
      </c>
      <c r="AC219" s="168"/>
      <c r="AD219" s="160"/>
      <c r="AE219" s="160"/>
      <c r="AF219" s="160"/>
      <c r="AG219" s="160"/>
      <c r="AH219" s="160"/>
      <c r="AI219" s="163" t="s">
        <v>59</v>
      </c>
      <c r="AJ219" s="170"/>
      <c r="AK219" s="170"/>
      <c r="AL219" s="170"/>
      <c r="AM219" s="170"/>
      <c r="AN219" s="170"/>
      <c r="AO219" s="170"/>
      <c r="AP219" s="170"/>
      <c r="AQ219" s="170"/>
      <c r="AR219" s="170"/>
      <c r="AS219" s="170"/>
      <c r="AT219" s="170"/>
      <c r="AU219" s="170"/>
      <c r="AV219" s="170"/>
      <c r="AW219" s="170"/>
      <c r="AX219" s="170"/>
      <c r="AY219" s="170"/>
      <c r="AZ219" s="169" t="s">
        <v>59</v>
      </c>
      <c r="BA219" s="160">
        <f>(COUNTIF(AJ219:AL219,"*OK*")*3) + (COUNTIF(AM219:AO219,"*OK*")*2) + COUNTIF(AP219:AR219,"*OK*")+COUNTIF(AZ219:AZ219,"SI")*0.5</f>
        <v>0</v>
      </c>
      <c r="BB219" s="160" t="str">
        <f>IF(BA219&lt;0.6,"Demasiado Riesgo",IF(BA219&lt;=5,"Riesgo Medio",IF(BA219&lt;=11,"Riesgo Bajo","Cliente Blindado")))</f>
        <v>Demasiado Riesgo</v>
      </c>
      <c r="BC219" s="160"/>
      <c r="BD219" s="160"/>
      <c r="BE219" s="160">
        <v>0</v>
      </c>
      <c r="BF219" s="160"/>
      <c r="BG219" s="160"/>
      <c r="BH219" s="160"/>
      <c r="BI219" s="160"/>
      <c r="BJ219" s="160"/>
      <c r="BK219" s="160"/>
      <c r="BL219" s="160"/>
      <c r="BM219" s="160"/>
      <c r="BN219" s="160"/>
      <c r="BO219" s="160"/>
      <c r="BP219" s="160"/>
      <c r="BQ219" s="160"/>
      <c r="BR219" s="160"/>
      <c r="BS219" s="160"/>
      <c r="BT219" s="160"/>
      <c r="BU219" s="160"/>
      <c r="BV219" s="160"/>
      <c r="BW219" s="160"/>
      <c r="BX219" s="160"/>
      <c r="BY219" s="160"/>
      <c r="BZ219" s="160"/>
      <c r="CA219" s="160">
        <f>COUNTIF(AJ219:AX219,"*OK*")</f>
        <v>0</v>
      </c>
      <c r="CB219" s="160"/>
      <c r="CC219" s="160">
        <f>COUNTIF(AJ219:AX219,"*OP*")</f>
        <v>0</v>
      </c>
    </row>
    <row r="220" spans="1:81" s="233" customFormat="1" ht="15" hidden="1" customHeight="1">
      <c r="A220" s="240">
        <v>31343</v>
      </c>
      <c r="B220" s="171"/>
      <c r="C220" s="468">
        <f>T220</f>
        <v>32.4</v>
      </c>
      <c r="D220" s="171">
        <f>COUNTIF(AJ220:AX220,"*OK*")</f>
        <v>0</v>
      </c>
      <c r="E220" s="171"/>
      <c r="F220" s="183" t="s">
        <v>778</v>
      </c>
      <c r="G220" s="183"/>
      <c r="H220" s="179"/>
      <c r="I220" s="179"/>
      <c r="J220" s="183"/>
      <c r="K220" s="183" t="s">
        <v>68</v>
      </c>
      <c r="L220" s="183" t="s">
        <v>733</v>
      </c>
      <c r="M220" s="183" t="s">
        <v>135</v>
      </c>
      <c r="N220" s="183" t="s">
        <v>136</v>
      </c>
      <c r="O220" s="172">
        <v>34.11</v>
      </c>
      <c r="P220" s="172">
        <v>34.08</v>
      </c>
      <c r="Q220" s="172">
        <v>32.47</v>
      </c>
      <c r="R220" s="193">
        <v>32.32</v>
      </c>
      <c r="S220" s="510">
        <v>32.7562</v>
      </c>
      <c r="T220" s="550">
        <v>32.4</v>
      </c>
      <c r="U220" s="175"/>
      <c r="V220" s="176">
        <v>100</v>
      </c>
      <c r="W220" s="194"/>
      <c r="X220" s="209" t="s">
        <v>70</v>
      </c>
      <c r="Y220" s="177" t="s">
        <v>162</v>
      </c>
      <c r="Z220" s="178" t="s">
        <v>779</v>
      </c>
      <c r="AA220" s="176" t="s">
        <v>162</v>
      </c>
      <c r="AB220" s="178" t="s">
        <v>240</v>
      </c>
      <c r="AC220" s="179"/>
      <c r="AD220" s="171"/>
      <c r="AE220" s="171"/>
      <c r="AF220" s="171"/>
      <c r="AG220" s="171"/>
      <c r="AH220" s="171"/>
      <c r="AI220" s="174" t="s">
        <v>59</v>
      </c>
      <c r="AJ220" s="170"/>
      <c r="AK220" s="170"/>
      <c r="AL220" s="170"/>
      <c r="AM220" s="170"/>
      <c r="AN220" s="170"/>
      <c r="AO220" s="170"/>
      <c r="AP220" s="170"/>
      <c r="AQ220" s="170"/>
      <c r="AR220" s="170"/>
      <c r="AS220" s="170"/>
      <c r="AT220" s="170"/>
      <c r="AU220" s="170"/>
      <c r="AV220" s="170"/>
      <c r="AW220" s="170"/>
      <c r="AX220" s="170"/>
      <c r="AY220" s="170"/>
      <c r="AZ220" s="180" t="s">
        <v>59</v>
      </c>
      <c r="BA220" s="171">
        <f>(COUNTIF(AJ220:AL220,"*OK*")*3) + (COUNTIF(AM220:AO220,"*OK*")*2) + COUNTIF(AP220:AR220,"*OK*")+COUNTIF(AZ220:AZ220,"SI")*0.5</f>
        <v>0</v>
      </c>
      <c r="BB220" s="171" t="str">
        <f>IF(BA220&lt;0.6,"Demasiado Riesgo",IF(BA220&lt;=5,"Riesgo Medio",IF(BA220&lt;=11,"Riesgo Bajo","Cliente Blindado")))</f>
        <v>Demasiado Riesgo</v>
      </c>
      <c r="BC220" s="171"/>
      <c r="BD220" s="171"/>
      <c r="BE220" s="171">
        <v>0</v>
      </c>
      <c r="BF220" s="171"/>
      <c r="BG220" s="171"/>
      <c r="BH220" s="171"/>
      <c r="BI220" s="171"/>
      <c r="BJ220" s="171"/>
      <c r="BK220" s="171"/>
      <c r="BL220" s="171"/>
      <c r="BM220" s="171"/>
      <c r="BN220" s="171"/>
      <c r="BO220" s="171"/>
      <c r="BP220" s="171"/>
      <c r="BQ220" s="171"/>
      <c r="BR220" s="171"/>
      <c r="BS220" s="171"/>
      <c r="BT220" s="171"/>
      <c r="BU220" s="171"/>
      <c r="BV220" s="171"/>
      <c r="BW220" s="171"/>
      <c r="BX220" s="171"/>
      <c r="BY220" s="171"/>
      <c r="BZ220" s="171"/>
      <c r="CA220" s="171">
        <f>COUNTIF(AJ220:AX220,"*OK*")</f>
        <v>0</v>
      </c>
      <c r="CB220" s="171"/>
      <c r="CC220" s="171">
        <f>COUNTIF(AJ220:AX220,"*OP*")</f>
        <v>0</v>
      </c>
    </row>
    <row r="221" spans="1:81" ht="15" hidden="1" customHeight="1">
      <c r="A221" s="240"/>
      <c r="B221" s="171"/>
      <c r="C221" s="468">
        <f>T221</f>
        <v>33.43</v>
      </c>
      <c r="D221" s="171">
        <f>COUNTIF(AJ221:AX221,"*OK*")</f>
        <v>0</v>
      </c>
      <c r="E221" s="171"/>
      <c r="F221" s="183" t="s">
        <v>780</v>
      </c>
      <c r="G221" s="183"/>
      <c r="H221" s="179"/>
      <c r="I221" s="179"/>
      <c r="J221" s="183"/>
      <c r="K221" s="192" t="s">
        <v>68</v>
      </c>
      <c r="L221" s="183" t="s">
        <v>733</v>
      </c>
      <c r="M221" s="183"/>
      <c r="N221" s="183"/>
      <c r="O221" s="172">
        <v>85.24</v>
      </c>
      <c r="P221" s="172"/>
      <c r="Q221" s="172">
        <v>34.79</v>
      </c>
      <c r="R221" s="193">
        <v>35.909999999999997</v>
      </c>
      <c r="S221" s="510">
        <v>33.796100000000003</v>
      </c>
      <c r="T221" s="550">
        <v>33.43</v>
      </c>
      <c r="U221" s="175"/>
      <c r="V221" s="176">
        <v>50</v>
      </c>
      <c r="W221" s="194"/>
      <c r="X221" s="209" t="s">
        <v>70</v>
      </c>
      <c r="Y221" s="177" t="s">
        <v>152</v>
      </c>
      <c r="Z221" s="178" t="s">
        <v>781</v>
      </c>
      <c r="AA221" s="176" t="s">
        <v>59</v>
      </c>
      <c r="AB221" s="178" t="s">
        <v>65</v>
      </c>
      <c r="AC221" s="179"/>
      <c r="AD221" s="171"/>
      <c r="AE221" s="171"/>
      <c r="AF221" s="171"/>
      <c r="AG221" s="171"/>
      <c r="AH221" s="171"/>
      <c r="AI221" s="174" t="s">
        <v>59</v>
      </c>
      <c r="AJ221" s="170"/>
      <c r="AK221" s="170"/>
      <c r="AL221" s="170"/>
      <c r="AM221" s="170"/>
      <c r="AN221" s="170"/>
      <c r="AO221" s="170"/>
      <c r="AP221" s="170"/>
      <c r="AQ221" s="170"/>
      <c r="AR221" s="170"/>
      <c r="AS221" s="170"/>
      <c r="AT221" s="170"/>
      <c r="AU221" s="170"/>
      <c r="AV221" s="170"/>
      <c r="AW221" s="170"/>
      <c r="AX221" s="170"/>
      <c r="AY221" s="170"/>
      <c r="AZ221" s="180" t="s">
        <v>59</v>
      </c>
      <c r="BA221" s="171">
        <f>(COUNTIF(AJ221:AL221,"*OK*")*3) + (COUNTIF(AM221:AO221,"*OK*")*2) + COUNTIF(AP221:AR221,"*OK*")+COUNTIF(AZ221:AZ221,"SI")*0.5</f>
        <v>0</v>
      </c>
      <c r="BB221" s="171" t="str">
        <f>IF(BA221&lt;0.6,"Demasiado Riesgo",IF(BA221&lt;=5,"Riesgo Medio",IF(BA221&lt;=11,"Riesgo Bajo","Cliente Blindado")))</f>
        <v>Demasiado Riesgo</v>
      </c>
      <c r="BC221" s="171"/>
      <c r="BD221" s="171"/>
      <c r="BE221" s="171">
        <v>0</v>
      </c>
      <c r="BF221" s="171"/>
      <c r="BG221" s="171"/>
      <c r="BH221" s="171"/>
      <c r="BI221" s="171"/>
      <c r="BJ221" s="171"/>
      <c r="BK221" s="171"/>
      <c r="BL221" s="171"/>
      <c r="BM221" s="171"/>
      <c r="BN221" s="171"/>
      <c r="BO221" s="171"/>
      <c r="BP221" s="171"/>
      <c r="BQ221" s="171"/>
      <c r="BR221" s="171"/>
      <c r="BS221" s="171"/>
      <c r="BT221" s="171"/>
      <c r="BU221" s="171"/>
      <c r="BV221" s="171"/>
      <c r="BW221" s="171"/>
      <c r="BX221" s="171"/>
      <c r="BY221" s="171"/>
      <c r="BZ221" s="171"/>
      <c r="CA221" s="171">
        <f>COUNTIF(AJ221:AX221,"*OK*")</f>
        <v>0</v>
      </c>
      <c r="CB221" s="171"/>
      <c r="CC221" s="171">
        <f>COUNTIF(AJ221:AX221,"*OP*")</f>
        <v>0</v>
      </c>
    </row>
    <row r="222" spans="1:81" ht="15" hidden="1" customHeight="1">
      <c r="A222" s="241"/>
      <c r="B222" s="160"/>
      <c r="C222" s="468">
        <f>T222</f>
        <v>36.11</v>
      </c>
      <c r="D222" s="160">
        <f>COUNTIF(AN222:AY222,"OK")</f>
        <v>0</v>
      </c>
      <c r="E222" s="160"/>
      <c r="F222" s="160" t="s">
        <v>782</v>
      </c>
      <c r="G222" s="160"/>
      <c r="H222" s="168"/>
      <c r="I222" s="168"/>
      <c r="J222" s="160"/>
      <c r="K222" s="220" t="s">
        <v>68</v>
      </c>
      <c r="L222" s="160" t="s">
        <v>768</v>
      </c>
      <c r="M222" s="160"/>
      <c r="N222" s="160"/>
      <c r="O222" s="161"/>
      <c r="P222" s="161"/>
      <c r="Q222" s="161"/>
      <c r="R222" s="186">
        <v>36.03</v>
      </c>
      <c r="S222" s="510">
        <v>36.511299999999999</v>
      </c>
      <c r="T222" s="549">
        <v>36.11</v>
      </c>
      <c r="U222" s="164"/>
      <c r="V222" s="165" t="s">
        <v>59</v>
      </c>
      <c r="W222" s="160"/>
      <c r="X222" s="203"/>
      <c r="Y222" s="166"/>
      <c r="Z222" s="167"/>
      <c r="AA222" s="163" t="s">
        <v>59</v>
      </c>
      <c r="AB222" s="167"/>
      <c r="AC222" s="168"/>
      <c r="AD222" s="160"/>
      <c r="AE222" s="160"/>
      <c r="AF222" s="160"/>
      <c r="AG222" s="160"/>
      <c r="AH222" s="160"/>
      <c r="AI222" s="163"/>
      <c r="AJ222" s="170"/>
      <c r="AK222" s="170"/>
      <c r="AL222" s="170"/>
      <c r="AM222" s="170"/>
      <c r="AN222" s="170"/>
      <c r="AO222" s="170"/>
      <c r="AP222" s="170"/>
      <c r="AQ222" s="170"/>
      <c r="AR222" s="170"/>
      <c r="AS222" s="170"/>
      <c r="AT222" s="170"/>
      <c r="AU222" s="170"/>
      <c r="AV222" s="170"/>
      <c r="AW222" s="170"/>
      <c r="AX222" s="170"/>
      <c r="AY222" s="170"/>
      <c r="AZ222" s="169" t="s">
        <v>59</v>
      </c>
      <c r="BA222" s="160">
        <f>(COUNTIF(AJ222:AL222,"*OK*")*3) + (COUNTIF(AM222:AO222,"*OK*")*2) + COUNTIF(AP222:AR222,"*OK*")+COUNTIF(AZ222:AZ222,"SI")*0.5</f>
        <v>0</v>
      </c>
      <c r="BB222" s="160" t="str">
        <f>IF(BA222&lt;0.6,"Demasiado Riesgo",IF(BA222&lt;=5,"Riesgo Medio",IF(BA222&lt;=11,"Riesgo Bajo","Cliente Blindado")))</f>
        <v>Demasiado Riesgo</v>
      </c>
      <c r="BC222" s="160"/>
      <c r="BD222" s="160"/>
      <c r="BE222" s="160"/>
      <c r="BF222" s="160"/>
      <c r="BG222" s="160"/>
      <c r="BH222" s="160"/>
      <c r="BI222" s="160"/>
      <c r="BJ222" s="160"/>
      <c r="BK222" s="160"/>
      <c r="BL222" s="160"/>
      <c r="BM222" s="160"/>
      <c r="BN222" s="160"/>
      <c r="BO222" s="160"/>
      <c r="BP222" s="160"/>
      <c r="BQ222" s="160"/>
      <c r="BR222" s="160"/>
      <c r="BS222" s="160"/>
      <c r="BT222" s="160"/>
      <c r="BU222" s="160"/>
      <c r="BV222" s="160"/>
      <c r="BW222" s="160"/>
      <c r="BX222" s="160"/>
      <c r="BY222" s="160"/>
      <c r="BZ222" s="160"/>
      <c r="CA222" s="160">
        <f>COUNTIF(AJ222:AX222,"*OK*")</f>
        <v>0</v>
      </c>
      <c r="CB222" s="160"/>
      <c r="CC222" s="160">
        <f>COUNTIF(AJ222:AX222,"*OP*")</f>
        <v>0</v>
      </c>
    </row>
    <row r="223" spans="1:81" ht="15" hidden="1" customHeight="1">
      <c r="A223" s="241">
        <v>33694</v>
      </c>
      <c r="B223" s="160"/>
      <c r="C223" s="468">
        <f>T223</f>
        <v>36.26</v>
      </c>
      <c r="D223" s="160">
        <f>COUNTIF(AJ223:AX223,"*OK*")</f>
        <v>0</v>
      </c>
      <c r="E223" s="160"/>
      <c r="F223" s="182" t="s">
        <v>783</v>
      </c>
      <c r="G223" s="182"/>
      <c r="H223" s="168"/>
      <c r="I223" s="168"/>
      <c r="J223" s="182"/>
      <c r="K223" s="182" t="s">
        <v>68</v>
      </c>
      <c r="L223" s="182" t="s">
        <v>733</v>
      </c>
      <c r="M223" s="182"/>
      <c r="N223" s="182"/>
      <c r="O223" s="161">
        <v>31.56</v>
      </c>
      <c r="P223" s="161">
        <v>36.78</v>
      </c>
      <c r="Q223" s="161">
        <v>30.04</v>
      </c>
      <c r="R223" s="186">
        <v>36.18</v>
      </c>
      <c r="S223" s="510">
        <v>36.666699999999999</v>
      </c>
      <c r="T223" s="551">
        <v>36.26</v>
      </c>
      <c r="U223" s="164"/>
      <c r="V223" s="165">
        <v>50</v>
      </c>
      <c r="W223" s="187"/>
      <c r="X223" s="208" t="s">
        <v>70</v>
      </c>
      <c r="Y223" s="166" t="s">
        <v>71</v>
      </c>
      <c r="Z223" s="167" t="s">
        <v>76</v>
      </c>
      <c r="AA223" s="165" t="s">
        <v>59</v>
      </c>
      <c r="AB223" s="167" t="s">
        <v>65</v>
      </c>
      <c r="AC223" s="168"/>
      <c r="AD223" s="160"/>
      <c r="AE223" s="160"/>
      <c r="AF223" s="160"/>
      <c r="AG223" s="160"/>
      <c r="AH223" s="160"/>
      <c r="AI223" s="163" t="s">
        <v>59</v>
      </c>
      <c r="AJ223" s="170"/>
      <c r="AK223" s="170"/>
      <c r="AL223" s="170"/>
      <c r="AM223" s="170"/>
      <c r="AN223" s="170"/>
      <c r="AO223" s="170"/>
      <c r="AP223" s="170"/>
      <c r="AQ223" s="170"/>
      <c r="AR223" s="170"/>
      <c r="AS223" s="170"/>
      <c r="AT223" s="170"/>
      <c r="AU223" s="170"/>
      <c r="AV223" s="170"/>
      <c r="AW223" s="170"/>
      <c r="AX223" s="170"/>
      <c r="AY223" s="170"/>
      <c r="AZ223" s="169" t="s">
        <v>59</v>
      </c>
      <c r="BA223" s="160">
        <f>(COUNTIF(AJ223:AL223,"*OK*")*3) + (COUNTIF(AM223:AO223,"*OK*")*2) + COUNTIF(AP223:AR223,"*OK*")+COUNTIF(AZ223:AZ223,"SI")*0.5</f>
        <v>0</v>
      </c>
      <c r="BB223" s="160" t="str">
        <f>IF(BA223&lt;0.6,"Demasiado Riesgo",IF(BA223&lt;=5,"Riesgo Medio",IF(BA223&lt;=11,"Riesgo Bajo","Cliente Blindado")))</f>
        <v>Demasiado Riesgo</v>
      </c>
      <c r="BC223" s="160"/>
      <c r="BD223" s="160"/>
      <c r="BE223" s="160">
        <v>0</v>
      </c>
      <c r="BF223" s="160"/>
      <c r="BG223" s="160"/>
      <c r="BH223" s="160"/>
      <c r="BI223" s="160"/>
      <c r="BJ223" s="160"/>
      <c r="BK223" s="160"/>
      <c r="BL223" s="160"/>
      <c r="BM223" s="160"/>
      <c r="BN223" s="160"/>
      <c r="BO223" s="160"/>
      <c r="BP223" s="160"/>
      <c r="BQ223" s="160"/>
      <c r="BR223" s="160"/>
      <c r="BS223" s="160"/>
      <c r="BT223" s="160"/>
      <c r="BU223" s="160"/>
      <c r="BV223" s="160"/>
      <c r="BW223" s="160"/>
      <c r="BX223" s="160"/>
      <c r="BY223" s="160"/>
      <c r="BZ223" s="160"/>
      <c r="CA223" s="160">
        <f>COUNTIF(AJ223:AX223,"*OK*")</f>
        <v>0</v>
      </c>
      <c r="CB223" s="160"/>
      <c r="CC223" s="160">
        <f>COUNTIF(AJ223:AX223,"*OP*")</f>
        <v>0</v>
      </c>
    </row>
    <row r="224" spans="1:81" ht="15" hidden="1" customHeight="1">
      <c r="A224" s="240">
        <v>36028</v>
      </c>
      <c r="B224" s="171"/>
      <c r="C224" s="468">
        <f>T224</f>
        <v>37.14</v>
      </c>
      <c r="D224" s="171">
        <f>COUNTIF(AJ224:AX224,"*OK*")</f>
        <v>0</v>
      </c>
      <c r="E224" s="171"/>
      <c r="F224" s="183" t="s">
        <v>784</v>
      </c>
      <c r="G224" s="183"/>
      <c r="H224" s="179"/>
      <c r="I224" s="179"/>
      <c r="J224" s="183"/>
      <c r="K224" s="192" t="s">
        <v>68</v>
      </c>
      <c r="L224" s="183" t="s">
        <v>733</v>
      </c>
      <c r="M224" s="183"/>
      <c r="N224" s="183"/>
      <c r="O224" s="172"/>
      <c r="P224" s="172">
        <v>85.48</v>
      </c>
      <c r="Q224" s="172">
        <v>44.18</v>
      </c>
      <c r="R224" s="193">
        <v>37.049999999999997</v>
      </c>
      <c r="S224" s="510">
        <v>37.551200000000001</v>
      </c>
      <c r="T224" s="550">
        <v>37.14</v>
      </c>
      <c r="U224" s="175"/>
      <c r="V224" s="176">
        <v>50</v>
      </c>
      <c r="W224" s="194"/>
      <c r="X224" s="209" t="s">
        <v>70</v>
      </c>
      <c r="Y224" s="177" t="s">
        <v>71</v>
      </c>
      <c r="Z224" s="178" t="s">
        <v>74</v>
      </c>
      <c r="AA224" s="176" t="s">
        <v>59</v>
      </c>
      <c r="AB224" s="178" t="s">
        <v>65</v>
      </c>
      <c r="AC224" s="179"/>
      <c r="AD224" s="171"/>
      <c r="AE224" s="171"/>
      <c r="AF224" s="171"/>
      <c r="AG224" s="171"/>
      <c r="AH224" s="171"/>
      <c r="AI224" s="174" t="s">
        <v>59</v>
      </c>
      <c r="AJ224" s="170"/>
      <c r="AK224" s="170"/>
      <c r="AL224" s="170"/>
      <c r="AM224" s="170"/>
      <c r="AN224" s="170"/>
      <c r="AO224" s="170"/>
      <c r="AP224" s="170"/>
      <c r="AQ224" s="170"/>
      <c r="AR224" s="170"/>
      <c r="AS224" s="170"/>
      <c r="AT224" s="170"/>
      <c r="AU224" s="170"/>
      <c r="AV224" s="170"/>
      <c r="AW224" s="170"/>
      <c r="AX224" s="170"/>
      <c r="AY224" s="170"/>
      <c r="AZ224" s="180" t="s">
        <v>59</v>
      </c>
      <c r="BA224" s="171">
        <f>(COUNTIF(AJ224:AL224,"*OK*")*3) + (COUNTIF(AM224:AO224,"*OK*")*2) + COUNTIF(AP224:AR224,"*OK*")+COUNTIF(AZ224:AZ224,"SI")*0.5</f>
        <v>0</v>
      </c>
      <c r="BB224" s="171" t="str">
        <f>IF(BA224&lt;0.6,"Demasiado Riesgo",IF(BA224&lt;=5,"Riesgo Medio",IF(BA224&lt;=11,"Riesgo Bajo","Cliente Blindado")))</f>
        <v>Demasiado Riesgo</v>
      </c>
      <c r="BC224" s="171"/>
      <c r="BD224" s="171"/>
      <c r="BE224" s="171">
        <v>0</v>
      </c>
      <c r="BF224" s="171"/>
      <c r="BG224" s="171"/>
      <c r="BH224" s="171"/>
      <c r="BI224" s="171"/>
      <c r="BJ224" s="171"/>
      <c r="BK224" s="171"/>
      <c r="BL224" s="171"/>
      <c r="BM224" s="171"/>
      <c r="BN224" s="171"/>
      <c r="BO224" s="171"/>
      <c r="BP224" s="171"/>
      <c r="BQ224" s="171"/>
      <c r="BR224" s="171"/>
      <c r="BS224" s="171"/>
      <c r="BT224" s="171"/>
      <c r="BU224" s="171"/>
      <c r="BV224" s="171"/>
      <c r="BW224" s="171"/>
      <c r="BX224" s="171"/>
      <c r="BY224" s="171"/>
      <c r="BZ224" s="171"/>
      <c r="CA224" s="171">
        <f>COUNTIF(AJ224:AX224,"*OK*")</f>
        <v>0</v>
      </c>
      <c r="CB224" s="171"/>
      <c r="CC224" s="171">
        <f>COUNTIF(AJ224:AX224,"*OP*")</f>
        <v>0</v>
      </c>
    </row>
    <row r="225" spans="1:81" ht="15" hidden="1" customHeight="1">
      <c r="A225" s="240"/>
      <c r="B225" s="171"/>
      <c r="C225" s="468">
        <f>T225</f>
        <v>38.9</v>
      </c>
      <c r="D225" s="171">
        <f>COUNTIF(AN225:AY225,"OK")</f>
        <v>0</v>
      </c>
      <c r="E225" s="171"/>
      <c r="F225" s="171" t="s">
        <v>785</v>
      </c>
      <c r="G225" s="171"/>
      <c r="H225" s="179"/>
      <c r="I225" s="179"/>
      <c r="J225" s="171"/>
      <c r="K225" s="236" t="s">
        <v>68</v>
      </c>
      <c r="L225" s="171" t="s">
        <v>768</v>
      </c>
      <c r="M225" s="171"/>
      <c r="N225" s="171"/>
      <c r="O225" s="161"/>
      <c r="P225" s="161"/>
      <c r="Q225" s="161"/>
      <c r="R225" s="186"/>
      <c r="S225" s="510">
        <v>45.882899999999999</v>
      </c>
      <c r="T225" s="552">
        <v>38.9</v>
      </c>
      <c r="U225" s="175"/>
      <c r="V225" s="176" t="s">
        <v>59</v>
      </c>
      <c r="W225" s="171"/>
      <c r="X225" s="205"/>
      <c r="Y225" s="177"/>
      <c r="Z225" s="178"/>
      <c r="AA225" s="174" t="s">
        <v>59</v>
      </c>
      <c r="AB225" s="178"/>
      <c r="AC225" s="179"/>
      <c r="AD225" s="171"/>
      <c r="AE225" s="171"/>
      <c r="AF225" s="171"/>
      <c r="AG225" s="171"/>
      <c r="AH225" s="171"/>
      <c r="AI225" s="174"/>
      <c r="AJ225" s="170"/>
      <c r="AK225" s="170"/>
      <c r="AL225" s="170"/>
      <c r="AM225" s="170"/>
      <c r="AN225" s="170"/>
      <c r="AO225" s="170"/>
      <c r="AP225" s="170"/>
      <c r="AQ225" s="170"/>
      <c r="AR225" s="170"/>
      <c r="AS225" s="170"/>
      <c r="AT225" s="170"/>
      <c r="AU225" s="170"/>
      <c r="AV225" s="170"/>
      <c r="AW225" s="170"/>
      <c r="AX225" s="170"/>
      <c r="AY225" s="170"/>
      <c r="AZ225" s="180" t="s">
        <v>59</v>
      </c>
      <c r="BA225" s="171">
        <f>(COUNTIF(AJ225:AL225,"*OK*")*3) + (COUNTIF(AM225:AO225,"*OK*")*2) + COUNTIF(AP225:AR225,"*OK*")+COUNTIF(AZ225:AZ225,"SI")*0.5</f>
        <v>0</v>
      </c>
      <c r="BB225" s="171" t="str">
        <f>IF(BA225&lt;0.6,"Demasiado Riesgo",IF(BA225&lt;=5,"Riesgo Medio",IF(BA225&lt;=11,"Riesgo Bajo","Cliente Blindado")))</f>
        <v>Demasiado Riesgo</v>
      </c>
      <c r="BC225" s="171"/>
      <c r="BD225" s="171"/>
      <c r="BE225" s="171"/>
      <c r="BF225" s="171"/>
      <c r="BG225" s="171"/>
      <c r="BH225" s="171"/>
      <c r="BI225" s="171"/>
      <c r="BJ225" s="171"/>
      <c r="BK225" s="171"/>
      <c r="BL225" s="171"/>
      <c r="BM225" s="171"/>
      <c r="BN225" s="171"/>
      <c r="BO225" s="171"/>
      <c r="BP225" s="171"/>
      <c r="BQ225" s="171"/>
      <c r="BR225" s="171"/>
      <c r="BS225" s="171"/>
      <c r="BT225" s="171"/>
      <c r="BU225" s="171"/>
      <c r="BV225" s="171"/>
      <c r="BW225" s="171"/>
      <c r="BX225" s="171"/>
      <c r="BY225" s="171"/>
      <c r="BZ225" s="171"/>
      <c r="CA225" s="171">
        <f>COUNTIF(AJ225:AX225,"*OK*")</f>
        <v>0</v>
      </c>
      <c r="CB225" s="171"/>
      <c r="CC225" s="171">
        <f>COUNTIF(AJ225:AX225,"*OP*")</f>
        <v>0</v>
      </c>
    </row>
    <row r="226" spans="1:81" ht="15" hidden="1" customHeight="1">
      <c r="A226" s="240">
        <v>36465</v>
      </c>
      <c r="B226" s="171"/>
      <c r="C226" s="468">
        <f>T226</f>
        <v>40</v>
      </c>
      <c r="D226" s="171">
        <f>COUNTIF(AJ226:AX226,"*OK*")</f>
        <v>0</v>
      </c>
      <c r="E226" s="171"/>
      <c r="F226" s="183" t="s">
        <v>786</v>
      </c>
      <c r="G226" s="183"/>
      <c r="H226" s="179"/>
      <c r="I226" s="179"/>
      <c r="J226" s="183"/>
      <c r="K226" s="192" t="s">
        <v>68</v>
      </c>
      <c r="L226" s="183" t="s">
        <v>733</v>
      </c>
      <c r="M226" s="183"/>
      <c r="N226" s="183"/>
      <c r="O226" s="172"/>
      <c r="P226" s="172"/>
      <c r="Q226" s="172">
        <v>50.26</v>
      </c>
      <c r="R226" s="193">
        <v>51.87</v>
      </c>
      <c r="S226" s="510">
        <v>40.439799999999998</v>
      </c>
      <c r="T226" s="550">
        <v>40</v>
      </c>
      <c r="U226" s="175"/>
      <c r="V226" s="176">
        <v>100</v>
      </c>
      <c r="W226" s="194"/>
      <c r="X226" s="211" t="s">
        <v>70</v>
      </c>
      <c r="Y226" s="177" t="s">
        <v>71</v>
      </c>
      <c r="Z226" s="178" t="s">
        <v>787</v>
      </c>
      <c r="AA226" s="176" t="s">
        <v>71</v>
      </c>
      <c r="AB226" s="178" t="s">
        <v>159</v>
      </c>
      <c r="AC226" s="179"/>
      <c r="AD226" s="171"/>
      <c r="AE226" s="171"/>
      <c r="AF226" s="171"/>
      <c r="AG226" s="171"/>
      <c r="AH226" s="171"/>
      <c r="AI226" s="174" t="s">
        <v>59</v>
      </c>
      <c r="AJ226" s="170"/>
      <c r="AK226" s="170"/>
      <c r="AL226" s="170"/>
      <c r="AM226" s="170"/>
      <c r="AN226" s="170"/>
      <c r="AO226" s="170"/>
      <c r="AP226" s="170"/>
      <c r="AQ226" s="170"/>
      <c r="AR226" s="170"/>
      <c r="AS226" s="170"/>
      <c r="AT226" s="170"/>
      <c r="AU226" s="170"/>
      <c r="AV226" s="170"/>
      <c r="AW226" s="170"/>
      <c r="AX226" s="170"/>
      <c r="AY226" s="170"/>
      <c r="AZ226" s="180" t="s">
        <v>59</v>
      </c>
      <c r="BA226" s="171">
        <f>(COUNTIF(AJ226:AL226,"*OK*")*3) + (COUNTIF(AM226:AO226,"*OK*")*2) + COUNTIF(AP226:AR226,"*OK*")+COUNTIF(AZ226:AZ226,"SI")*0.5</f>
        <v>0</v>
      </c>
      <c r="BB226" s="171" t="str">
        <f>IF(BA226&lt;0.6,"Demasiado Riesgo",IF(BA226&lt;=5,"Riesgo Medio",IF(BA226&lt;=11,"Riesgo Bajo","Cliente Blindado")))</f>
        <v>Demasiado Riesgo</v>
      </c>
      <c r="BC226" s="171"/>
      <c r="BD226" s="171"/>
      <c r="BE226" s="171">
        <v>0</v>
      </c>
      <c r="BF226" s="171"/>
      <c r="BG226" s="171"/>
      <c r="BH226" s="171"/>
      <c r="BI226" s="171"/>
      <c r="BJ226" s="171"/>
      <c r="BK226" s="171"/>
      <c r="BL226" s="171"/>
      <c r="BM226" s="171"/>
      <c r="BN226" s="171"/>
      <c r="BO226" s="171"/>
      <c r="BP226" s="171"/>
      <c r="BQ226" s="171"/>
      <c r="BR226" s="171"/>
      <c r="BS226" s="171"/>
      <c r="BT226" s="171"/>
      <c r="BU226" s="171"/>
      <c r="BV226" s="171"/>
      <c r="BW226" s="171"/>
      <c r="BX226" s="171"/>
      <c r="BY226" s="171"/>
      <c r="BZ226" s="171"/>
      <c r="CA226" s="171">
        <f>COUNTIF(AJ226:AX226,"*OK*")</f>
        <v>0</v>
      </c>
      <c r="CB226" s="171"/>
      <c r="CC226" s="171">
        <f>COUNTIF(AJ226:AX226,"*OP*")</f>
        <v>0</v>
      </c>
    </row>
    <row r="227" spans="1:81" ht="15" hidden="1" customHeight="1">
      <c r="A227" s="240">
        <v>32597</v>
      </c>
      <c r="B227" s="171"/>
      <c r="C227" s="468">
        <f>T227</f>
        <v>42.66</v>
      </c>
      <c r="D227" s="171">
        <f>COUNTIF(AJ227:AX227,"*OK*")</f>
        <v>0</v>
      </c>
      <c r="E227" s="171"/>
      <c r="F227" s="183" t="s">
        <v>788</v>
      </c>
      <c r="G227" s="183"/>
      <c r="H227" s="179"/>
      <c r="I227" s="179"/>
      <c r="J227" s="183"/>
      <c r="K227" s="183" t="s">
        <v>68</v>
      </c>
      <c r="L227" s="183" t="s">
        <v>733</v>
      </c>
      <c r="M227" s="183"/>
      <c r="N227" s="183"/>
      <c r="O227" s="172">
        <v>125.1</v>
      </c>
      <c r="P227" s="172">
        <v>100.95</v>
      </c>
      <c r="Q227" s="172">
        <v>91.62</v>
      </c>
      <c r="R227" s="193">
        <v>94.57</v>
      </c>
      <c r="S227" s="510">
        <v>76.6738</v>
      </c>
      <c r="T227" s="550">
        <v>42.66</v>
      </c>
      <c r="U227" s="175"/>
      <c r="V227" s="176">
        <v>50</v>
      </c>
      <c r="W227" s="194"/>
      <c r="X227" s="209" t="s">
        <v>70</v>
      </c>
      <c r="Y227" s="177" t="s">
        <v>71</v>
      </c>
      <c r="Z227" s="178" t="s">
        <v>789</v>
      </c>
      <c r="AA227" s="176" t="s">
        <v>59</v>
      </c>
      <c r="AB227" s="178" t="s">
        <v>65</v>
      </c>
      <c r="AC227" s="179"/>
      <c r="AD227" s="171"/>
      <c r="AE227" s="171"/>
      <c r="AF227" s="171"/>
      <c r="AG227" s="171"/>
      <c r="AH227" s="171"/>
      <c r="AI227" s="174" t="s">
        <v>59</v>
      </c>
      <c r="AJ227" s="170"/>
      <c r="AK227" s="170"/>
      <c r="AL227" s="170"/>
      <c r="AM227" s="170"/>
      <c r="AN227" s="170"/>
      <c r="AO227" s="170"/>
      <c r="AP227" s="170"/>
      <c r="AQ227" s="170"/>
      <c r="AR227" s="170"/>
      <c r="AS227" s="170"/>
      <c r="AT227" s="170"/>
      <c r="AU227" s="170"/>
      <c r="AV227" s="170"/>
      <c r="AW227" s="170"/>
      <c r="AX227" s="170"/>
      <c r="AY227" s="170"/>
      <c r="AZ227" s="180" t="s">
        <v>59</v>
      </c>
      <c r="BA227" s="171">
        <f>(COUNTIF(AJ227:AL227,"*OK*")*3) + (COUNTIF(AM227:AO227,"*OK*")*2) + COUNTIF(AP227:AR227,"*OK*")+COUNTIF(AZ227:AZ227,"SI")*0.5</f>
        <v>0</v>
      </c>
      <c r="BB227" s="171" t="str">
        <f>IF(BA227&lt;0.6,"Demasiado Riesgo",IF(BA227&lt;=5,"Riesgo Medio",IF(BA227&lt;=11,"Riesgo Bajo","Cliente Blindado")))</f>
        <v>Demasiado Riesgo</v>
      </c>
      <c r="BC227" s="171"/>
      <c r="BD227" s="171"/>
      <c r="BE227" s="171">
        <v>0</v>
      </c>
      <c r="BF227" s="171"/>
      <c r="BG227" s="171"/>
      <c r="BH227" s="171"/>
      <c r="BI227" s="171"/>
      <c r="BJ227" s="171"/>
      <c r="BK227" s="171"/>
      <c r="BL227" s="171"/>
      <c r="BM227" s="171"/>
      <c r="BN227" s="171"/>
      <c r="BO227" s="171"/>
      <c r="BP227" s="171"/>
      <c r="BQ227" s="171"/>
      <c r="BR227" s="171"/>
      <c r="BS227" s="171"/>
      <c r="BT227" s="171"/>
      <c r="BU227" s="171"/>
      <c r="BV227" s="171"/>
      <c r="BW227" s="171"/>
      <c r="BX227" s="171"/>
      <c r="BY227" s="171"/>
      <c r="BZ227" s="171"/>
      <c r="CA227" s="171">
        <f>COUNTIF(AJ227:AX227,"*OK*")</f>
        <v>0</v>
      </c>
      <c r="CB227" s="171"/>
      <c r="CC227" s="171">
        <f>COUNTIF(AJ227:AX227,"*OP*")</f>
        <v>0</v>
      </c>
    </row>
    <row r="228" spans="1:81" ht="15" hidden="1" customHeight="1">
      <c r="A228" s="241"/>
      <c r="B228" s="160"/>
      <c r="C228" s="468">
        <f>T228</f>
        <v>44.15</v>
      </c>
      <c r="D228" s="160">
        <f>COUNTIF(AJ228:AX228,"*OK*")</f>
        <v>0</v>
      </c>
      <c r="E228" s="160"/>
      <c r="F228" s="182" t="s">
        <v>790</v>
      </c>
      <c r="G228" s="182"/>
      <c r="H228" s="168"/>
      <c r="I228" s="168"/>
      <c r="J228" s="182"/>
      <c r="K228" s="182" t="s">
        <v>68</v>
      </c>
      <c r="L228" s="182" t="s">
        <v>733</v>
      </c>
      <c r="M228" s="182"/>
      <c r="N228" s="182"/>
      <c r="O228" s="161">
        <v>51.72</v>
      </c>
      <c r="P228" s="161">
        <v>41.34</v>
      </c>
      <c r="Q228" s="161">
        <v>42.67</v>
      </c>
      <c r="R228" s="186">
        <v>50.82</v>
      </c>
      <c r="S228" s="510">
        <v>48.074800000000003</v>
      </c>
      <c r="T228" s="551">
        <v>44.15</v>
      </c>
      <c r="U228" s="164"/>
      <c r="V228" s="165">
        <v>50</v>
      </c>
      <c r="W228" s="187"/>
      <c r="X228" s="207" t="s">
        <v>70</v>
      </c>
      <c r="Y228" s="166" t="s">
        <v>71</v>
      </c>
      <c r="Z228" s="167" t="s">
        <v>72</v>
      </c>
      <c r="AA228" s="165" t="s">
        <v>59</v>
      </c>
      <c r="AB228" s="167" t="s">
        <v>65</v>
      </c>
      <c r="AC228" s="168"/>
      <c r="AD228" s="160"/>
      <c r="AE228" s="160"/>
      <c r="AF228" s="160"/>
      <c r="AG228" s="160"/>
      <c r="AH228" s="160"/>
      <c r="AI228" s="163" t="s">
        <v>59</v>
      </c>
      <c r="AJ228" s="170"/>
      <c r="AK228" s="170"/>
      <c r="AL228" s="170"/>
      <c r="AM228" s="170"/>
      <c r="AN228" s="170"/>
      <c r="AO228" s="170"/>
      <c r="AP228" s="170"/>
      <c r="AQ228" s="170"/>
      <c r="AR228" s="170"/>
      <c r="AS228" s="170"/>
      <c r="AT228" s="170"/>
      <c r="AU228" s="170"/>
      <c r="AV228" s="170"/>
      <c r="AW228" s="170"/>
      <c r="AX228" s="170"/>
      <c r="AY228" s="170"/>
      <c r="AZ228" s="169" t="s">
        <v>59</v>
      </c>
      <c r="BA228" s="160">
        <f>(COUNTIF(AJ228:AL228,"*OK*")*3) + (COUNTIF(AM228:AO228,"*OK*")*2) + COUNTIF(AP228:AR228,"*OK*")+COUNTIF(AZ228:AZ228,"SI")*0.5</f>
        <v>0</v>
      </c>
      <c r="BB228" s="160" t="str">
        <f>IF(BA228&lt;0.6,"Demasiado Riesgo",IF(BA228&lt;=5,"Riesgo Medio",IF(BA228&lt;=11,"Riesgo Bajo","Cliente Blindado")))</f>
        <v>Demasiado Riesgo</v>
      </c>
      <c r="BC228" s="160"/>
      <c r="BD228" s="160"/>
      <c r="BE228" s="160">
        <v>0</v>
      </c>
      <c r="BF228" s="160"/>
      <c r="BG228" s="160"/>
      <c r="BH228" s="160"/>
      <c r="BI228" s="160"/>
      <c r="BJ228" s="160"/>
      <c r="BK228" s="160"/>
      <c r="BL228" s="160"/>
      <c r="BM228" s="160"/>
      <c r="BN228" s="160"/>
      <c r="BO228" s="160"/>
      <c r="BP228" s="160"/>
      <c r="BQ228" s="160"/>
      <c r="BR228" s="160"/>
      <c r="BS228" s="160"/>
      <c r="BT228" s="160"/>
      <c r="BU228" s="160"/>
      <c r="BV228" s="160"/>
      <c r="BW228" s="160"/>
      <c r="BX228" s="160"/>
      <c r="BY228" s="160"/>
      <c r="BZ228" s="160"/>
      <c r="CA228" s="160">
        <f>COUNTIF(AJ228:AX228,"*OK*")</f>
        <v>0</v>
      </c>
      <c r="CB228" s="160"/>
      <c r="CC228" s="160">
        <f>COUNTIF(AJ228:AX228,"*OP*")</f>
        <v>0</v>
      </c>
    </row>
    <row r="229" spans="1:81" ht="15" hidden="1" customHeight="1">
      <c r="A229" s="241">
        <v>35630</v>
      </c>
      <c r="B229" s="160"/>
      <c r="C229" s="468">
        <f>T229</f>
        <v>45.71</v>
      </c>
      <c r="D229" s="160">
        <f>COUNTIF(AJ229:AX229,"*OK*")</f>
        <v>0</v>
      </c>
      <c r="E229" s="160"/>
      <c r="F229" s="182" t="s">
        <v>791</v>
      </c>
      <c r="G229" s="182"/>
      <c r="H229" s="168"/>
      <c r="I229" s="168"/>
      <c r="J229" s="182"/>
      <c r="K229" s="185" t="s">
        <v>68</v>
      </c>
      <c r="L229" s="182" t="s">
        <v>733</v>
      </c>
      <c r="M229" s="182"/>
      <c r="N229" s="182"/>
      <c r="O229" s="161">
        <v>46.4</v>
      </c>
      <c r="P229" s="161">
        <v>46.36</v>
      </c>
      <c r="Q229" s="161">
        <v>44.18</v>
      </c>
      <c r="R229" s="186">
        <v>45.6</v>
      </c>
      <c r="S229" s="510">
        <v>46.216900000000003</v>
      </c>
      <c r="T229" s="551">
        <v>45.71</v>
      </c>
      <c r="U229" s="164"/>
      <c r="V229" s="165">
        <v>50</v>
      </c>
      <c r="W229" s="187"/>
      <c r="X229" s="208" t="s">
        <v>70</v>
      </c>
      <c r="Y229" s="166" t="s">
        <v>71</v>
      </c>
      <c r="Z229" s="167" t="s">
        <v>792</v>
      </c>
      <c r="AA229" s="165" t="s">
        <v>71</v>
      </c>
      <c r="AB229" s="167" t="s">
        <v>159</v>
      </c>
      <c r="AC229" s="168"/>
      <c r="AD229" s="160"/>
      <c r="AE229" s="160"/>
      <c r="AF229" s="160"/>
      <c r="AG229" s="160"/>
      <c r="AH229" s="160"/>
      <c r="AI229" s="163" t="s">
        <v>59</v>
      </c>
      <c r="AJ229" s="170"/>
      <c r="AK229" s="170"/>
      <c r="AL229" s="170"/>
      <c r="AM229" s="170"/>
      <c r="AN229" s="170"/>
      <c r="AO229" s="170"/>
      <c r="AP229" s="170"/>
      <c r="AQ229" s="170"/>
      <c r="AR229" s="170"/>
      <c r="AS229" s="170"/>
      <c r="AT229" s="170"/>
      <c r="AU229" s="170"/>
      <c r="AV229" s="170"/>
      <c r="AW229" s="170"/>
      <c r="AX229" s="170"/>
      <c r="AY229" s="170"/>
      <c r="AZ229" s="169" t="s">
        <v>59</v>
      </c>
      <c r="BA229" s="160">
        <f>(COUNTIF(AJ229:AL229,"*OK*")*3) + (COUNTIF(AM229:AO229,"*OK*")*2) + COUNTIF(AP229:AR229,"*OK*")+COUNTIF(AZ229:AZ229,"SI")*0.5</f>
        <v>0</v>
      </c>
      <c r="BB229" s="160" t="str">
        <f>IF(BA229&lt;0.6,"Demasiado Riesgo",IF(BA229&lt;=5,"Riesgo Medio",IF(BA229&lt;=11,"Riesgo Bajo","Cliente Blindado")))</f>
        <v>Demasiado Riesgo</v>
      </c>
      <c r="BC229" s="160"/>
      <c r="BD229" s="160"/>
      <c r="BE229" s="160">
        <v>0</v>
      </c>
      <c r="BF229" s="160"/>
      <c r="BG229" s="160"/>
      <c r="BH229" s="160"/>
      <c r="BI229" s="160"/>
      <c r="BJ229" s="160"/>
      <c r="BK229" s="160"/>
      <c r="BL229" s="160"/>
      <c r="BM229" s="160"/>
      <c r="BN229" s="160"/>
      <c r="BO229" s="160"/>
      <c r="BP229" s="160"/>
      <c r="BQ229" s="160"/>
      <c r="BR229" s="160"/>
      <c r="BS229" s="160"/>
      <c r="BT229" s="160"/>
      <c r="BU229" s="160"/>
      <c r="BV229" s="160"/>
      <c r="BW229" s="160"/>
      <c r="BX229" s="160"/>
      <c r="BY229" s="160"/>
      <c r="BZ229" s="160"/>
      <c r="CA229" s="160">
        <f>COUNTIF(AJ229:AX229,"*OK*")</f>
        <v>0</v>
      </c>
      <c r="CB229" s="160"/>
      <c r="CC229" s="160">
        <f>COUNTIF(AJ229:AX229,"*OP*")</f>
        <v>0</v>
      </c>
    </row>
    <row r="230" spans="1:81" ht="15" hidden="1" customHeight="1">
      <c r="A230" s="240">
        <v>33286</v>
      </c>
      <c r="B230" s="171"/>
      <c r="C230" s="468">
        <f>T230</f>
        <v>46.21</v>
      </c>
      <c r="D230" s="171">
        <f>COUNTIF(AJ230:AX230,"*OK*")</f>
        <v>0</v>
      </c>
      <c r="E230" s="171"/>
      <c r="F230" s="183" t="s">
        <v>793</v>
      </c>
      <c r="G230" s="183"/>
      <c r="H230" s="179"/>
      <c r="I230" s="179"/>
      <c r="J230" s="183"/>
      <c r="K230" s="183" t="s">
        <v>68</v>
      </c>
      <c r="L230" s="183" t="s">
        <v>733</v>
      </c>
      <c r="M230" s="183"/>
      <c r="N230" s="183"/>
      <c r="O230" s="172">
        <v>43.3</v>
      </c>
      <c r="P230" s="172">
        <v>46.87</v>
      </c>
      <c r="Q230" s="172">
        <v>44.66</v>
      </c>
      <c r="R230" s="193">
        <v>46.1</v>
      </c>
      <c r="S230" s="510">
        <v>46.721200000000003</v>
      </c>
      <c r="T230" s="550">
        <v>46.21</v>
      </c>
      <c r="U230" s="175"/>
      <c r="V230" s="176">
        <v>50</v>
      </c>
      <c r="W230" s="194"/>
      <c r="X230" s="205" t="s">
        <v>285</v>
      </c>
      <c r="Y230" s="177" t="s">
        <v>80</v>
      </c>
      <c r="Z230" s="178" t="s">
        <v>794</v>
      </c>
      <c r="AA230" s="176" t="s">
        <v>59</v>
      </c>
      <c r="AB230" s="178" t="s">
        <v>65</v>
      </c>
      <c r="AC230" s="179"/>
      <c r="AD230" s="171"/>
      <c r="AE230" s="171"/>
      <c r="AF230" s="171"/>
      <c r="AG230" s="171"/>
      <c r="AH230" s="171"/>
      <c r="AI230" s="174" t="s">
        <v>59</v>
      </c>
      <c r="AJ230" s="170"/>
      <c r="AK230" s="170"/>
      <c r="AL230" s="170"/>
      <c r="AM230" s="170"/>
      <c r="AN230" s="170"/>
      <c r="AO230" s="170"/>
      <c r="AP230" s="170"/>
      <c r="AQ230" s="170"/>
      <c r="AR230" s="170"/>
      <c r="AS230" s="170"/>
      <c r="AT230" s="170"/>
      <c r="AU230" s="170"/>
      <c r="AV230" s="170"/>
      <c r="AW230" s="170"/>
      <c r="AX230" s="170"/>
      <c r="AY230" s="170"/>
      <c r="AZ230" s="180" t="s">
        <v>59</v>
      </c>
      <c r="BA230" s="171">
        <f>(COUNTIF(AJ230:AL230,"*OK*")*3) + (COUNTIF(AM230:AO230,"*OK*")*2) + COUNTIF(AP230:AR230,"*OK*")+COUNTIF(AZ230:AZ230,"SI")*0.5</f>
        <v>0</v>
      </c>
      <c r="BB230" s="171" t="str">
        <f>IF(BA230&lt;0.6,"Demasiado Riesgo",IF(BA230&lt;=5,"Riesgo Medio",IF(BA230&lt;=11,"Riesgo Bajo","Cliente Blindado")))</f>
        <v>Demasiado Riesgo</v>
      </c>
      <c r="BC230" s="171"/>
      <c r="BD230" s="171"/>
      <c r="BE230" s="171">
        <v>0</v>
      </c>
      <c r="BF230" s="171"/>
      <c r="BG230" s="171"/>
      <c r="BH230" s="171"/>
      <c r="BI230" s="171"/>
      <c r="BJ230" s="171"/>
      <c r="BK230" s="171"/>
      <c r="BL230" s="171"/>
      <c r="BM230" s="171"/>
      <c r="BN230" s="171"/>
      <c r="BO230" s="171"/>
      <c r="BP230" s="171"/>
      <c r="BQ230" s="171"/>
      <c r="BR230" s="171"/>
      <c r="BS230" s="171"/>
      <c r="BT230" s="171"/>
      <c r="BU230" s="171"/>
      <c r="BV230" s="171"/>
      <c r="BW230" s="171"/>
      <c r="BX230" s="171"/>
      <c r="BY230" s="171"/>
      <c r="BZ230" s="171"/>
      <c r="CA230" s="171">
        <f>COUNTIF(AJ230:AX230,"*OK*")</f>
        <v>0</v>
      </c>
      <c r="CB230" s="171"/>
      <c r="CC230" s="171">
        <f>COUNTIF(AJ230:AX230,"*OP*")</f>
        <v>0</v>
      </c>
    </row>
    <row r="231" spans="1:81" ht="15" hidden="1" customHeight="1">
      <c r="A231" s="240">
        <v>24347</v>
      </c>
      <c r="B231" s="171"/>
      <c r="C231" s="468">
        <f>T231</f>
        <v>46.31</v>
      </c>
      <c r="D231" s="171">
        <f>COUNTIF(AJ231:AX231,"*OK*")</f>
        <v>0</v>
      </c>
      <c r="E231" s="171"/>
      <c r="F231" s="183" t="s">
        <v>795</v>
      </c>
      <c r="G231" s="183"/>
      <c r="H231" s="179"/>
      <c r="I231" s="179"/>
      <c r="J231" s="183"/>
      <c r="K231" s="183" t="s">
        <v>68</v>
      </c>
      <c r="L231" s="183" t="s">
        <v>733</v>
      </c>
      <c r="M231" s="183"/>
      <c r="N231" s="183"/>
      <c r="O231" s="172">
        <v>47.01</v>
      </c>
      <c r="P231" s="172">
        <v>46.96</v>
      </c>
      <c r="Q231" s="172">
        <v>44.76</v>
      </c>
      <c r="R231" s="193">
        <v>46.2</v>
      </c>
      <c r="S231" s="510">
        <v>46.818800000000003</v>
      </c>
      <c r="T231" s="550">
        <v>46.31</v>
      </c>
      <c r="U231" s="175"/>
      <c r="V231" s="176">
        <v>50</v>
      </c>
      <c r="W231" s="194"/>
      <c r="X231" s="209" t="s">
        <v>70</v>
      </c>
      <c r="Y231" s="177" t="s">
        <v>302</v>
      </c>
      <c r="Z231" s="178" t="s">
        <v>796</v>
      </c>
      <c r="AA231" s="176" t="s">
        <v>59</v>
      </c>
      <c r="AB231" s="178" t="s">
        <v>159</v>
      </c>
      <c r="AC231" s="179"/>
      <c r="AD231" s="171"/>
      <c r="AE231" s="171"/>
      <c r="AF231" s="171"/>
      <c r="AG231" s="171"/>
      <c r="AH231" s="171"/>
      <c r="AI231" s="174" t="s">
        <v>59</v>
      </c>
      <c r="AJ231" s="170"/>
      <c r="AK231" s="170"/>
      <c r="AL231" s="170"/>
      <c r="AM231" s="170"/>
      <c r="AN231" s="170"/>
      <c r="AO231" s="170"/>
      <c r="AP231" s="170"/>
      <c r="AQ231" s="170"/>
      <c r="AR231" s="170"/>
      <c r="AS231" s="170"/>
      <c r="AT231" s="170"/>
      <c r="AU231" s="170"/>
      <c r="AV231" s="170"/>
      <c r="AW231" s="170"/>
      <c r="AX231" s="170"/>
      <c r="AY231" s="170"/>
      <c r="AZ231" s="180" t="s">
        <v>59</v>
      </c>
      <c r="BA231" s="171">
        <f>(COUNTIF(AJ231:AL231,"*OK*")*3) + (COUNTIF(AM231:AO231,"*OK*")*2) + COUNTIF(AP231:AR231,"*OK*")+COUNTIF(AZ231:AZ231,"SI")*0.5</f>
        <v>0</v>
      </c>
      <c r="BB231" s="171" t="str">
        <f>IF(BA231&lt;0.6,"Demasiado Riesgo",IF(BA231&lt;=5,"Riesgo Medio",IF(BA231&lt;=11,"Riesgo Bajo","Cliente Blindado")))</f>
        <v>Demasiado Riesgo</v>
      </c>
      <c r="BC231" s="171"/>
      <c r="BD231" s="171"/>
      <c r="BE231" s="171">
        <v>0</v>
      </c>
      <c r="BF231" s="171"/>
      <c r="BG231" s="171"/>
      <c r="BH231" s="171"/>
      <c r="BI231" s="171"/>
      <c r="BJ231" s="171"/>
      <c r="BK231" s="171"/>
      <c r="BL231" s="171"/>
      <c r="BM231" s="171"/>
      <c r="BN231" s="171"/>
      <c r="BO231" s="171"/>
      <c r="BP231" s="171"/>
      <c r="BQ231" s="171"/>
      <c r="BR231" s="171"/>
      <c r="BS231" s="171"/>
      <c r="BT231" s="171"/>
      <c r="BU231" s="171"/>
      <c r="BV231" s="171"/>
      <c r="BW231" s="171"/>
      <c r="BX231" s="171"/>
      <c r="BY231" s="171"/>
      <c r="BZ231" s="171"/>
      <c r="CA231" s="171">
        <f>COUNTIF(AJ231:AX231,"*OK*")</f>
        <v>0</v>
      </c>
      <c r="CB231" s="171"/>
      <c r="CC231" s="171">
        <f>COUNTIF(AJ231:AX231,"*OP*")</f>
        <v>0</v>
      </c>
    </row>
    <row r="232" spans="1:81" ht="15" hidden="1" customHeight="1">
      <c r="A232" s="241">
        <v>21885</v>
      </c>
      <c r="B232" s="160"/>
      <c r="C232" s="468">
        <f>T232</f>
        <v>46.31</v>
      </c>
      <c r="D232" s="160">
        <f>COUNTIF(AJ232:AX232,"*OK*")</f>
        <v>0</v>
      </c>
      <c r="E232" s="160"/>
      <c r="F232" s="182" t="s">
        <v>797</v>
      </c>
      <c r="G232" s="182"/>
      <c r="H232" s="168"/>
      <c r="I232" s="168"/>
      <c r="J232" s="182"/>
      <c r="K232" s="182" t="s">
        <v>68</v>
      </c>
      <c r="L232" s="182" t="s">
        <v>733</v>
      </c>
      <c r="M232" s="182"/>
      <c r="N232" s="182" t="s">
        <v>136</v>
      </c>
      <c r="O232" s="161">
        <v>47.01</v>
      </c>
      <c r="P232" s="161">
        <v>46.96</v>
      </c>
      <c r="Q232" s="161">
        <v>44.76</v>
      </c>
      <c r="R232" s="186">
        <v>46.2</v>
      </c>
      <c r="S232" s="510">
        <v>46.818800000000003</v>
      </c>
      <c r="T232" s="551">
        <v>46.31</v>
      </c>
      <c r="U232" s="164"/>
      <c r="V232" s="165">
        <v>50</v>
      </c>
      <c r="W232" s="187"/>
      <c r="X232" s="208" t="s">
        <v>70</v>
      </c>
      <c r="Y232" s="166" t="s">
        <v>71</v>
      </c>
      <c r="Z232" s="167" t="s">
        <v>798</v>
      </c>
      <c r="AA232" s="165" t="s">
        <v>59</v>
      </c>
      <c r="AB232" s="167" t="s">
        <v>65</v>
      </c>
      <c r="AC232" s="168"/>
      <c r="AD232" s="160"/>
      <c r="AE232" s="160"/>
      <c r="AF232" s="160"/>
      <c r="AG232" s="160"/>
      <c r="AH232" s="160"/>
      <c r="AI232" s="163" t="s">
        <v>59</v>
      </c>
      <c r="AJ232" s="170"/>
      <c r="AK232" s="170"/>
      <c r="AL232" s="170"/>
      <c r="AM232" s="170"/>
      <c r="AN232" s="170"/>
      <c r="AO232" s="170"/>
      <c r="AP232" s="170"/>
      <c r="AQ232" s="170"/>
      <c r="AR232" s="170"/>
      <c r="AS232" s="170"/>
      <c r="AT232" s="170"/>
      <c r="AU232" s="170"/>
      <c r="AV232" s="170"/>
      <c r="AW232" s="170"/>
      <c r="AX232" s="170"/>
      <c r="AY232" s="170"/>
      <c r="AZ232" s="169" t="s">
        <v>59</v>
      </c>
      <c r="BA232" s="160">
        <f>(COUNTIF(AJ232:AL232,"*OK*")*3) + (COUNTIF(AM232:AO232,"*OK*")*2) + COUNTIF(AP232:AR232,"*OK*")+COUNTIF(AZ232:AZ232,"SI")*0.5</f>
        <v>0</v>
      </c>
      <c r="BB232" s="160" t="str">
        <f>IF(BA232&lt;0.6,"Demasiado Riesgo",IF(BA232&lt;=5,"Riesgo Medio",IF(BA232&lt;=11,"Riesgo Bajo","Cliente Blindado")))</f>
        <v>Demasiado Riesgo</v>
      </c>
      <c r="BC232" s="160"/>
      <c r="BD232" s="160"/>
      <c r="BE232" s="160">
        <v>0</v>
      </c>
      <c r="BF232" s="160"/>
      <c r="BG232" s="160"/>
      <c r="BH232" s="160"/>
      <c r="BI232" s="160"/>
      <c r="BJ232" s="160"/>
      <c r="BK232" s="160"/>
      <c r="BL232" s="160"/>
      <c r="BM232" s="160"/>
      <c r="BN232" s="160"/>
      <c r="BO232" s="160"/>
      <c r="BP232" s="160"/>
      <c r="BQ232" s="160"/>
      <c r="BR232" s="160"/>
      <c r="BS232" s="160"/>
      <c r="BT232" s="160"/>
      <c r="BU232" s="160"/>
      <c r="BV232" s="160"/>
      <c r="BW232" s="160"/>
      <c r="BX232" s="160"/>
      <c r="BY232" s="160"/>
      <c r="BZ232" s="160"/>
      <c r="CA232" s="160">
        <f>COUNTIF(AJ232:AX232,"*OK*")</f>
        <v>0</v>
      </c>
      <c r="CB232" s="160"/>
      <c r="CC232" s="160">
        <f>COUNTIF(AJ232:AX232,"*OP*")</f>
        <v>0</v>
      </c>
    </row>
    <row r="233" spans="1:81" ht="15" hidden="1" customHeight="1">
      <c r="A233" s="240"/>
      <c r="B233" s="171"/>
      <c r="C233" s="468">
        <f>T233</f>
        <v>46.31</v>
      </c>
      <c r="D233" s="171">
        <f>COUNTIF(AJ233:AX233,"*OK*")</f>
        <v>0</v>
      </c>
      <c r="E233" s="171"/>
      <c r="F233" s="183" t="s">
        <v>799</v>
      </c>
      <c r="G233" s="183"/>
      <c r="H233" s="179"/>
      <c r="I233" s="179"/>
      <c r="J233" s="183"/>
      <c r="K233" s="183" t="s">
        <v>68</v>
      </c>
      <c r="L233" s="183" t="s">
        <v>733</v>
      </c>
      <c r="M233" s="183"/>
      <c r="N233" s="183"/>
      <c r="O233" s="172">
        <v>47.01</v>
      </c>
      <c r="P233" s="172">
        <v>46.96</v>
      </c>
      <c r="Q233" s="172">
        <v>44.76</v>
      </c>
      <c r="R233" s="193">
        <v>46.2</v>
      </c>
      <c r="S233" s="510">
        <v>46.818800000000003</v>
      </c>
      <c r="T233" s="550">
        <v>46.31</v>
      </c>
      <c r="U233" s="175"/>
      <c r="V233" s="176">
        <v>100</v>
      </c>
      <c r="W233" s="194"/>
      <c r="X233" s="205" t="s">
        <v>200</v>
      </c>
      <c r="Y233" s="177" t="s">
        <v>80</v>
      </c>
      <c r="Z233" s="178" t="s">
        <v>800</v>
      </c>
      <c r="AA233" s="176" t="s">
        <v>59</v>
      </c>
      <c r="AB233" s="178" t="s">
        <v>65</v>
      </c>
      <c r="AC233" s="179"/>
      <c r="AD233" s="171"/>
      <c r="AE233" s="171"/>
      <c r="AF233" s="171"/>
      <c r="AG233" s="171"/>
      <c r="AH233" s="171"/>
      <c r="AI233" s="174" t="s">
        <v>59</v>
      </c>
      <c r="AJ233" s="170"/>
      <c r="AK233" s="170"/>
      <c r="AL233" s="170"/>
      <c r="AM233" s="170"/>
      <c r="AN233" s="170"/>
      <c r="AO233" s="170"/>
      <c r="AP233" s="170"/>
      <c r="AQ233" s="170"/>
      <c r="AR233" s="170"/>
      <c r="AS233" s="170"/>
      <c r="AT233" s="170"/>
      <c r="AU233" s="170"/>
      <c r="AV233" s="170"/>
      <c r="AW233" s="170"/>
      <c r="AX233" s="170"/>
      <c r="AY233" s="170"/>
      <c r="AZ233" s="180" t="s">
        <v>59</v>
      </c>
      <c r="BA233" s="171">
        <f>(COUNTIF(AJ233:AL233,"*OK*")*3) + (COUNTIF(AM233:AO233,"*OK*")*2) + COUNTIF(AP233:AR233,"*OK*")+COUNTIF(AZ233:AZ233,"SI")*0.5</f>
        <v>0</v>
      </c>
      <c r="BB233" s="171" t="str">
        <f>IF(BA233&lt;0.6,"Demasiado Riesgo",IF(BA233&lt;=5,"Riesgo Medio",IF(BA233&lt;=11,"Riesgo Bajo","Cliente Blindado")))</f>
        <v>Demasiado Riesgo</v>
      </c>
      <c r="BC233" s="171"/>
      <c r="BD233" s="171"/>
      <c r="BE233" s="171">
        <v>0</v>
      </c>
      <c r="BF233" s="171"/>
      <c r="BG233" s="171"/>
      <c r="BH233" s="171"/>
      <c r="BI233" s="171"/>
      <c r="BJ233" s="171"/>
      <c r="BK233" s="171"/>
      <c r="BL233" s="171"/>
      <c r="BM233" s="171"/>
      <c r="BN233" s="171"/>
      <c r="BO233" s="171"/>
      <c r="BP233" s="171"/>
      <c r="BQ233" s="171"/>
      <c r="BR233" s="171"/>
      <c r="BS233" s="171"/>
      <c r="BT233" s="171"/>
      <c r="BU233" s="171"/>
      <c r="BV233" s="171"/>
      <c r="BW233" s="171"/>
      <c r="BX233" s="171"/>
      <c r="BY233" s="171"/>
      <c r="BZ233" s="171"/>
      <c r="CA233" s="171">
        <f>COUNTIF(AJ233:AX233,"*OK*")</f>
        <v>0</v>
      </c>
      <c r="CB233" s="171"/>
      <c r="CC233" s="171">
        <f>COUNTIF(AJ233:AX233,"*OP*")</f>
        <v>0</v>
      </c>
    </row>
    <row r="234" spans="1:81" ht="15" hidden="1" customHeight="1">
      <c r="A234" s="241">
        <v>25534</v>
      </c>
      <c r="B234" s="160"/>
      <c r="C234" s="468">
        <f>T234</f>
        <v>47.23</v>
      </c>
      <c r="D234" s="160">
        <f>COUNTIF(AJ234:AX234,"*OK*")</f>
        <v>0</v>
      </c>
      <c r="E234" s="160"/>
      <c r="F234" s="182" t="s">
        <v>801</v>
      </c>
      <c r="G234" s="182"/>
      <c r="H234" s="168"/>
      <c r="I234" s="168"/>
      <c r="J234" s="182"/>
      <c r="K234" s="182" t="s">
        <v>68</v>
      </c>
      <c r="L234" s="182" t="s">
        <v>733</v>
      </c>
      <c r="M234" s="182"/>
      <c r="N234" s="182"/>
      <c r="O234" s="161">
        <v>42.3</v>
      </c>
      <c r="P234" s="161">
        <v>42.26</v>
      </c>
      <c r="Q234" s="161">
        <v>40.28</v>
      </c>
      <c r="R234" s="186">
        <v>44.34</v>
      </c>
      <c r="S234" s="510">
        <v>44.941299999999998</v>
      </c>
      <c r="T234" s="553">
        <v>47.23</v>
      </c>
      <c r="U234" s="164"/>
      <c r="V234" s="165">
        <v>50</v>
      </c>
      <c r="W234" s="187"/>
      <c r="X234" s="207" t="s">
        <v>70</v>
      </c>
      <c r="Y234" s="166" t="s">
        <v>80</v>
      </c>
      <c r="Z234" s="167" t="s">
        <v>802</v>
      </c>
      <c r="AA234" s="165" t="s">
        <v>59</v>
      </c>
      <c r="AB234" s="167" t="s">
        <v>65</v>
      </c>
      <c r="AC234" s="168"/>
      <c r="AD234" s="160"/>
      <c r="AE234" s="160"/>
      <c r="AF234" s="160"/>
      <c r="AG234" s="160"/>
      <c r="AH234" s="160"/>
      <c r="AI234" s="163" t="s">
        <v>59</v>
      </c>
      <c r="AJ234" s="170"/>
      <c r="AK234" s="170"/>
      <c r="AL234" s="170"/>
      <c r="AM234" s="170"/>
      <c r="AN234" s="170"/>
      <c r="AO234" s="170"/>
      <c r="AP234" s="170"/>
      <c r="AQ234" s="170"/>
      <c r="AR234" s="170"/>
      <c r="AS234" s="170"/>
      <c r="AT234" s="170"/>
      <c r="AU234" s="170"/>
      <c r="AV234" s="170"/>
      <c r="AW234" s="170"/>
      <c r="AX234" s="170"/>
      <c r="AY234" s="170"/>
      <c r="AZ234" s="169" t="s">
        <v>59</v>
      </c>
      <c r="BA234" s="160">
        <f>(COUNTIF(AJ234:AL234,"*OK*")*3) + (COUNTIF(AM234:AO234,"*OK*")*2) + COUNTIF(AP234:AR234,"*OK*")+COUNTIF(AZ234:AZ234,"SI")*0.5</f>
        <v>0</v>
      </c>
      <c r="BB234" s="160" t="str">
        <f>IF(BA234&lt;0.6,"Demasiado Riesgo",IF(BA234&lt;=5,"Riesgo Medio",IF(BA234&lt;=11,"Riesgo Bajo","Cliente Blindado")))</f>
        <v>Demasiado Riesgo</v>
      </c>
      <c r="BC234" s="160"/>
      <c r="BD234" s="160"/>
      <c r="BE234" s="160">
        <v>0</v>
      </c>
      <c r="BF234" s="160"/>
      <c r="BG234" s="160"/>
      <c r="BH234" s="160"/>
      <c r="BI234" s="160"/>
      <c r="BJ234" s="160"/>
      <c r="BK234" s="160"/>
      <c r="BL234" s="160"/>
      <c r="BM234" s="160"/>
      <c r="BN234" s="160"/>
      <c r="BO234" s="160"/>
      <c r="BP234" s="160"/>
      <c r="BQ234" s="160"/>
      <c r="BR234" s="160"/>
      <c r="BS234" s="160"/>
      <c r="BT234" s="160"/>
      <c r="BU234" s="160"/>
      <c r="BV234" s="160"/>
      <c r="BW234" s="160"/>
      <c r="BX234" s="160"/>
      <c r="BY234" s="160"/>
      <c r="BZ234" s="160"/>
      <c r="CA234" s="160">
        <f>COUNTIF(AJ234:AX234,"*OK*")</f>
        <v>0</v>
      </c>
      <c r="CB234" s="160"/>
      <c r="CC234" s="160">
        <f>COUNTIF(AJ234:AX234,"*OP*")</f>
        <v>0</v>
      </c>
    </row>
    <row r="235" spans="1:81" ht="15" hidden="1" customHeight="1">
      <c r="A235" s="241">
        <v>24731</v>
      </c>
      <c r="B235" s="160"/>
      <c r="C235" s="468">
        <f>T235</f>
        <v>47.23</v>
      </c>
      <c r="D235" s="160">
        <f>COUNTIF(AJ235:AX235,"*OK*")</f>
        <v>0</v>
      </c>
      <c r="E235" s="160"/>
      <c r="F235" s="182" t="s">
        <v>803</v>
      </c>
      <c r="G235" s="182"/>
      <c r="H235" s="168"/>
      <c r="I235" s="168"/>
      <c r="J235" s="182"/>
      <c r="K235" s="182" t="s">
        <v>68</v>
      </c>
      <c r="L235" s="182" t="s">
        <v>733</v>
      </c>
      <c r="M235" s="182"/>
      <c r="N235" s="182"/>
      <c r="O235" s="161">
        <v>45.12</v>
      </c>
      <c r="P235" s="161">
        <v>42.26</v>
      </c>
      <c r="Q235" s="161">
        <v>40.28</v>
      </c>
      <c r="R235" s="186">
        <v>41.57</v>
      </c>
      <c r="S235" s="510">
        <v>47.750100000000003</v>
      </c>
      <c r="T235" s="551">
        <v>47.23</v>
      </c>
      <c r="U235" s="164"/>
      <c r="V235" s="165">
        <v>50</v>
      </c>
      <c r="W235" s="187"/>
      <c r="X235" s="207" t="s">
        <v>70</v>
      </c>
      <c r="Y235" s="166" t="s">
        <v>243</v>
      </c>
      <c r="Z235" s="167" t="s">
        <v>804</v>
      </c>
      <c r="AA235" s="165" t="s">
        <v>59</v>
      </c>
      <c r="AB235" s="167" t="s">
        <v>505</v>
      </c>
      <c r="AC235" s="168"/>
      <c r="AD235" s="160"/>
      <c r="AE235" s="160"/>
      <c r="AF235" s="160"/>
      <c r="AG235" s="160"/>
      <c r="AH235" s="160"/>
      <c r="AI235" s="163" t="s">
        <v>59</v>
      </c>
      <c r="AJ235" s="170"/>
      <c r="AK235" s="170"/>
      <c r="AL235" s="170"/>
      <c r="AM235" s="170"/>
      <c r="AN235" s="170"/>
      <c r="AO235" s="170"/>
      <c r="AP235" s="170"/>
      <c r="AQ235" s="170"/>
      <c r="AR235" s="170"/>
      <c r="AS235" s="170"/>
      <c r="AT235" s="170"/>
      <c r="AU235" s="170"/>
      <c r="AV235" s="170"/>
      <c r="AW235" s="170"/>
      <c r="AX235" s="170"/>
      <c r="AY235" s="170"/>
      <c r="AZ235" s="169" t="s">
        <v>59</v>
      </c>
      <c r="BA235" s="160">
        <f>(COUNTIF(AJ235:AL235,"*OK*")*3) + (COUNTIF(AM235:AO235,"*OK*")*2) + COUNTIF(AP235:AR235,"*OK*")+COUNTIF(AZ235:AZ235,"SI")*0.5</f>
        <v>0</v>
      </c>
      <c r="BB235" s="160" t="str">
        <f>IF(BA235&lt;0.6,"Demasiado Riesgo",IF(BA235&lt;=5,"Riesgo Medio",IF(BA235&lt;=11,"Riesgo Bajo","Cliente Blindado")))</f>
        <v>Demasiado Riesgo</v>
      </c>
      <c r="BC235" s="160"/>
      <c r="BD235" s="160"/>
      <c r="BE235" s="160">
        <v>0</v>
      </c>
      <c r="BF235" s="160"/>
      <c r="BG235" s="160"/>
      <c r="BH235" s="160"/>
      <c r="BI235" s="160"/>
      <c r="BJ235" s="160"/>
      <c r="BK235" s="160"/>
      <c r="BL235" s="160"/>
      <c r="BM235" s="160"/>
      <c r="BN235" s="160"/>
      <c r="BO235" s="160"/>
      <c r="BP235" s="160"/>
      <c r="BQ235" s="160"/>
      <c r="BR235" s="160"/>
      <c r="BS235" s="160"/>
      <c r="BT235" s="160"/>
      <c r="BU235" s="160"/>
      <c r="BV235" s="160"/>
      <c r="BW235" s="160"/>
      <c r="BX235" s="160"/>
      <c r="BY235" s="160"/>
      <c r="BZ235" s="160"/>
      <c r="CA235" s="160">
        <f>COUNTIF(AJ235:AX235,"*OK*")</f>
        <v>0</v>
      </c>
      <c r="CB235" s="160"/>
      <c r="CC235" s="160">
        <f>COUNTIF(AJ235:AX235,"*OP*")</f>
        <v>0</v>
      </c>
    </row>
    <row r="236" spans="1:81" ht="15" hidden="1" customHeight="1">
      <c r="A236" s="240"/>
      <c r="B236" s="171"/>
      <c r="C236" s="468">
        <f>T236</f>
        <v>47.77</v>
      </c>
      <c r="D236" s="171">
        <f>COUNTIF(AJ236:AX236,"*OK*")</f>
        <v>0</v>
      </c>
      <c r="E236" s="171"/>
      <c r="F236" s="183" t="s">
        <v>805</v>
      </c>
      <c r="G236" s="183"/>
      <c r="H236" s="179"/>
      <c r="I236" s="179"/>
      <c r="J236" s="183"/>
      <c r="K236" s="192" t="s">
        <v>68</v>
      </c>
      <c r="L236" s="183" t="s">
        <v>733</v>
      </c>
      <c r="M236" s="183"/>
      <c r="N236" s="183"/>
      <c r="O236" s="172">
        <v>52.9</v>
      </c>
      <c r="P236" s="172">
        <v>57.26</v>
      </c>
      <c r="Q236" s="172">
        <v>46.17</v>
      </c>
      <c r="R236" s="193">
        <v>49.82</v>
      </c>
      <c r="S236" s="510">
        <v>48.296599999999998</v>
      </c>
      <c r="T236" s="550">
        <v>47.77</v>
      </c>
      <c r="U236" s="175"/>
      <c r="V236" s="176">
        <v>50</v>
      </c>
      <c r="W236" s="194"/>
      <c r="X236" s="209" t="s">
        <v>70</v>
      </c>
      <c r="Y236" s="177" t="s">
        <v>71</v>
      </c>
      <c r="Z236" s="178" t="s">
        <v>806</v>
      </c>
      <c r="AA236" s="176" t="s">
        <v>59</v>
      </c>
      <c r="AB236" s="178" t="s">
        <v>65</v>
      </c>
      <c r="AC236" s="179"/>
      <c r="AD236" s="171"/>
      <c r="AE236" s="171"/>
      <c r="AF236" s="171"/>
      <c r="AG236" s="171"/>
      <c r="AH236" s="171"/>
      <c r="AI236" s="174" t="s">
        <v>59</v>
      </c>
      <c r="AJ236" s="170"/>
      <c r="AK236" s="170"/>
      <c r="AL236" s="170"/>
      <c r="AM236" s="170"/>
      <c r="AN236" s="170"/>
      <c r="AO236" s="170"/>
      <c r="AP236" s="170"/>
      <c r="AQ236" s="170"/>
      <c r="AR236" s="170"/>
      <c r="AS236" s="170"/>
      <c r="AT236" s="170"/>
      <c r="AU236" s="170"/>
      <c r="AV236" s="170"/>
      <c r="AW236" s="170"/>
      <c r="AX236" s="170"/>
      <c r="AY236" s="170"/>
      <c r="AZ236" s="180" t="s">
        <v>59</v>
      </c>
      <c r="BA236" s="171">
        <f>(COUNTIF(AJ236:AL236,"*OK*")*3) + (COUNTIF(AM236:AO236,"*OK*")*2) + COUNTIF(AP236:AR236,"*OK*")+COUNTIF(AZ236:AZ236,"SI")*0.5</f>
        <v>0</v>
      </c>
      <c r="BB236" s="171" t="str">
        <f>IF(BA236&lt;0.6,"Demasiado Riesgo",IF(BA236&lt;=5,"Riesgo Medio",IF(BA236&lt;=11,"Riesgo Bajo","Cliente Blindado")))</f>
        <v>Demasiado Riesgo</v>
      </c>
      <c r="BC236" s="171"/>
      <c r="BD236" s="171"/>
      <c r="BE236" s="171">
        <v>0</v>
      </c>
      <c r="BF236" s="171"/>
      <c r="BG236" s="171"/>
      <c r="BH236" s="171"/>
      <c r="BI236" s="171"/>
      <c r="BJ236" s="171"/>
      <c r="BK236" s="171"/>
      <c r="BL236" s="171"/>
      <c r="BM236" s="171"/>
      <c r="BN236" s="171"/>
      <c r="BO236" s="171"/>
      <c r="BP236" s="171"/>
      <c r="BQ236" s="171"/>
      <c r="BR236" s="171"/>
      <c r="BS236" s="171"/>
      <c r="BT236" s="171"/>
      <c r="BU236" s="171"/>
      <c r="BV236" s="171"/>
      <c r="BW236" s="171"/>
      <c r="BX236" s="171"/>
      <c r="BY236" s="171"/>
      <c r="BZ236" s="171"/>
      <c r="CA236" s="171">
        <f>COUNTIF(AJ236:AX236,"*OK*")</f>
        <v>0</v>
      </c>
      <c r="CB236" s="171"/>
      <c r="CC236" s="171">
        <f>COUNTIF(AJ236:AX236,"*OP*")</f>
        <v>0</v>
      </c>
    </row>
    <row r="237" spans="1:81" ht="15" hidden="1" customHeight="1">
      <c r="A237" s="240"/>
      <c r="B237" s="171"/>
      <c r="C237" s="468">
        <f>T237</f>
        <v>48.52</v>
      </c>
      <c r="D237" s="171">
        <f>COUNTIF(AJ237:AX237,"*OK*")</f>
        <v>0</v>
      </c>
      <c r="E237" s="171"/>
      <c r="F237" s="183" t="s">
        <v>807</v>
      </c>
      <c r="G237" s="183"/>
      <c r="H237" s="179"/>
      <c r="I237" s="179"/>
      <c r="J237" s="183"/>
      <c r="K237" s="192" t="s">
        <v>68</v>
      </c>
      <c r="L237" s="183" t="s">
        <v>733</v>
      </c>
      <c r="M237" s="183"/>
      <c r="N237" s="183"/>
      <c r="O237" s="172">
        <v>58.73</v>
      </c>
      <c r="P237" s="172">
        <v>58.67</v>
      </c>
      <c r="Q237" s="172">
        <v>55.91</v>
      </c>
      <c r="R237" s="193">
        <v>59.58</v>
      </c>
      <c r="S237" s="510">
        <v>54.717300000000002</v>
      </c>
      <c r="T237" s="550">
        <v>48.52</v>
      </c>
      <c r="U237" s="175"/>
      <c r="V237" s="176">
        <v>50</v>
      </c>
      <c r="W237" s="194"/>
      <c r="X237" s="211" t="s">
        <v>70</v>
      </c>
      <c r="Y237" s="177" t="s">
        <v>89</v>
      </c>
      <c r="Z237" s="178" t="s">
        <v>808</v>
      </c>
      <c r="AA237" s="176" t="s">
        <v>59</v>
      </c>
      <c r="AB237" s="178" t="s">
        <v>65</v>
      </c>
      <c r="AC237" s="179"/>
      <c r="AD237" s="171"/>
      <c r="AE237" s="171"/>
      <c r="AF237" s="171"/>
      <c r="AG237" s="171"/>
      <c r="AH237" s="171"/>
      <c r="AI237" s="174" t="s">
        <v>59</v>
      </c>
      <c r="AJ237" s="170"/>
      <c r="AK237" s="170"/>
      <c r="AL237" s="170"/>
      <c r="AM237" s="170"/>
      <c r="AN237" s="170"/>
      <c r="AO237" s="170"/>
      <c r="AP237" s="170"/>
      <c r="AQ237" s="170"/>
      <c r="AR237" s="170"/>
      <c r="AS237" s="170"/>
      <c r="AT237" s="170"/>
      <c r="AU237" s="170"/>
      <c r="AV237" s="170"/>
      <c r="AW237" s="170"/>
      <c r="AX237" s="170"/>
      <c r="AY237" s="170"/>
      <c r="AZ237" s="180" t="s">
        <v>59</v>
      </c>
      <c r="BA237" s="171">
        <f>(COUNTIF(AJ237:AL237,"*OK*")*3) + (COUNTIF(AM237:AO237,"*OK*")*2) + COUNTIF(AP237:AR237,"*OK*")+COUNTIF(AZ237:AZ237,"SI")*0.5</f>
        <v>0</v>
      </c>
      <c r="BB237" s="171" t="str">
        <f>IF(BA237&lt;0.6,"Demasiado Riesgo",IF(BA237&lt;=5,"Riesgo Medio",IF(BA237&lt;=11,"Riesgo Bajo","Cliente Blindado")))</f>
        <v>Demasiado Riesgo</v>
      </c>
      <c r="BC237" s="171"/>
      <c r="BD237" s="171"/>
      <c r="BE237" s="171">
        <v>0</v>
      </c>
      <c r="BF237" s="171"/>
      <c r="BG237" s="171"/>
      <c r="BH237" s="171"/>
      <c r="BI237" s="171"/>
      <c r="BJ237" s="171"/>
      <c r="BK237" s="171"/>
      <c r="BL237" s="171"/>
      <c r="BM237" s="171"/>
      <c r="BN237" s="171"/>
      <c r="BO237" s="171"/>
      <c r="BP237" s="171"/>
      <c r="BQ237" s="171"/>
      <c r="BR237" s="171"/>
      <c r="BS237" s="171"/>
      <c r="BT237" s="171"/>
      <c r="BU237" s="171"/>
      <c r="BV237" s="171"/>
      <c r="BW237" s="171"/>
      <c r="BX237" s="171"/>
      <c r="BY237" s="171"/>
      <c r="BZ237" s="171"/>
      <c r="CA237" s="171">
        <f>COUNTIF(AJ237:AX237,"*OK*")</f>
        <v>0</v>
      </c>
      <c r="CB237" s="171"/>
      <c r="CC237" s="171">
        <f>COUNTIF(AJ237:AX237,"*OP*")</f>
        <v>0</v>
      </c>
    </row>
    <row r="238" spans="1:81" ht="15" hidden="1" customHeight="1">
      <c r="A238" s="241">
        <v>22060</v>
      </c>
      <c r="B238" s="160"/>
      <c r="C238" s="468">
        <f>T238</f>
        <v>48.62</v>
      </c>
      <c r="D238" s="160">
        <f>COUNTIF(AJ238:AX238,"*OK*")</f>
        <v>0</v>
      </c>
      <c r="E238" s="160"/>
      <c r="F238" s="182" t="s">
        <v>809</v>
      </c>
      <c r="G238" s="182"/>
      <c r="H238" s="168"/>
      <c r="I238" s="168"/>
      <c r="J238" s="182"/>
      <c r="K238" s="182" t="s">
        <v>68</v>
      </c>
      <c r="L238" s="182" t="s">
        <v>733</v>
      </c>
      <c r="M238" s="182"/>
      <c r="N238" s="182"/>
      <c r="O238" s="161">
        <v>49.36</v>
      </c>
      <c r="P238" s="161">
        <v>49.31</v>
      </c>
      <c r="Q238" s="161">
        <v>46.99</v>
      </c>
      <c r="R238" s="186">
        <v>48.51</v>
      </c>
      <c r="S238" s="510">
        <v>49.159700000000001</v>
      </c>
      <c r="T238" s="551">
        <v>48.62</v>
      </c>
      <c r="U238" s="164"/>
      <c r="V238" s="165">
        <v>50</v>
      </c>
      <c r="W238" s="187"/>
      <c r="X238" s="208" t="s">
        <v>70</v>
      </c>
      <c r="Y238" s="166" t="s">
        <v>71</v>
      </c>
      <c r="Z238" s="167" t="s">
        <v>74</v>
      </c>
      <c r="AA238" s="165" t="s">
        <v>59</v>
      </c>
      <c r="AB238" s="167" t="s">
        <v>65</v>
      </c>
      <c r="AC238" s="168"/>
      <c r="AD238" s="160"/>
      <c r="AE238" s="160"/>
      <c r="AF238" s="160"/>
      <c r="AG238" s="160"/>
      <c r="AH238" s="160"/>
      <c r="AI238" s="163" t="s">
        <v>59</v>
      </c>
      <c r="AJ238" s="170"/>
      <c r="AK238" s="170"/>
      <c r="AL238" s="170"/>
      <c r="AM238" s="170"/>
      <c r="AN238" s="170"/>
      <c r="AO238" s="170"/>
      <c r="AP238" s="170"/>
      <c r="AQ238" s="170"/>
      <c r="AR238" s="170"/>
      <c r="AS238" s="170"/>
      <c r="AT238" s="170"/>
      <c r="AU238" s="170"/>
      <c r="AV238" s="170"/>
      <c r="AW238" s="170"/>
      <c r="AX238" s="170"/>
      <c r="AY238" s="170"/>
      <c r="AZ238" s="169" t="s">
        <v>59</v>
      </c>
      <c r="BA238" s="160">
        <f>(COUNTIF(AJ238:AL238,"*OK*")*3) + (COUNTIF(AM238:AO238,"*OK*")*2) + COUNTIF(AP238:AR238,"*OK*")+COUNTIF(AZ238:AZ238,"SI")*0.5</f>
        <v>0</v>
      </c>
      <c r="BB238" s="160" t="str">
        <f>IF(BA238&lt;0.6,"Demasiado Riesgo",IF(BA238&lt;=5,"Riesgo Medio",IF(BA238&lt;=11,"Riesgo Bajo","Cliente Blindado")))</f>
        <v>Demasiado Riesgo</v>
      </c>
      <c r="BC238" s="160"/>
      <c r="BD238" s="160"/>
      <c r="BE238" s="160">
        <v>0</v>
      </c>
      <c r="BF238" s="160"/>
      <c r="BG238" s="160"/>
      <c r="BH238" s="160"/>
      <c r="BI238" s="160"/>
      <c r="BJ238" s="160"/>
      <c r="BK238" s="160"/>
      <c r="BL238" s="160"/>
      <c r="BM238" s="160"/>
      <c r="BN238" s="160"/>
      <c r="BO238" s="160"/>
      <c r="BP238" s="160"/>
      <c r="BQ238" s="160"/>
      <c r="BR238" s="160"/>
      <c r="BS238" s="160"/>
      <c r="BT238" s="160"/>
      <c r="BU238" s="160"/>
      <c r="BV238" s="160"/>
      <c r="BW238" s="160"/>
      <c r="BX238" s="160"/>
      <c r="BY238" s="160"/>
      <c r="BZ238" s="160"/>
      <c r="CA238" s="160">
        <f>COUNTIF(AJ238:AX238,"*OK*")</f>
        <v>0</v>
      </c>
      <c r="CB238" s="160"/>
      <c r="CC238" s="160">
        <f>COUNTIF(AJ238:AX238,"*OP*")</f>
        <v>0</v>
      </c>
    </row>
    <row r="239" spans="1:81" ht="15" hidden="1" customHeight="1">
      <c r="A239" s="240">
        <v>34153</v>
      </c>
      <c r="B239" s="171"/>
      <c r="C239" s="468">
        <f>T239</f>
        <v>48.88</v>
      </c>
      <c r="D239" s="171">
        <f>COUNTIF(AJ239:AX239,"*OK*")</f>
        <v>0</v>
      </c>
      <c r="E239" s="171"/>
      <c r="F239" s="183" t="s">
        <v>810</v>
      </c>
      <c r="G239" s="183"/>
      <c r="H239" s="179"/>
      <c r="I239" s="179"/>
      <c r="J239" s="183"/>
      <c r="K239" s="183" t="s">
        <v>68</v>
      </c>
      <c r="L239" s="183" t="s">
        <v>733</v>
      </c>
      <c r="M239" s="183"/>
      <c r="N239" s="183"/>
      <c r="O239" s="172">
        <v>40.6</v>
      </c>
      <c r="P239" s="172">
        <v>40.56</v>
      </c>
      <c r="Q239" s="172">
        <v>38.65</v>
      </c>
      <c r="R239" s="193">
        <v>39.9</v>
      </c>
      <c r="S239" s="510">
        <v>35.942900000000002</v>
      </c>
      <c r="T239" s="554">
        <v>48.88</v>
      </c>
      <c r="U239" s="175"/>
      <c r="V239" s="176">
        <v>50</v>
      </c>
      <c r="W239" s="194"/>
      <c r="X239" s="209" t="s">
        <v>70</v>
      </c>
      <c r="Y239" s="177" t="s">
        <v>80</v>
      </c>
      <c r="Z239" s="178" t="s">
        <v>811</v>
      </c>
      <c r="AA239" s="176" t="s">
        <v>59</v>
      </c>
      <c r="AB239" s="178" t="s">
        <v>159</v>
      </c>
      <c r="AC239" s="179"/>
      <c r="AD239" s="171"/>
      <c r="AE239" s="171"/>
      <c r="AF239" s="171"/>
      <c r="AG239" s="171"/>
      <c r="AH239" s="171"/>
      <c r="AI239" s="174" t="s">
        <v>59</v>
      </c>
      <c r="AJ239" s="170"/>
      <c r="AK239" s="170"/>
      <c r="AL239" s="170"/>
      <c r="AM239" s="170"/>
      <c r="AN239" s="170"/>
      <c r="AO239" s="170"/>
      <c r="AP239" s="170"/>
      <c r="AQ239" s="170"/>
      <c r="AR239" s="170"/>
      <c r="AS239" s="170"/>
      <c r="AT239" s="170"/>
      <c r="AU239" s="170"/>
      <c r="AV239" s="170"/>
      <c r="AW239" s="170"/>
      <c r="AX239" s="170"/>
      <c r="AY239" s="170"/>
      <c r="AZ239" s="180" t="s">
        <v>59</v>
      </c>
      <c r="BA239" s="171">
        <f>(COUNTIF(AJ239:AL239,"*OK*")*3) + (COUNTIF(AM239:AO239,"*OK*")*2) + COUNTIF(AP239:AR239,"*OK*")+COUNTIF(AZ239:AZ239,"SI")*0.5</f>
        <v>0</v>
      </c>
      <c r="BB239" s="171" t="str">
        <f>IF(BA239&lt;0.6,"Demasiado Riesgo",IF(BA239&lt;=5,"Riesgo Medio",IF(BA239&lt;=11,"Riesgo Bajo","Cliente Blindado")))</f>
        <v>Demasiado Riesgo</v>
      </c>
      <c r="BC239" s="171"/>
      <c r="BD239" s="171"/>
      <c r="BE239" s="171">
        <v>0</v>
      </c>
      <c r="BF239" s="171"/>
      <c r="BG239" s="171"/>
      <c r="BH239" s="171"/>
      <c r="BI239" s="171"/>
      <c r="BJ239" s="171"/>
      <c r="BK239" s="171"/>
      <c r="BL239" s="171"/>
      <c r="BM239" s="171"/>
      <c r="BN239" s="171"/>
      <c r="BO239" s="171"/>
      <c r="BP239" s="171"/>
      <c r="BQ239" s="171"/>
      <c r="BR239" s="171"/>
      <c r="BS239" s="171"/>
      <c r="BT239" s="171"/>
      <c r="BU239" s="171"/>
      <c r="BV239" s="171"/>
      <c r="BW239" s="171"/>
      <c r="BX239" s="171"/>
      <c r="BY239" s="171"/>
      <c r="BZ239" s="171"/>
      <c r="CA239" s="171">
        <f>COUNTIF(AJ239:AX239,"*OK*")</f>
        <v>0</v>
      </c>
      <c r="CB239" s="171"/>
      <c r="CC239" s="171">
        <f>COUNTIF(AJ239:AX239,"*OP*")</f>
        <v>0</v>
      </c>
    </row>
    <row r="240" spans="1:81" ht="15" hidden="1" customHeight="1">
      <c r="A240" s="240">
        <v>35965</v>
      </c>
      <c r="B240" s="171"/>
      <c r="C240" s="468">
        <f>T240</f>
        <v>49.37</v>
      </c>
      <c r="D240" s="171">
        <f>COUNTIF(AJ240:AX240,"*OK*")</f>
        <v>0</v>
      </c>
      <c r="E240" s="171"/>
      <c r="F240" s="183" t="s">
        <v>812</v>
      </c>
      <c r="G240" s="183"/>
      <c r="H240" s="179"/>
      <c r="I240" s="179"/>
      <c r="J240" s="183"/>
      <c r="K240" s="192" t="s">
        <v>68</v>
      </c>
      <c r="L240" s="183" t="s">
        <v>733</v>
      </c>
      <c r="M240" s="183"/>
      <c r="N240" s="183"/>
      <c r="O240" s="172"/>
      <c r="P240" s="172">
        <v>54.24</v>
      </c>
      <c r="Q240" s="172">
        <v>51.69</v>
      </c>
      <c r="R240" s="193">
        <v>49.25</v>
      </c>
      <c r="S240" s="510">
        <v>49.914200000000001</v>
      </c>
      <c r="T240" s="550">
        <v>49.37</v>
      </c>
      <c r="U240" s="175"/>
      <c r="V240" s="176">
        <v>100</v>
      </c>
      <c r="W240" s="194"/>
      <c r="X240" s="209" t="s">
        <v>70</v>
      </c>
      <c r="Y240" s="177" t="s">
        <v>71</v>
      </c>
      <c r="Z240" s="178" t="s">
        <v>813</v>
      </c>
      <c r="AA240" s="176" t="s">
        <v>71</v>
      </c>
      <c r="AB240" s="178" t="s">
        <v>159</v>
      </c>
      <c r="AC240" s="179"/>
      <c r="AD240" s="171"/>
      <c r="AE240" s="171"/>
      <c r="AF240" s="171"/>
      <c r="AG240" s="171"/>
      <c r="AH240" s="171"/>
      <c r="AI240" s="174" t="s">
        <v>59</v>
      </c>
      <c r="AJ240" s="170"/>
      <c r="AK240" s="170"/>
      <c r="AL240" s="170"/>
      <c r="AM240" s="170"/>
      <c r="AN240" s="170"/>
      <c r="AO240" s="170"/>
      <c r="AP240" s="170"/>
      <c r="AQ240" s="170"/>
      <c r="AR240" s="170"/>
      <c r="AS240" s="170"/>
      <c r="AT240" s="170"/>
      <c r="AU240" s="170"/>
      <c r="AV240" s="170"/>
      <c r="AW240" s="170"/>
      <c r="AX240" s="170"/>
      <c r="AY240" s="170"/>
      <c r="AZ240" s="180" t="s">
        <v>59</v>
      </c>
      <c r="BA240" s="171">
        <f>(COUNTIF(AJ240:AL240,"*OK*")*3) + (COUNTIF(AM240:AO240,"*OK*")*2) + COUNTIF(AP240:AR240,"*OK*")+COUNTIF(AZ240:AZ240,"SI")*0.5</f>
        <v>0</v>
      </c>
      <c r="BB240" s="171" t="str">
        <f>IF(BA240&lt;0.6,"Demasiado Riesgo",IF(BA240&lt;=5,"Riesgo Medio",IF(BA240&lt;=11,"Riesgo Bajo","Cliente Blindado")))</f>
        <v>Demasiado Riesgo</v>
      </c>
      <c r="BC240" s="171"/>
      <c r="BD240" s="171"/>
      <c r="BE240" s="171">
        <v>0</v>
      </c>
      <c r="BF240" s="171"/>
      <c r="BG240" s="171"/>
      <c r="BH240" s="171"/>
      <c r="BI240" s="171"/>
      <c r="BJ240" s="171"/>
      <c r="BK240" s="171"/>
      <c r="BL240" s="171"/>
      <c r="BM240" s="171"/>
      <c r="BN240" s="171"/>
      <c r="BO240" s="171"/>
      <c r="BP240" s="171"/>
      <c r="BQ240" s="171"/>
      <c r="BR240" s="171"/>
      <c r="BS240" s="171"/>
      <c r="BT240" s="171"/>
      <c r="BU240" s="171"/>
      <c r="BV240" s="171"/>
      <c r="BW240" s="171"/>
      <c r="BX240" s="171"/>
      <c r="BY240" s="171"/>
      <c r="BZ240" s="171"/>
      <c r="CA240" s="171">
        <f>COUNTIF(AJ240:AX240,"*OK*")</f>
        <v>0</v>
      </c>
      <c r="CB240" s="171"/>
      <c r="CC240" s="171">
        <f>COUNTIF(AJ240:AX240,"*OP*")</f>
        <v>0</v>
      </c>
    </row>
    <row r="241" spans="1:81" ht="15" hidden="1" customHeight="1">
      <c r="A241" s="241">
        <v>26580</v>
      </c>
      <c r="B241" s="160"/>
      <c r="C241" s="468">
        <f>T241</f>
        <v>49.76</v>
      </c>
      <c r="D241" s="160">
        <f>COUNTIF(AJ241:AX241,"*OK*")</f>
        <v>0</v>
      </c>
      <c r="E241" s="160"/>
      <c r="F241" s="182" t="s">
        <v>814</v>
      </c>
      <c r="G241" s="182"/>
      <c r="H241" s="168"/>
      <c r="I241" s="168"/>
      <c r="J241" s="182"/>
      <c r="K241" s="182" t="s">
        <v>68</v>
      </c>
      <c r="L241" s="182" t="s">
        <v>733</v>
      </c>
      <c r="M241" s="182"/>
      <c r="N241" s="182"/>
      <c r="O241" s="161">
        <v>50.52</v>
      </c>
      <c r="P241" s="161">
        <v>50.47</v>
      </c>
      <c r="Q241" s="161">
        <v>48.1</v>
      </c>
      <c r="R241" s="186">
        <v>46.1</v>
      </c>
      <c r="S241" s="510">
        <v>46.721200000000003</v>
      </c>
      <c r="T241" s="553">
        <v>49.76</v>
      </c>
      <c r="U241" s="164"/>
      <c r="V241" s="165">
        <v>100</v>
      </c>
      <c r="W241" s="187"/>
      <c r="X241" s="208" t="s">
        <v>70</v>
      </c>
      <c r="Y241" s="166" t="s">
        <v>302</v>
      </c>
      <c r="Z241" s="167" t="s">
        <v>815</v>
      </c>
      <c r="AA241" s="165" t="s">
        <v>59</v>
      </c>
      <c r="AB241" s="167" t="s">
        <v>164</v>
      </c>
      <c r="AC241" s="168"/>
      <c r="AD241" s="160"/>
      <c r="AE241" s="160"/>
      <c r="AF241" s="160"/>
      <c r="AG241" s="160"/>
      <c r="AH241" s="160"/>
      <c r="AI241" s="163" t="s">
        <v>59</v>
      </c>
      <c r="AJ241" s="170"/>
      <c r="AK241" s="170"/>
      <c r="AL241" s="170"/>
      <c r="AM241" s="170"/>
      <c r="AN241" s="170"/>
      <c r="AO241" s="170"/>
      <c r="AP241" s="170"/>
      <c r="AQ241" s="170"/>
      <c r="AR241" s="170"/>
      <c r="AS241" s="170"/>
      <c r="AT241" s="170"/>
      <c r="AU241" s="170"/>
      <c r="AV241" s="170"/>
      <c r="AW241" s="170"/>
      <c r="AX241" s="170"/>
      <c r="AY241" s="170"/>
      <c r="AZ241" s="169" t="s">
        <v>59</v>
      </c>
      <c r="BA241" s="160">
        <f>(COUNTIF(AJ241:AL241,"*OK*")*3) + (COUNTIF(AM241:AO241,"*OK*")*2) + COUNTIF(AP241:AR241,"*OK*")+COUNTIF(AZ241:AZ241,"SI")*0.5</f>
        <v>0</v>
      </c>
      <c r="BB241" s="160" t="str">
        <f>IF(BA241&lt;0.6,"Demasiado Riesgo",IF(BA241&lt;=5,"Riesgo Medio",IF(BA241&lt;=11,"Riesgo Bajo","Cliente Blindado")))</f>
        <v>Demasiado Riesgo</v>
      </c>
      <c r="BC241" s="160"/>
      <c r="BD241" s="160"/>
      <c r="BE241" s="160">
        <v>0</v>
      </c>
      <c r="BF241" s="160"/>
      <c r="BG241" s="160"/>
      <c r="BH241" s="160"/>
      <c r="BI241" s="160"/>
      <c r="BJ241" s="160"/>
      <c r="BK241" s="160"/>
      <c r="BL241" s="160"/>
      <c r="BM241" s="160"/>
      <c r="BN241" s="160"/>
      <c r="BO241" s="160"/>
      <c r="BP241" s="160"/>
      <c r="BQ241" s="160"/>
      <c r="BR241" s="160"/>
      <c r="BS241" s="160"/>
      <c r="BT241" s="160"/>
      <c r="BU241" s="160"/>
      <c r="BV241" s="160"/>
      <c r="BW241" s="160"/>
      <c r="BX241" s="160"/>
      <c r="BY241" s="160"/>
      <c r="BZ241" s="160"/>
      <c r="CA241" s="160">
        <f>COUNTIF(AJ241:AX241,"*OK*")</f>
        <v>0</v>
      </c>
      <c r="CB241" s="160"/>
      <c r="CC241" s="160">
        <f>COUNTIF(AJ241:AX241,"*OP*")</f>
        <v>0</v>
      </c>
    </row>
    <row r="242" spans="1:81" ht="15" hidden="1" customHeight="1">
      <c r="A242" s="240">
        <v>27460</v>
      </c>
      <c r="B242" s="171"/>
      <c r="C242" s="468">
        <f>T242</f>
        <v>50.72</v>
      </c>
      <c r="D242" s="171">
        <f>COUNTIF(AJ242:AX242,"*OK*")</f>
        <v>0</v>
      </c>
      <c r="E242" s="171"/>
      <c r="F242" s="183" t="s">
        <v>816</v>
      </c>
      <c r="G242" s="183"/>
      <c r="H242" s="179"/>
      <c r="I242" s="179"/>
      <c r="J242" s="183"/>
      <c r="K242" s="183" t="s">
        <v>68</v>
      </c>
      <c r="L242" s="183" t="s">
        <v>733</v>
      </c>
      <c r="M242" s="183"/>
      <c r="N242" s="183"/>
      <c r="O242" s="172">
        <v>45.05</v>
      </c>
      <c r="P242" s="172">
        <v>45.01</v>
      </c>
      <c r="Q242" s="172">
        <v>42.89</v>
      </c>
      <c r="R242" s="193">
        <v>44.27</v>
      </c>
      <c r="S242" s="510">
        <v>51.2776</v>
      </c>
      <c r="T242" s="550">
        <v>50.72</v>
      </c>
      <c r="U242" s="175"/>
      <c r="V242" s="176">
        <v>100</v>
      </c>
      <c r="W242" s="194"/>
      <c r="X242" s="211" t="s">
        <v>70</v>
      </c>
      <c r="Y242" s="177" t="s">
        <v>243</v>
      </c>
      <c r="Z242" s="178" t="s">
        <v>817</v>
      </c>
      <c r="AA242" s="176" t="s">
        <v>59</v>
      </c>
      <c r="AB242" s="178" t="s">
        <v>159</v>
      </c>
      <c r="AC242" s="179"/>
      <c r="AD242" s="171"/>
      <c r="AE242" s="171"/>
      <c r="AF242" s="171"/>
      <c r="AG242" s="171"/>
      <c r="AH242" s="171"/>
      <c r="AI242" s="174" t="s">
        <v>59</v>
      </c>
      <c r="AJ242" s="170"/>
      <c r="AK242" s="170"/>
      <c r="AL242" s="170"/>
      <c r="AM242" s="170"/>
      <c r="AN242" s="170"/>
      <c r="AO242" s="170"/>
      <c r="AP242" s="170"/>
      <c r="AQ242" s="170"/>
      <c r="AR242" s="170"/>
      <c r="AS242" s="170"/>
      <c r="AT242" s="170"/>
      <c r="AU242" s="170"/>
      <c r="AV242" s="170"/>
      <c r="AW242" s="170"/>
      <c r="AX242" s="170"/>
      <c r="AY242" s="170"/>
      <c r="AZ242" s="180" t="s">
        <v>59</v>
      </c>
      <c r="BA242" s="171">
        <f>(COUNTIF(AJ242:AL242,"*OK*")*3) + (COUNTIF(AM242:AO242,"*OK*")*2) + COUNTIF(AP242:AR242,"*OK*")+COUNTIF(AZ242:AZ242,"SI")*0.5</f>
        <v>0</v>
      </c>
      <c r="BB242" s="171" t="str">
        <f>IF(BA242&lt;0.6,"Demasiado Riesgo",IF(BA242&lt;=5,"Riesgo Medio",IF(BA242&lt;=11,"Riesgo Bajo","Cliente Blindado")))</f>
        <v>Demasiado Riesgo</v>
      </c>
      <c r="BC242" s="171"/>
      <c r="BD242" s="171"/>
      <c r="BE242" s="171">
        <v>0</v>
      </c>
      <c r="BF242" s="171"/>
      <c r="BG242" s="171"/>
      <c r="BH242" s="171"/>
      <c r="BI242" s="171"/>
      <c r="BJ242" s="171"/>
      <c r="BK242" s="171"/>
      <c r="BL242" s="171"/>
      <c r="BM242" s="171"/>
      <c r="BN242" s="171"/>
      <c r="BO242" s="171"/>
      <c r="BP242" s="171"/>
      <c r="BQ242" s="171"/>
      <c r="BR242" s="171"/>
      <c r="BS242" s="171"/>
      <c r="BT242" s="171"/>
      <c r="BU242" s="171"/>
      <c r="BV242" s="171"/>
      <c r="BW242" s="171"/>
      <c r="BX242" s="171"/>
      <c r="BY242" s="171"/>
      <c r="BZ242" s="171"/>
      <c r="CA242" s="171">
        <f>COUNTIF(AJ242:AX242,"*OK*")</f>
        <v>0</v>
      </c>
      <c r="CB242" s="171"/>
      <c r="CC242" s="171">
        <f>COUNTIF(AJ242:AX242,"*OP*")</f>
        <v>0</v>
      </c>
    </row>
    <row r="243" spans="1:81" ht="15" hidden="1" customHeight="1">
      <c r="A243" s="241">
        <v>34247</v>
      </c>
      <c r="B243" s="160"/>
      <c r="C243" s="468">
        <f>T243</f>
        <v>51.42</v>
      </c>
      <c r="D243" s="160">
        <f>COUNTIF(AJ243:AX243,"*OK*")</f>
        <v>0</v>
      </c>
      <c r="E243" s="160"/>
      <c r="F243" s="182" t="s">
        <v>818</v>
      </c>
      <c r="G243" s="182"/>
      <c r="H243" s="168"/>
      <c r="I243" s="168"/>
      <c r="J243" s="182"/>
      <c r="K243" s="182" t="s">
        <v>68</v>
      </c>
      <c r="L243" s="182" t="s">
        <v>733</v>
      </c>
      <c r="M243" s="182"/>
      <c r="N243" s="182"/>
      <c r="O243" s="161">
        <v>52.2</v>
      </c>
      <c r="P243" s="161">
        <v>52.16</v>
      </c>
      <c r="Q243" s="161">
        <v>49.7</v>
      </c>
      <c r="R243" s="186">
        <v>51.3</v>
      </c>
      <c r="S243" s="510">
        <v>51.994</v>
      </c>
      <c r="T243" s="551">
        <v>51.42</v>
      </c>
      <c r="U243" s="164"/>
      <c r="V243" s="165">
        <v>50</v>
      </c>
      <c r="W243" s="187"/>
      <c r="X243" s="203" t="s">
        <v>441</v>
      </c>
      <c r="Y243" s="166" t="s">
        <v>162</v>
      </c>
      <c r="Z243" s="167" t="s">
        <v>819</v>
      </c>
      <c r="AA243" s="165" t="s">
        <v>59</v>
      </c>
      <c r="AB243" s="167" t="s">
        <v>159</v>
      </c>
      <c r="AC243" s="168"/>
      <c r="AD243" s="160"/>
      <c r="AE243" s="160"/>
      <c r="AF243" s="160"/>
      <c r="AG243" s="160"/>
      <c r="AH243" s="160"/>
      <c r="AI243" s="163" t="s">
        <v>59</v>
      </c>
      <c r="AJ243" s="170"/>
      <c r="AK243" s="170"/>
      <c r="AL243" s="170"/>
      <c r="AM243" s="170"/>
      <c r="AN243" s="170"/>
      <c r="AO243" s="170"/>
      <c r="AP243" s="170"/>
      <c r="AQ243" s="170"/>
      <c r="AR243" s="170"/>
      <c r="AS243" s="170"/>
      <c r="AT243" s="170"/>
      <c r="AU243" s="170"/>
      <c r="AV243" s="170"/>
      <c r="AW243" s="170"/>
      <c r="AX243" s="170"/>
      <c r="AY243" s="170"/>
      <c r="AZ243" s="169" t="s">
        <v>59</v>
      </c>
      <c r="BA243" s="160">
        <f>(COUNTIF(AJ243:AL243,"*OK*")*3) + (COUNTIF(AM243:AO243,"*OK*")*2) + COUNTIF(AP243:AR243,"*OK*")+COUNTIF(AZ243:AZ243,"SI")*0.5</f>
        <v>0</v>
      </c>
      <c r="BB243" s="160" t="str">
        <f>IF(BA243&lt;0.6,"Demasiado Riesgo",IF(BA243&lt;=5,"Riesgo Medio",IF(BA243&lt;=11,"Riesgo Bajo","Cliente Blindado")))</f>
        <v>Demasiado Riesgo</v>
      </c>
      <c r="BC243" s="160"/>
      <c r="BD243" s="160"/>
      <c r="BE243" s="160">
        <v>0</v>
      </c>
      <c r="BF243" s="160"/>
      <c r="BG243" s="160"/>
      <c r="BH243" s="160"/>
      <c r="BI243" s="160"/>
      <c r="BJ243" s="160"/>
      <c r="BK243" s="160"/>
      <c r="BL243" s="160"/>
      <c r="BM243" s="160"/>
      <c r="BN243" s="160"/>
      <c r="BO243" s="160"/>
      <c r="BP243" s="160"/>
      <c r="BQ243" s="160"/>
      <c r="BR243" s="160"/>
      <c r="BS243" s="160"/>
      <c r="BT243" s="160"/>
      <c r="BU243" s="160"/>
      <c r="BV243" s="160"/>
      <c r="BW243" s="160"/>
      <c r="BX243" s="160"/>
      <c r="BY243" s="160"/>
      <c r="BZ243" s="160"/>
      <c r="CA243" s="160">
        <f>COUNTIF(AJ243:AX243,"*OK*")</f>
        <v>0</v>
      </c>
      <c r="CB243" s="160"/>
      <c r="CC243" s="160">
        <f>COUNTIF(AJ243:AX243,"*OP*")</f>
        <v>0</v>
      </c>
    </row>
    <row r="244" spans="1:81" ht="15" hidden="1" customHeight="1">
      <c r="A244" s="241"/>
      <c r="B244" s="160"/>
      <c r="C244" s="468">
        <f>T244</f>
        <v>52.02</v>
      </c>
      <c r="D244" s="160">
        <f>COUNTIF(AJ244:AX244,"*OK*")</f>
        <v>0</v>
      </c>
      <c r="E244" s="160"/>
      <c r="F244" s="182" t="s">
        <v>820</v>
      </c>
      <c r="G244" s="182"/>
      <c r="H244" s="168"/>
      <c r="I244" s="168"/>
      <c r="J244" s="182"/>
      <c r="K244" s="182" t="s">
        <v>68</v>
      </c>
      <c r="L244" s="182" t="s">
        <v>733</v>
      </c>
      <c r="M244" s="182"/>
      <c r="N244" s="182"/>
      <c r="O244" s="161">
        <v>52.81</v>
      </c>
      <c r="P244" s="161">
        <v>52.76</v>
      </c>
      <c r="Q244" s="161">
        <v>50.28</v>
      </c>
      <c r="R244" s="186">
        <v>51.9</v>
      </c>
      <c r="S244" s="510">
        <v>52.6006</v>
      </c>
      <c r="T244" s="551">
        <v>52.02</v>
      </c>
      <c r="U244" s="164"/>
      <c r="V244" s="165">
        <v>50</v>
      </c>
      <c r="W244" s="187"/>
      <c r="X244" s="208" t="s">
        <v>70</v>
      </c>
      <c r="Y244" s="166" t="s">
        <v>71</v>
      </c>
      <c r="Z244" s="167" t="s">
        <v>821</v>
      </c>
      <c r="AA244" s="165" t="s">
        <v>59</v>
      </c>
      <c r="AB244" s="167" t="s">
        <v>65</v>
      </c>
      <c r="AC244" s="168"/>
      <c r="AD244" s="160"/>
      <c r="AE244" s="160"/>
      <c r="AF244" s="160"/>
      <c r="AG244" s="160"/>
      <c r="AH244" s="160"/>
      <c r="AI244" s="163" t="s">
        <v>59</v>
      </c>
      <c r="AJ244" s="170"/>
      <c r="AK244" s="170"/>
      <c r="AL244" s="170"/>
      <c r="AM244" s="170"/>
      <c r="AN244" s="170"/>
      <c r="AO244" s="170"/>
      <c r="AP244" s="170"/>
      <c r="AQ244" s="170"/>
      <c r="AR244" s="170"/>
      <c r="AS244" s="170"/>
      <c r="AT244" s="170"/>
      <c r="AU244" s="170"/>
      <c r="AV244" s="170"/>
      <c r="AW244" s="170"/>
      <c r="AX244" s="170"/>
      <c r="AY244" s="170"/>
      <c r="AZ244" s="169" t="s">
        <v>59</v>
      </c>
      <c r="BA244" s="160">
        <f>(COUNTIF(AJ244:AL244,"*OK*")*3) + (COUNTIF(AM244:AO244,"*OK*")*2) + COUNTIF(AP244:AR244,"*OK*")+COUNTIF(AZ244:AZ244,"SI")*0.5</f>
        <v>0</v>
      </c>
      <c r="BB244" s="160" t="str">
        <f>IF(BA244&lt;0.6,"Demasiado Riesgo",IF(BA244&lt;=5,"Riesgo Medio",IF(BA244&lt;=11,"Riesgo Bajo","Cliente Blindado")))</f>
        <v>Demasiado Riesgo</v>
      </c>
      <c r="BC244" s="160"/>
      <c r="BD244" s="160"/>
      <c r="BE244" s="160">
        <v>0</v>
      </c>
      <c r="BF244" s="160"/>
      <c r="BG244" s="160"/>
      <c r="BH244" s="160"/>
      <c r="BI244" s="160"/>
      <c r="BJ244" s="160"/>
      <c r="BK244" s="160"/>
      <c r="BL244" s="160"/>
      <c r="BM244" s="160"/>
      <c r="BN244" s="160"/>
      <c r="BO244" s="160"/>
      <c r="BP244" s="160"/>
      <c r="BQ244" s="160"/>
      <c r="BR244" s="160"/>
      <c r="BS244" s="160"/>
      <c r="BT244" s="160"/>
      <c r="BU244" s="160"/>
      <c r="BV244" s="160"/>
      <c r="BW244" s="160"/>
      <c r="BX244" s="160"/>
      <c r="BY244" s="160"/>
      <c r="BZ244" s="160"/>
      <c r="CA244" s="160">
        <f>COUNTIF(AJ244:AX244,"*OK*")</f>
        <v>0</v>
      </c>
      <c r="CB244" s="160"/>
      <c r="CC244" s="160">
        <f>COUNTIF(AJ244:AX244,"*OP*")</f>
        <v>0</v>
      </c>
    </row>
    <row r="245" spans="1:81" ht="15" hidden="1" customHeight="1">
      <c r="A245" s="240">
        <v>18900</v>
      </c>
      <c r="B245" s="171"/>
      <c r="C245" s="468">
        <f>T245</f>
        <v>52.02</v>
      </c>
      <c r="D245" s="171">
        <f>COUNTIF(AJ245:AX245,"*OK*")</f>
        <v>0</v>
      </c>
      <c r="E245" s="171"/>
      <c r="F245" s="183" t="s">
        <v>822</v>
      </c>
      <c r="G245" s="183"/>
      <c r="H245" s="179"/>
      <c r="I245" s="179"/>
      <c r="J245" s="183"/>
      <c r="K245" s="183" t="s">
        <v>68</v>
      </c>
      <c r="L245" s="183" t="s">
        <v>733</v>
      </c>
      <c r="M245" s="183"/>
      <c r="N245" s="183"/>
      <c r="O245" s="172">
        <v>52.81</v>
      </c>
      <c r="P245" s="172">
        <v>52.76</v>
      </c>
      <c r="Q245" s="172">
        <v>50.28</v>
      </c>
      <c r="R245" s="193">
        <v>51.9</v>
      </c>
      <c r="S245" s="510">
        <v>52.6006</v>
      </c>
      <c r="T245" s="550">
        <v>52.02</v>
      </c>
      <c r="U245" s="175"/>
      <c r="V245" s="176">
        <v>100</v>
      </c>
      <c r="W245" s="194"/>
      <c r="X245" s="209" t="s">
        <v>70</v>
      </c>
      <c r="Y245" s="177" t="s">
        <v>80</v>
      </c>
      <c r="Z245" s="178" t="s">
        <v>823</v>
      </c>
      <c r="AA245" s="176" t="s">
        <v>222</v>
      </c>
      <c r="AB245" s="178" t="s">
        <v>104</v>
      </c>
      <c r="AC245" s="179"/>
      <c r="AD245" s="171"/>
      <c r="AE245" s="171"/>
      <c r="AF245" s="171"/>
      <c r="AG245" s="171"/>
      <c r="AH245" s="171"/>
      <c r="AI245" s="174" t="s">
        <v>59</v>
      </c>
      <c r="AJ245" s="170"/>
      <c r="AK245" s="170"/>
      <c r="AL245" s="170"/>
      <c r="AM245" s="170"/>
      <c r="AN245" s="170"/>
      <c r="AO245" s="170"/>
      <c r="AP245" s="170"/>
      <c r="AQ245" s="170"/>
      <c r="AR245" s="170"/>
      <c r="AS245" s="170"/>
      <c r="AT245" s="170"/>
      <c r="AU245" s="170"/>
      <c r="AV245" s="170"/>
      <c r="AW245" s="170"/>
      <c r="AX245" s="170"/>
      <c r="AY245" s="170"/>
      <c r="AZ245" s="180" t="s">
        <v>59</v>
      </c>
      <c r="BA245" s="171">
        <f>(COUNTIF(AJ245:AL245,"*OK*")*3) + (COUNTIF(AM245:AO245,"*OK*")*2) + COUNTIF(AP245:AR245,"*OK*")+COUNTIF(AZ245:AZ245,"SI")*0.5</f>
        <v>0</v>
      </c>
      <c r="BB245" s="171" t="str">
        <f>IF(BA245&lt;0.6,"Demasiado Riesgo",IF(BA245&lt;=5,"Riesgo Medio",IF(BA245&lt;=11,"Riesgo Bajo","Cliente Blindado")))</f>
        <v>Demasiado Riesgo</v>
      </c>
      <c r="BC245" s="171"/>
      <c r="BD245" s="171"/>
      <c r="BE245" s="171">
        <v>0</v>
      </c>
      <c r="BF245" s="171"/>
      <c r="BG245" s="171"/>
      <c r="BH245" s="171"/>
      <c r="BI245" s="171"/>
      <c r="BJ245" s="171"/>
      <c r="BK245" s="171"/>
      <c r="BL245" s="171"/>
      <c r="BM245" s="171"/>
      <c r="BN245" s="171"/>
      <c r="BO245" s="171"/>
      <c r="BP245" s="171"/>
      <c r="BQ245" s="171"/>
      <c r="BR245" s="171"/>
      <c r="BS245" s="171"/>
      <c r="BT245" s="171"/>
      <c r="BU245" s="171"/>
      <c r="BV245" s="171"/>
      <c r="BW245" s="171"/>
      <c r="BX245" s="171"/>
      <c r="BY245" s="171"/>
      <c r="BZ245" s="171"/>
      <c r="CA245" s="171">
        <f>COUNTIF(AJ245:AX245,"*OK*")</f>
        <v>0</v>
      </c>
      <c r="CB245" s="171"/>
      <c r="CC245" s="171">
        <f>COUNTIF(AJ245:AX245,"*OP*")</f>
        <v>0</v>
      </c>
    </row>
    <row r="246" spans="1:81" ht="15" hidden="1" customHeight="1">
      <c r="A246" s="241">
        <v>19960</v>
      </c>
      <c r="B246" s="160"/>
      <c r="C246" s="468">
        <f>T246</f>
        <v>52.02</v>
      </c>
      <c r="D246" s="160">
        <f>COUNTIF(AJ246:AX246,"*OK*")</f>
        <v>0</v>
      </c>
      <c r="E246" s="160"/>
      <c r="F246" s="182" t="s">
        <v>824</v>
      </c>
      <c r="G246" s="182"/>
      <c r="H246" s="168"/>
      <c r="I246" s="168"/>
      <c r="J246" s="182"/>
      <c r="K246" s="182" t="s">
        <v>68</v>
      </c>
      <c r="L246" s="182" t="s">
        <v>733</v>
      </c>
      <c r="M246" s="182"/>
      <c r="N246" s="182"/>
      <c r="O246" s="161">
        <v>52.81</v>
      </c>
      <c r="P246" s="161">
        <v>52.76</v>
      </c>
      <c r="Q246" s="161">
        <v>50.28</v>
      </c>
      <c r="R246" s="186">
        <v>51.9</v>
      </c>
      <c r="S246" s="510">
        <v>52.6006</v>
      </c>
      <c r="T246" s="551">
        <v>52.02</v>
      </c>
      <c r="U246" s="164"/>
      <c r="V246" s="165">
        <v>100</v>
      </c>
      <c r="W246" s="187"/>
      <c r="X246" s="208" t="s">
        <v>70</v>
      </c>
      <c r="Y246" s="166" t="s">
        <v>80</v>
      </c>
      <c r="Z246" s="167" t="s">
        <v>825</v>
      </c>
      <c r="AA246" s="165" t="s">
        <v>222</v>
      </c>
      <c r="AB246" s="167" t="s">
        <v>104</v>
      </c>
      <c r="AC246" s="168"/>
      <c r="AD246" s="160"/>
      <c r="AE246" s="160"/>
      <c r="AF246" s="160"/>
      <c r="AG246" s="160"/>
      <c r="AH246" s="160"/>
      <c r="AI246" s="163" t="s">
        <v>59</v>
      </c>
      <c r="AJ246" s="170"/>
      <c r="AK246" s="170"/>
      <c r="AL246" s="170"/>
      <c r="AM246" s="170"/>
      <c r="AN246" s="170"/>
      <c r="AO246" s="170"/>
      <c r="AP246" s="170"/>
      <c r="AQ246" s="170"/>
      <c r="AR246" s="170"/>
      <c r="AS246" s="170"/>
      <c r="AT246" s="170"/>
      <c r="AU246" s="170"/>
      <c r="AV246" s="170"/>
      <c r="AW246" s="170"/>
      <c r="AX246" s="170"/>
      <c r="AY246" s="170"/>
      <c r="AZ246" s="169" t="s">
        <v>59</v>
      </c>
      <c r="BA246" s="160">
        <f>(COUNTIF(AJ246:AL246,"*OK*")*3) + (COUNTIF(AM246:AO246,"*OK*")*2) + COUNTIF(AP246:AR246,"*OK*")+COUNTIF(AZ246:AZ246,"SI")*0.5</f>
        <v>0</v>
      </c>
      <c r="BB246" s="160" t="str">
        <f>IF(BA246&lt;0.6,"Demasiado Riesgo",IF(BA246&lt;=5,"Riesgo Medio",IF(BA246&lt;=11,"Riesgo Bajo","Cliente Blindado")))</f>
        <v>Demasiado Riesgo</v>
      </c>
      <c r="BC246" s="160"/>
      <c r="BD246" s="160"/>
      <c r="BE246" s="160">
        <v>0</v>
      </c>
      <c r="BF246" s="160"/>
      <c r="BG246" s="160"/>
      <c r="BH246" s="160"/>
      <c r="BI246" s="160"/>
      <c r="BJ246" s="160"/>
      <c r="BK246" s="160"/>
      <c r="BL246" s="160"/>
      <c r="BM246" s="160"/>
      <c r="BN246" s="160"/>
      <c r="BO246" s="160"/>
      <c r="BP246" s="160"/>
      <c r="BQ246" s="160"/>
      <c r="BR246" s="160"/>
      <c r="BS246" s="160"/>
      <c r="BT246" s="160"/>
      <c r="BU246" s="160"/>
      <c r="BV246" s="160"/>
      <c r="BW246" s="160"/>
      <c r="BX246" s="160"/>
      <c r="BY246" s="160"/>
      <c r="BZ246" s="160"/>
      <c r="CA246" s="160">
        <f>COUNTIF(AJ246:AX246,"*OK*")</f>
        <v>0</v>
      </c>
      <c r="CB246" s="160"/>
      <c r="CC246" s="160">
        <f>COUNTIF(AJ246:AX246,"*OP*")</f>
        <v>0</v>
      </c>
    </row>
    <row r="247" spans="1:81" ht="15" hidden="1" customHeight="1">
      <c r="A247" s="240">
        <v>26334</v>
      </c>
      <c r="B247" s="171"/>
      <c r="C247" s="468">
        <f>T247</f>
        <v>52.78</v>
      </c>
      <c r="D247" s="171">
        <f>COUNTIF(AJ247:AX247,"*OK*")</f>
        <v>0</v>
      </c>
      <c r="E247" s="171"/>
      <c r="F247" s="191" t="s">
        <v>826</v>
      </c>
      <c r="G247" s="183"/>
      <c r="H247" s="179"/>
      <c r="I247" s="179"/>
      <c r="J247" s="183"/>
      <c r="K247" s="183" t="s">
        <v>68</v>
      </c>
      <c r="L247" s="183" t="s">
        <v>733</v>
      </c>
      <c r="M247" s="183"/>
      <c r="N247" s="183" t="s">
        <v>136</v>
      </c>
      <c r="O247" s="172">
        <v>36.659999999999997</v>
      </c>
      <c r="P247" s="172">
        <v>47.9</v>
      </c>
      <c r="Q247" s="172">
        <v>37.590000000000003</v>
      </c>
      <c r="R247" s="193">
        <v>47.12</v>
      </c>
      <c r="S247" s="510">
        <v>73.029600000000002</v>
      </c>
      <c r="T247" s="550">
        <v>52.78</v>
      </c>
      <c r="U247" s="175"/>
      <c r="V247" s="176">
        <v>200</v>
      </c>
      <c r="W247" s="194"/>
      <c r="X247" s="211" t="s">
        <v>70</v>
      </c>
      <c r="Y247" s="177" t="s">
        <v>108</v>
      </c>
      <c r="Z247" s="178" t="s">
        <v>827</v>
      </c>
      <c r="AA247" s="176" t="s">
        <v>59</v>
      </c>
      <c r="AB247" s="178" t="s">
        <v>119</v>
      </c>
      <c r="AC247" s="179"/>
      <c r="AD247" s="171"/>
      <c r="AE247" s="171"/>
      <c r="AF247" s="171"/>
      <c r="AG247" s="171"/>
      <c r="AH247" s="171"/>
      <c r="AI247" s="174" t="s">
        <v>59</v>
      </c>
      <c r="AJ247" s="170" t="s">
        <v>654</v>
      </c>
      <c r="AK247" s="170"/>
      <c r="AL247" s="170"/>
      <c r="AM247" s="170"/>
      <c r="AN247" s="170"/>
      <c r="AO247" s="170"/>
      <c r="AP247" s="170"/>
      <c r="AQ247" s="170"/>
      <c r="AR247" s="170"/>
      <c r="AS247" s="170"/>
      <c r="AT247" s="170"/>
      <c r="AU247" s="170"/>
      <c r="AV247" s="170"/>
      <c r="AW247" s="170"/>
      <c r="AX247" s="170"/>
      <c r="AY247" s="170"/>
      <c r="AZ247" s="180" t="s">
        <v>59</v>
      </c>
      <c r="BA247" s="171">
        <f>(COUNTIF(AJ247:AL247,"*OK*")*3) + (COUNTIF(AM247:AO247,"*OK*")*2) + COUNTIF(AP247:AR247,"*OK*")+COUNTIF(AZ247:AZ247,"SI")*0.5</f>
        <v>0</v>
      </c>
      <c r="BB247" s="171" t="str">
        <f>IF(BA247&lt;0.6,"Demasiado Riesgo",IF(BA247&lt;=5,"Riesgo Medio",IF(BA247&lt;=11,"Riesgo Bajo","Cliente Blindado")))</f>
        <v>Demasiado Riesgo</v>
      </c>
      <c r="BC247" s="171"/>
      <c r="BD247" s="171"/>
      <c r="BE247" s="171">
        <v>0</v>
      </c>
      <c r="BF247" s="171"/>
      <c r="BG247" s="171"/>
      <c r="BH247" s="171"/>
      <c r="BI247" s="171"/>
      <c r="BJ247" s="171"/>
      <c r="BK247" s="171"/>
      <c r="BL247" s="171"/>
      <c r="BM247" s="171"/>
      <c r="BN247" s="171"/>
      <c r="BO247" s="171"/>
      <c r="BP247" s="171"/>
      <c r="BQ247" s="171"/>
      <c r="BR247" s="171"/>
      <c r="BS247" s="171"/>
      <c r="BT247" s="171"/>
      <c r="BU247" s="171"/>
      <c r="BV247" s="171"/>
      <c r="BW247" s="171"/>
      <c r="BX247" s="171"/>
      <c r="BY247" s="171"/>
      <c r="BZ247" s="171"/>
      <c r="CA247" s="171">
        <f>COUNTIF(AJ247:AX247,"*OK*")</f>
        <v>0</v>
      </c>
      <c r="CB247" s="171"/>
      <c r="CC247" s="171">
        <f>COUNTIF(AJ247:AX247,"*OP*")</f>
        <v>1</v>
      </c>
    </row>
    <row r="248" spans="1:81" ht="15" hidden="1" customHeight="1">
      <c r="A248" s="240">
        <v>31210</v>
      </c>
      <c r="B248" s="171"/>
      <c r="C248" s="468">
        <f>T248</f>
        <v>53.32</v>
      </c>
      <c r="D248" s="171">
        <f>COUNTIF(AJ248:AX248,"*OK*")</f>
        <v>0</v>
      </c>
      <c r="E248" s="171"/>
      <c r="F248" s="183" t="s">
        <v>828</v>
      </c>
      <c r="G248" s="183"/>
      <c r="H248" s="179"/>
      <c r="I248" s="179"/>
      <c r="J248" s="183"/>
      <c r="K248" s="183" t="s">
        <v>68</v>
      </c>
      <c r="L248" s="183" t="s">
        <v>733</v>
      </c>
      <c r="M248" s="183"/>
      <c r="N248" s="183"/>
      <c r="O248" s="172">
        <v>57.73</v>
      </c>
      <c r="P248" s="172">
        <v>57.68</v>
      </c>
      <c r="Q248" s="172">
        <v>51.53</v>
      </c>
      <c r="R248" s="193">
        <v>56.74</v>
      </c>
      <c r="S248" s="510">
        <v>53.909100000000002</v>
      </c>
      <c r="T248" s="550">
        <v>53.32</v>
      </c>
      <c r="U248" s="175"/>
      <c r="V248" s="176">
        <v>50</v>
      </c>
      <c r="W248" s="194"/>
      <c r="X248" s="209" t="s">
        <v>70</v>
      </c>
      <c r="Y248" s="177" t="s">
        <v>80</v>
      </c>
      <c r="Z248" s="178" t="s">
        <v>829</v>
      </c>
      <c r="AA248" s="176" t="s">
        <v>59</v>
      </c>
      <c r="AB248" s="178" t="s">
        <v>159</v>
      </c>
      <c r="AC248" s="179"/>
      <c r="AD248" s="171"/>
      <c r="AE248" s="171"/>
      <c r="AF248" s="171"/>
      <c r="AG248" s="171"/>
      <c r="AH248" s="171"/>
      <c r="AI248" s="174" t="s">
        <v>59</v>
      </c>
      <c r="AJ248" s="170"/>
      <c r="AK248" s="170"/>
      <c r="AL248" s="170"/>
      <c r="AM248" s="170"/>
      <c r="AN248" s="170"/>
      <c r="AO248" s="170"/>
      <c r="AP248" s="170"/>
      <c r="AQ248" s="170"/>
      <c r="AR248" s="170"/>
      <c r="AS248" s="170"/>
      <c r="AT248" s="170"/>
      <c r="AU248" s="170"/>
      <c r="AV248" s="170"/>
      <c r="AW248" s="170"/>
      <c r="AX248" s="170"/>
      <c r="AY248" s="170"/>
      <c r="AZ248" s="180" t="s">
        <v>59</v>
      </c>
      <c r="BA248" s="171">
        <f>(COUNTIF(AJ248:AL248,"*OK*")*3) + (COUNTIF(AM248:AO248,"*OK*")*2) + COUNTIF(AP248:AR248,"*OK*")+COUNTIF(AZ248:AZ248,"SI")*0.5</f>
        <v>0</v>
      </c>
      <c r="BB248" s="171" t="str">
        <f>IF(BA248&lt;0.6,"Demasiado Riesgo",IF(BA248&lt;=5,"Riesgo Medio",IF(BA248&lt;=11,"Riesgo Bajo","Cliente Blindado")))</f>
        <v>Demasiado Riesgo</v>
      </c>
      <c r="BC248" s="171"/>
      <c r="BD248" s="171"/>
      <c r="BE248" s="171">
        <v>0</v>
      </c>
      <c r="BF248" s="171"/>
      <c r="BG248" s="171"/>
      <c r="BH248" s="171"/>
      <c r="BI248" s="171"/>
      <c r="BJ248" s="171"/>
      <c r="BK248" s="171"/>
      <c r="BL248" s="171"/>
      <c r="BM248" s="171"/>
      <c r="BN248" s="171"/>
      <c r="BO248" s="171"/>
      <c r="BP248" s="171"/>
      <c r="BQ248" s="171"/>
      <c r="BR248" s="171"/>
      <c r="BS248" s="171"/>
      <c r="BT248" s="171"/>
      <c r="BU248" s="171"/>
      <c r="BV248" s="171"/>
      <c r="BW248" s="171"/>
      <c r="BX248" s="171"/>
      <c r="BY248" s="171"/>
      <c r="BZ248" s="171"/>
      <c r="CA248" s="171">
        <f>COUNTIF(AJ248:AX248,"*OK*")</f>
        <v>0</v>
      </c>
      <c r="CB248" s="171"/>
      <c r="CC248" s="171">
        <f>COUNTIF(AJ248:AX248,"*OP*")</f>
        <v>0</v>
      </c>
    </row>
    <row r="249" spans="1:81" ht="15" hidden="1" customHeight="1">
      <c r="A249" s="241">
        <v>28061</v>
      </c>
      <c r="B249" s="160"/>
      <c r="C249" s="468">
        <f>T249</f>
        <v>53.32</v>
      </c>
      <c r="D249" s="160">
        <f>COUNTIF(AJ249:AX249,"*OK*")</f>
        <v>0</v>
      </c>
      <c r="E249" s="160"/>
      <c r="F249" s="182" t="s">
        <v>830</v>
      </c>
      <c r="G249" s="182"/>
      <c r="H249" s="168"/>
      <c r="I249" s="168"/>
      <c r="J249" s="182"/>
      <c r="K249" s="182" t="s">
        <v>68</v>
      </c>
      <c r="L249" s="182" t="s">
        <v>733</v>
      </c>
      <c r="M249" s="182"/>
      <c r="N249" s="182"/>
      <c r="O249" s="161">
        <v>51.12</v>
      </c>
      <c r="P249" s="161">
        <v>51.07</v>
      </c>
      <c r="Q249" s="161">
        <v>42.94</v>
      </c>
      <c r="R249" s="186">
        <v>50.24</v>
      </c>
      <c r="S249" s="510">
        <v>50.912500000000001</v>
      </c>
      <c r="T249" s="553">
        <v>53.32</v>
      </c>
      <c r="U249" s="164"/>
      <c r="V249" s="165">
        <v>100</v>
      </c>
      <c r="W249" s="187"/>
      <c r="X249" s="208" t="s">
        <v>70</v>
      </c>
      <c r="Y249" s="166" t="s">
        <v>162</v>
      </c>
      <c r="Z249" s="167" t="s">
        <v>831</v>
      </c>
      <c r="AA249" s="165" t="s">
        <v>162</v>
      </c>
      <c r="AB249" s="167" t="s">
        <v>240</v>
      </c>
      <c r="AC249" s="168"/>
      <c r="AD249" s="160"/>
      <c r="AE249" s="160"/>
      <c r="AF249" s="160"/>
      <c r="AG249" s="160"/>
      <c r="AH249" s="160"/>
      <c r="AI249" s="163" t="s">
        <v>59</v>
      </c>
      <c r="AJ249" s="170"/>
      <c r="AK249" s="170"/>
      <c r="AL249" s="170"/>
      <c r="AM249" s="170"/>
      <c r="AN249" s="170"/>
      <c r="AO249" s="170"/>
      <c r="AP249" s="170"/>
      <c r="AQ249" s="170"/>
      <c r="AR249" s="170"/>
      <c r="AS249" s="170"/>
      <c r="AT249" s="170"/>
      <c r="AU249" s="170"/>
      <c r="AV249" s="170"/>
      <c r="AW249" s="170"/>
      <c r="AX249" s="170"/>
      <c r="AY249" s="170"/>
      <c r="AZ249" s="169" t="s">
        <v>59</v>
      </c>
      <c r="BA249" s="160">
        <f>(COUNTIF(AJ249:AL249,"*OK*")*3) + (COUNTIF(AM249:AO249,"*OK*")*2) + COUNTIF(AP249:AR249,"*OK*")+COUNTIF(AZ249:AZ249,"SI")*0.5</f>
        <v>0</v>
      </c>
      <c r="BB249" s="160" t="str">
        <f>IF(BA249&lt;0.6,"Demasiado Riesgo",IF(BA249&lt;=5,"Riesgo Medio",IF(BA249&lt;=11,"Riesgo Bajo","Cliente Blindado")))</f>
        <v>Demasiado Riesgo</v>
      </c>
      <c r="BC249" s="160"/>
      <c r="BD249" s="160"/>
      <c r="BE249" s="160">
        <v>0</v>
      </c>
      <c r="BF249" s="160"/>
      <c r="BG249" s="160"/>
      <c r="BH249" s="160"/>
      <c r="BI249" s="160"/>
      <c r="BJ249" s="160"/>
      <c r="BK249" s="160"/>
      <c r="BL249" s="160"/>
      <c r="BM249" s="160"/>
      <c r="BN249" s="160"/>
      <c r="BO249" s="160"/>
      <c r="BP249" s="160"/>
      <c r="BQ249" s="160"/>
      <c r="BR249" s="160"/>
      <c r="BS249" s="160"/>
      <c r="BT249" s="160"/>
      <c r="BU249" s="160"/>
      <c r="BV249" s="160"/>
      <c r="BW249" s="160"/>
      <c r="BX249" s="160"/>
      <c r="BY249" s="160"/>
      <c r="BZ249" s="160"/>
      <c r="CA249" s="160">
        <f>COUNTIF(AJ249:AX249,"*OK*")</f>
        <v>0</v>
      </c>
      <c r="CB249" s="160"/>
      <c r="CC249" s="160">
        <f>COUNTIF(AJ249:AX249,"*OP*")</f>
        <v>0</v>
      </c>
    </row>
    <row r="250" spans="1:81" ht="15" hidden="1" customHeight="1">
      <c r="A250" s="241">
        <v>22079</v>
      </c>
      <c r="B250" s="160"/>
      <c r="C250" s="468">
        <f>T250</f>
        <v>53.48</v>
      </c>
      <c r="D250" s="160">
        <f>COUNTIF(AJ250:AX250,"*OK*")</f>
        <v>0</v>
      </c>
      <c r="E250" s="160"/>
      <c r="F250" s="182" t="s">
        <v>832</v>
      </c>
      <c r="G250" s="182"/>
      <c r="H250" s="168"/>
      <c r="I250" s="168"/>
      <c r="J250" s="182"/>
      <c r="K250" s="182" t="s">
        <v>68</v>
      </c>
      <c r="L250" s="182" t="s">
        <v>733</v>
      </c>
      <c r="M250" s="182"/>
      <c r="N250" s="182"/>
      <c r="O250" s="161">
        <v>43.43</v>
      </c>
      <c r="P250" s="161">
        <v>43.39</v>
      </c>
      <c r="Q250" s="161">
        <v>44.8</v>
      </c>
      <c r="R250" s="186">
        <v>46.24</v>
      </c>
      <c r="S250" s="510">
        <v>54.073700000000002</v>
      </c>
      <c r="T250" s="551">
        <v>53.48</v>
      </c>
      <c r="U250" s="164"/>
      <c r="V250" s="165">
        <v>50</v>
      </c>
      <c r="W250" s="187"/>
      <c r="X250" s="208" t="s">
        <v>70</v>
      </c>
      <c r="Y250" s="166" t="s">
        <v>71</v>
      </c>
      <c r="Z250" s="167" t="s">
        <v>74</v>
      </c>
      <c r="AA250" s="165" t="s">
        <v>59</v>
      </c>
      <c r="AB250" s="167" t="s">
        <v>65</v>
      </c>
      <c r="AC250" s="168"/>
      <c r="AD250" s="160"/>
      <c r="AE250" s="160"/>
      <c r="AF250" s="160"/>
      <c r="AG250" s="160"/>
      <c r="AH250" s="160"/>
      <c r="AI250" s="163" t="s">
        <v>59</v>
      </c>
      <c r="AJ250" s="170"/>
      <c r="AK250" s="170"/>
      <c r="AL250" s="170"/>
      <c r="AM250" s="170"/>
      <c r="AN250" s="170"/>
      <c r="AO250" s="170"/>
      <c r="AP250" s="170"/>
      <c r="AQ250" s="170"/>
      <c r="AR250" s="170"/>
      <c r="AS250" s="170"/>
      <c r="AT250" s="170"/>
      <c r="AU250" s="170"/>
      <c r="AV250" s="170"/>
      <c r="AW250" s="170"/>
      <c r="AX250" s="170"/>
      <c r="AY250" s="170"/>
      <c r="AZ250" s="169" t="s">
        <v>59</v>
      </c>
      <c r="BA250" s="160">
        <f>(COUNTIF(AJ250:AL250,"*OK*")*3) + (COUNTIF(AM250:AO250,"*OK*")*2) + COUNTIF(AP250:AR250,"*OK*")+COUNTIF(AZ250:AZ250,"SI")*0.5</f>
        <v>0</v>
      </c>
      <c r="BB250" s="160" t="str">
        <f>IF(BA250&lt;0.6,"Demasiado Riesgo",IF(BA250&lt;=5,"Riesgo Medio",IF(BA250&lt;=11,"Riesgo Bajo","Cliente Blindado")))</f>
        <v>Demasiado Riesgo</v>
      </c>
      <c r="BC250" s="160"/>
      <c r="BD250" s="160"/>
      <c r="BE250" s="160">
        <v>0</v>
      </c>
      <c r="BF250" s="160"/>
      <c r="BG250" s="160"/>
      <c r="BH250" s="160"/>
      <c r="BI250" s="160"/>
      <c r="BJ250" s="160"/>
      <c r="BK250" s="160"/>
      <c r="BL250" s="160"/>
      <c r="BM250" s="160"/>
      <c r="BN250" s="160"/>
      <c r="BO250" s="160"/>
      <c r="BP250" s="160"/>
      <c r="BQ250" s="160"/>
      <c r="BR250" s="160"/>
      <c r="BS250" s="160"/>
      <c r="BT250" s="160"/>
      <c r="BU250" s="160"/>
      <c r="BV250" s="160"/>
      <c r="BW250" s="160"/>
      <c r="BX250" s="160"/>
      <c r="BY250" s="160"/>
      <c r="BZ250" s="160"/>
      <c r="CA250" s="160">
        <f>COUNTIF(AJ250:AX250,"*OK*")</f>
        <v>0</v>
      </c>
      <c r="CB250" s="160"/>
      <c r="CC250" s="160">
        <f>COUNTIF(AJ250:AX250,"*OP*")</f>
        <v>0</v>
      </c>
    </row>
    <row r="251" spans="1:81" ht="15" hidden="1" customHeight="1">
      <c r="A251" s="240">
        <v>26564</v>
      </c>
      <c r="B251" s="171"/>
      <c r="C251" s="468">
        <f>T251</f>
        <v>53.72</v>
      </c>
      <c r="D251" s="171">
        <f>COUNTIF(AJ251:AX251,"*OK*")</f>
        <v>0</v>
      </c>
      <c r="E251" s="171"/>
      <c r="F251" s="183" t="s">
        <v>833</v>
      </c>
      <c r="G251" s="183"/>
      <c r="H251" s="179"/>
      <c r="I251" s="179"/>
      <c r="J251" s="183"/>
      <c r="K251" s="183" t="s">
        <v>68</v>
      </c>
      <c r="L251" s="183" t="s">
        <v>733</v>
      </c>
      <c r="M251" s="183"/>
      <c r="N251" s="183"/>
      <c r="O251" s="172">
        <v>54.53</v>
      </c>
      <c r="P251" s="172">
        <v>54.48</v>
      </c>
      <c r="Q251" s="172">
        <v>51.92</v>
      </c>
      <c r="R251" s="193">
        <v>53.59</v>
      </c>
      <c r="S251" s="510">
        <v>54.310600000000001</v>
      </c>
      <c r="T251" s="550">
        <v>53.72</v>
      </c>
      <c r="U251" s="175"/>
      <c r="V251" s="176">
        <v>100</v>
      </c>
      <c r="W251" s="194"/>
      <c r="X251" s="205" t="s">
        <v>834</v>
      </c>
      <c r="Y251" s="177" t="s">
        <v>152</v>
      </c>
      <c r="Z251" s="178" t="s">
        <v>835</v>
      </c>
      <c r="AA251" s="176" t="s">
        <v>132</v>
      </c>
      <c r="AB251" s="178" t="s">
        <v>194</v>
      </c>
      <c r="AC251" s="179"/>
      <c r="AD251" s="171"/>
      <c r="AE251" s="171"/>
      <c r="AF251" s="171"/>
      <c r="AG251" s="171"/>
      <c r="AH251" s="171"/>
      <c r="AI251" s="174" t="s">
        <v>59</v>
      </c>
      <c r="AJ251" s="170"/>
      <c r="AK251" s="170"/>
      <c r="AL251" s="170"/>
      <c r="AM251" s="170"/>
      <c r="AN251" s="170"/>
      <c r="AO251" s="170"/>
      <c r="AP251" s="170"/>
      <c r="AQ251" s="170"/>
      <c r="AR251" s="170"/>
      <c r="AS251" s="170"/>
      <c r="AT251" s="170"/>
      <c r="AU251" s="170"/>
      <c r="AV251" s="170"/>
      <c r="AW251" s="170"/>
      <c r="AX251" s="170"/>
      <c r="AY251" s="170"/>
      <c r="AZ251" s="180" t="s">
        <v>59</v>
      </c>
      <c r="BA251" s="171">
        <f>(COUNTIF(AJ251:AL251,"*OK*")*3) + (COUNTIF(AM251:AO251,"*OK*")*2) + COUNTIF(AP251:AR251,"*OK*")+COUNTIF(AZ251:AZ251,"SI")*0.5</f>
        <v>0</v>
      </c>
      <c r="BB251" s="171" t="str">
        <f>IF(BA251&lt;0.6,"Demasiado Riesgo",IF(BA251&lt;=5,"Riesgo Medio",IF(BA251&lt;=11,"Riesgo Bajo","Cliente Blindado")))</f>
        <v>Demasiado Riesgo</v>
      </c>
      <c r="BC251" s="171"/>
      <c r="BD251" s="171"/>
      <c r="BE251" s="171">
        <v>0</v>
      </c>
      <c r="BF251" s="171"/>
      <c r="BG251" s="171"/>
      <c r="BH251" s="171"/>
      <c r="BI251" s="171"/>
      <c r="BJ251" s="171"/>
      <c r="BK251" s="171"/>
      <c r="BL251" s="171"/>
      <c r="BM251" s="171"/>
      <c r="BN251" s="171"/>
      <c r="BO251" s="171"/>
      <c r="BP251" s="171"/>
      <c r="BQ251" s="171"/>
      <c r="BR251" s="171"/>
      <c r="BS251" s="171"/>
      <c r="BT251" s="171"/>
      <c r="BU251" s="171"/>
      <c r="BV251" s="171"/>
      <c r="BW251" s="171"/>
      <c r="BX251" s="171"/>
      <c r="BY251" s="171"/>
      <c r="BZ251" s="171"/>
      <c r="CA251" s="171">
        <f>COUNTIF(AJ251:AX251,"*OK*")</f>
        <v>0</v>
      </c>
      <c r="CB251" s="171"/>
      <c r="CC251" s="171">
        <f>COUNTIF(AJ251:AX251,"*OP*")</f>
        <v>0</v>
      </c>
    </row>
    <row r="252" spans="1:81" ht="15" hidden="1" customHeight="1">
      <c r="A252" s="500"/>
      <c r="B252" s="173"/>
      <c r="C252" s="468">
        <f>T252</f>
        <v>54</v>
      </c>
      <c r="D252" s="171">
        <f>COUNTIF(AJ252:AX252,"*OK*")</f>
        <v>0</v>
      </c>
      <c r="E252" s="171"/>
      <c r="F252" s="183" t="s">
        <v>836</v>
      </c>
      <c r="G252" s="183"/>
      <c r="H252" s="179"/>
      <c r="I252" s="179"/>
      <c r="J252" s="183"/>
      <c r="K252" s="202" t="s">
        <v>68</v>
      </c>
      <c r="L252" s="183" t="s">
        <v>733</v>
      </c>
      <c r="M252" s="183"/>
      <c r="N252" s="183"/>
      <c r="O252" s="172">
        <v>40.020000000000003</v>
      </c>
      <c r="P252" s="172">
        <v>40.86</v>
      </c>
      <c r="Q252" s="172">
        <v>39.76</v>
      </c>
      <c r="R252" s="193">
        <v>51.3</v>
      </c>
      <c r="S252" s="510">
        <v>52.860500000000002</v>
      </c>
      <c r="T252" s="554">
        <v>54</v>
      </c>
      <c r="U252" s="175"/>
      <c r="V252" s="176">
        <v>200</v>
      </c>
      <c r="W252" s="194"/>
      <c r="X252" s="205" t="s">
        <v>124</v>
      </c>
      <c r="Y252" s="177" t="s">
        <v>125</v>
      </c>
      <c r="Z252" s="178" t="s">
        <v>837</v>
      </c>
      <c r="AA252" s="176" t="s">
        <v>59</v>
      </c>
      <c r="AB252" s="178" t="s">
        <v>65</v>
      </c>
      <c r="AC252" s="179"/>
      <c r="AD252" s="171"/>
      <c r="AE252" s="171"/>
      <c r="AF252" s="171"/>
      <c r="AG252" s="171"/>
      <c r="AH252" s="171"/>
      <c r="AI252" s="174" t="s">
        <v>59</v>
      </c>
      <c r="AJ252" s="170"/>
      <c r="AK252" s="170"/>
      <c r="AL252" s="170"/>
      <c r="AM252" s="170"/>
      <c r="AN252" s="170"/>
      <c r="AO252" s="170"/>
      <c r="AP252" s="170"/>
      <c r="AQ252" s="170"/>
      <c r="AR252" s="170"/>
      <c r="AS252" s="170"/>
      <c r="AT252" s="170"/>
      <c r="AU252" s="170"/>
      <c r="AV252" s="170"/>
      <c r="AW252" s="170"/>
      <c r="AX252" s="170"/>
      <c r="AY252" s="170"/>
      <c r="AZ252" s="180" t="s">
        <v>59</v>
      </c>
      <c r="BA252" s="171">
        <f>(COUNTIF(AJ252:AL252,"*OK*")*3) + (COUNTIF(AM252:AO252,"*OK*")*2) + COUNTIF(AP252:AR252,"*OK*")+COUNTIF(AZ252:AZ252,"SI")*0.5</f>
        <v>0</v>
      </c>
      <c r="BB252" s="171" t="str">
        <f>IF(BA252&lt;0.6,"Demasiado Riesgo",IF(BA252&lt;=5,"Riesgo Medio",IF(BA252&lt;=11,"Riesgo Bajo","Cliente Blindado")))</f>
        <v>Demasiado Riesgo</v>
      </c>
      <c r="BC252" s="171"/>
      <c r="BD252" s="171"/>
      <c r="BE252" s="171">
        <v>0</v>
      </c>
      <c r="BF252" s="171"/>
      <c r="BG252" s="171"/>
      <c r="BH252" s="171"/>
      <c r="BI252" s="171"/>
      <c r="BJ252" s="171"/>
      <c r="BK252" s="171"/>
      <c r="BL252" s="171"/>
      <c r="BM252" s="171"/>
      <c r="BN252" s="171"/>
      <c r="BO252" s="171"/>
      <c r="BP252" s="171"/>
      <c r="BQ252" s="171"/>
      <c r="BR252" s="171"/>
      <c r="BS252" s="171"/>
      <c r="BT252" s="171"/>
      <c r="BU252" s="171"/>
      <c r="BV252" s="171"/>
      <c r="BW252" s="171"/>
      <c r="BX252" s="171"/>
      <c r="BY252" s="171"/>
      <c r="BZ252" s="171"/>
      <c r="CA252" s="171">
        <f>COUNTIF(AJ252:AX252,"*OK*")</f>
        <v>0</v>
      </c>
      <c r="CB252" s="171"/>
      <c r="CC252" s="171">
        <f>COUNTIF(AJ252:AX252,"*OP*")</f>
        <v>0</v>
      </c>
    </row>
    <row r="253" spans="1:81" ht="15" hidden="1" customHeight="1">
      <c r="A253" s="241">
        <v>26933</v>
      </c>
      <c r="B253" s="160"/>
      <c r="C253" s="468">
        <f>T253</f>
        <v>55.1</v>
      </c>
      <c r="D253" s="160">
        <f>COUNTIF(AJ253:AX253,"*OK*")</f>
        <v>0</v>
      </c>
      <c r="E253" s="160"/>
      <c r="F253" s="182" t="s">
        <v>838</v>
      </c>
      <c r="G253" s="182"/>
      <c r="H253" s="168"/>
      <c r="I253" s="168"/>
      <c r="J253" s="182"/>
      <c r="K253" s="182" t="s">
        <v>68</v>
      </c>
      <c r="L253" s="182" t="s">
        <v>733</v>
      </c>
      <c r="M253" s="182"/>
      <c r="N253" s="182"/>
      <c r="O253" s="161">
        <v>54.14</v>
      </c>
      <c r="P253" s="161">
        <v>54.09</v>
      </c>
      <c r="Q253" s="161">
        <v>53.26</v>
      </c>
      <c r="R253" s="186">
        <v>54.98</v>
      </c>
      <c r="S253" s="510">
        <v>55.715000000000003</v>
      </c>
      <c r="T253" s="551">
        <v>55.1</v>
      </c>
      <c r="U253" s="164"/>
      <c r="V253" s="165">
        <v>150</v>
      </c>
      <c r="W253" s="187"/>
      <c r="X253" s="203" t="s">
        <v>834</v>
      </c>
      <c r="Y253" s="166" t="s">
        <v>80</v>
      </c>
      <c r="Z253" s="167" t="s">
        <v>839</v>
      </c>
      <c r="AA253" s="165" t="s">
        <v>222</v>
      </c>
      <c r="AB253" s="167" t="s">
        <v>104</v>
      </c>
      <c r="AC253" s="168"/>
      <c r="AD253" s="160"/>
      <c r="AE253" s="160"/>
      <c r="AF253" s="160"/>
      <c r="AG253" s="160"/>
      <c r="AH253" s="160"/>
      <c r="AI253" s="163" t="s">
        <v>59</v>
      </c>
      <c r="AJ253" s="170"/>
      <c r="AK253" s="170"/>
      <c r="AL253" s="170"/>
      <c r="AM253" s="170"/>
      <c r="AN253" s="170"/>
      <c r="AO253" s="170"/>
      <c r="AP253" s="170"/>
      <c r="AQ253" s="170"/>
      <c r="AR253" s="170"/>
      <c r="AS253" s="170"/>
      <c r="AT253" s="170"/>
      <c r="AU253" s="170"/>
      <c r="AV253" s="170"/>
      <c r="AW253" s="170"/>
      <c r="AX253" s="170"/>
      <c r="AY253" s="170"/>
      <c r="AZ253" s="169" t="s">
        <v>59</v>
      </c>
      <c r="BA253" s="160">
        <f>(COUNTIF(AJ253:AL253,"*OK*")*3) + (COUNTIF(AM253:AO253,"*OK*")*2) + COUNTIF(AP253:AR253,"*OK*")+COUNTIF(AZ253:AZ253,"SI")*0.5</f>
        <v>0</v>
      </c>
      <c r="BB253" s="160" t="str">
        <f>IF(BA253&lt;0.6,"Demasiado Riesgo",IF(BA253&lt;=5,"Riesgo Medio",IF(BA253&lt;=11,"Riesgo Bajo","Cliente Blindado")))</f>
        <v>Demasiado Riesgo</v>
      </c>
      <c r="BC253" s="160"/>
      <c r="BD253" s="160"/>
      <c r="BE253" s="160">
        <v>0</v>
      </c>
      <c r="BF253" s="160"/>
      <c r="BG253" s="160"/>
      <c r="BH253" s="160"/>
      <c r="BI253" s="160"/>
      <c r="BJ253" s="160"/>
      <c r="BK253" s="160"/>
      <c r="BL253" s="160"/>
      <c r="BM253" s="160"/>
      <c r="BN253" s="160"/>
      <c r="BO253" s="160"/>
      <c r="BP253" s="160"/>
      <c r="BQ253" s="160"/>
      <c r="BR253" s="160"/>
      <c r="BS253" s="160"/>
      <c r="BT253" s="160"/>
      <c r="BU253" s="160"/>
      <c r="BV253" s="160"/>
      <c r="BW253" s="160"/>
      <c r="BX253" s="160"/>
      <c r="BY253" s="160"/>
      <c r="BZ253" s="160"/>
      <c r="CA253" s="160">
        <f>COUNTIF(AJ253:AX253,"*OK*")</f>
        <v>0</v>
      </c>
      <c r="CB253" s="160"/>
      <c r="CC253" s="160">
        <f>COUNTIF(AJ253:AX253,"*OP*")</f>
        <v>0</v>
      </c>
    </row>
    <row r="254" spans="1:81" ht="15" hidden="1" customHeight="1">
      <c r="A254" s="241">
        <v>6984</v>
      </c>
      <c r="B254" s="160"/>
      <c r="C254" s="468">
        <f>T254</f>
        <v>55.15</v>
      </c>
      <c r="D254" s="160">
        <f>COUNTIF(AJ254:AX254,"*OK*")</f>
        <v>0</v>
      </c>
      <c r="E254" s="160"/>
      <c r="F254" s="182" t="s">
        <v>840</v>
      </c>
      <c r="G254" s="182"/>
      <c r="H254" s="168"/>
      <c r="I254" s="168"/>
      <c r="J254" s="182"/>
      <c r="K254" s="182" t="s">
        <v>68</v>
      </c>
      <c r="L254" s="182" t="s">
        <v>733</v>
      </c>
      <c r="M254" s="182"/>
      <c r="N254" s="182"/>
      <c r="O254" s="161">
        <v>55.98</v>
      </c>
      <c r="P254" s="161">
        <v>55.93</v>
      </c>
      <c r="Q254" s="161">
        <v>53.3</v>
      </c>
      <c r="R254" s="186">
        <v>55.02</v>
      </c>
      <c r="S254" s="510">
        <v>55.756599999999999</v>
      </c>
      <c r="T254" s="551">
        <v>55.15</v>
      </c>
      <c r="U254" s="164"/>
      <c r="V254" s="165">
        <v>100</v>
      </c>
      <c r="W254" s="187"/>
      <c r="X254" s="208" t="s">
        <v>70</v>
      </c>
      <c r="Y254" s="166" t="s">
        <v>125</v>
      </c>
      <c r="Z254" s="167" t="s">
        <v>841</v>
      </c>
      <c r="AA254" s="165" t="s">
        <v>59</v>
      </c>
      <c r="AB254" s="167" t="s">
        <v>159</v>
      </c>
      <c r="AC254" s="168"/>
      <c r="AD254" s="160"/>
      <c r="AE254" s="160"/>
      <c r="AF254" s="160"/>
      <c r="AG254" s="160"/>
      <c r="AH254" s="160"/>
      <c r="AI254" s="163" t="s">
        <v>59</v>
      </c>
      <c r="AJ254" s="170"/>
      <c r="AK254" s="170"/>
      <c r="AL254" s="170"/>
      <c r="AM254" s="170"/>
      <c r="AN254" s="170"/>
      <c r="AO254" s="170"/>
      <c r="AP254" s="170"/>
      <c r="AQ254" s="170"/>
      <c r="AR254" s="170"/>
      <c r="AS254" s="170"/>
      <c r="AT254" s="170"/>
      <c r="AU254" s="170"/>
      <c r="AV254" s="170"/>
      <c r="AW254" s="170"/>
      <c r="AX254" s="170"/>
      <c r="AY254" s="170"/>
      <c r="AZ254" s="169" t="s">
        <v>59</v>
      </c>
      <c r="BA254" s="160">
        <f>(COUNTIF(AJ254:AL254,"*OK*")*3) + (COUNTIF(AM254:AO254,"*OK*")*2) + COUNTIF(AP254:AR254,"*OK*")+COUNTIF(AZ254:AZ254,"SI")*0.5</f>
        <v>0</v>
      </c>
      <c r="BB254" s="160" t="str">
        <f>IF(BA254&lt;0.6,"Demasiado Riesgo",IF(BA254&lt;=5,"Riesgo Medio",IF(BA254&lt;=11,"Riesgo Bajo","Cliente Blindado")))</f>
        <v>Demasiado Riesgo</v>
      </c>
      <c r="BC254" s="160"/>
      <c r="BD254" s="160"/>
      <c r="BE254" s="160">
        <v>0</v>
      </c>
      <c r="BF254" s="160"/>
      <c r="BG254" s="160"/>
      <c r="BH254" s="160"/>
      <c r="BI254" s="160"/>
      <c r="BJ254" s="160"/>
      <c r="BK254" s="160"/>
      <c r="BL254" s="160"/>
      <c r="BM254" s="160"/>
      <c r="BN254" s="160"/>
      <c r="BO254" s="160"/>
      <c r="BP254" s="160"/>
      <c r="BQ254" s="160"/>
      <c r="BR254" s="160"/>
      <c r="BS254" s="160"/>
      <c r="BT254" s="160"/>
      <c r="BU254" s="160"/>
      <c r="BV254" s="160"/>
      <c r="BW254" s="160"/>
      <c r="BX254" s="160"/>
      <c r="BY254" s="160"/>
      <c r="BZ254" s="160"/>
      <c r="CA254" s="160">
        <f>COUNTIF(AJ254:AX254,"*OK*")</f>
        <v>0</v>
      </c>
      <c r="CB254" s="160"/>
      <c r="CC254" s="160">
        <f>COUNTIF(AJ254:AX254,"*OP*")</f>
        <v>0</v>
      </c>
    </row>
    <row r="255" spans="1:81" ht="15" hidden="1" customHeight="1">
      <c r="A255" s="240"/>
      <c r="B255" s="171"/>
      <c r="C255" s="468">
        <f>T255</f>
        <v>55.15</v>
      </c>
      <c r="D255" s="171">
        <f>COUNTIF(AJ255:AX255,"*OK*")</f>
        <v>0</v>
      </c>
      <c r="E255" s="171"/>
      <c r="F255" s="183" t="s">
        <v>842</v>
      </c>
      <c r="G255" s="183"/>
      <c r="H255" s="179"/>
      <c r="I255" s="179"/>
      <c r="J255" s="183"/>
      <c r="K255" s="183" t="s">
        <v>68</v>
      </c>
      <c r="L255" s="183" t="s">
        <v>733</v>
      </c>
      <c r="M255" s="183"/>
      <c r="N255" s="183"/>
      <c r="O255" s="172">
        <v>55.98</v>
      </c>
      <c r="P255" s="172">
        <v>55.93</v>
      </c>
      <c r="Q255" s="172">
        <v>53.3</v>
      </c>
      <c r="R255" s="193">
        <v>55.02</v>
      </c>
      <c r="S255" s="510">
        <v>55.756599999999999</v>
      </c>
      <c r="T255" s="550">
        <v>55.15</v>
      </c>
      <c r="U255" s="175"/>
      <c r="V255" s="176">
        <v>100</v>
      </c>
      <c r="W255" s="194"/>
      <c r="X255" s="211" t="s">
        <v>70</v>
      </c>
      <c r="Y255" s="177" t="s">
        <v>80</v>
      </c>
      <c r="Z255" s="178" t="s">
        <v>843</v>
      </c>
      <c r="AA255" s="176" t="s">
        <v>59</v>
      </c>
      <c r="AB255" s="178" t="s">
        <v>104</v>
      </c>
      <c r="AC255" s="179"/>
      <c r="AD255" s="171"/>
      <c r="AE255" s="171"/>
      <c r="AF255" s="171"/>
      <c r="AG255" s="171"/>
      <c r="AH255" s="171"/>
      <c r="AI255" s="174" t="s">
        <v>59</v>
      </c>
      <c r="AJ255" s="170"/>
      <c r="AK255" s="170"/>
      <c r="AL255" s="170"/>
      <c r="AM255" s="170"/>
      <c r="AN255" s="170"/>
      <c r="AO255" s="170"/>
      <c r="AP255" s="170"/>
      <c r="AQ255" s="170"/>
      <c r="AR255" s="170"/>
      <c r="AS255" s="170"/>
      <c r="AT255" s="170"/>
      <c r="AU255" s="170"/>
      <c r="AV255" s="170"/>
      <c r="AW255" s="170"/>
      <c r="AX255" s="170"/>
      <c r="AY255" s="170"/>
      <c r="AZ255" s="180" t="s">
        <v>59</v>
      </c>
      <c r="BA255" s="171">
        <f>(COUNTIF(AJ255:AL255,"*OK*")*3) + (COUNTIF(AM255:AO255,"*OK*")*2) + COUNTIF(AP255:AR255,"*OK*")+COUNTIF(AZ255:AZ255,"SI")*0.5</f>
        <v>0</v>
      </c>
      <c r="BB255" s="171" t="str">
        <f>IF(BA255&lt;0.6,"Demasiado Riesgo",IF(BA255&lt;=5,"Riesgo Medio",IF(BA255&lt;=11,"Riesgo Bajo","Cliente Blindado")))</f>
        <v>Demasiado Riesgo</v>
      </c>
      <c r="BC255" s="171"/>
      <c r="BD255" s="171"/>
      <c r="BE255" s="171">
        <v>0</v>
      </c>
      <c r="BF255" s="171"/>
      <c r="BG255" s="171"/>
      <c r="BH255" s="171"/>
      <c r="BI255" s="171"/>
      <c r="BJ255" s="171"/>
      <c r="BK255" s="171"/>
      <c r="BL255" s="171"/>
      <c r="BM255" s="171"/>
      <c r="BN255" s="171"/>
      <c r="BO255" s="171"/>
      <c r="BP255" s="171"/>
      <c r="BQ255" s="171"/>
      <c r="BR255" s="171"/>
      <c r="BS255" s="171"/>
      <c r="BT255" s="171"/>
      <c r="BU255" s="171"/>
      <c r="BV255" s="171"/>
      <c r="BW255" s="171"/>
      <c r="BX255" s="171"/>
      <c r="BY255" s="171"/>
      <c r="BZ255" s="171"/>
      <c r="CA255" s="171">
        <f>COUNTIF(AJ255:AX255,"*OK*")</f>
        <v>0</v>
      </c>
      <c r="CB255" s="171"/>
      <c r="CC255" s="171">
        <f>COUNTIF(AJ255:AX255,"*OP*")</f>
        <v>0</v>
      </c>
    </row>
    <row r="256" spans="1:81" ht="15" hidden="1" customHeight="1">
      <c r="A256" s="241">
        <v>25507</v>
      </c>
      <c r="B256" s="160"/>
      <c r="C256" s="468">
        <f>T256</f>
        <v>56.3</v>
      </c>
      <c r="D256" s="160">
        <f>COUNTIF(AJ256:AX256,"*OK*")</f>
        <v>1</v>
      </c>
      <c r="E256" s="160"/>
      <c r="F256" s="184" t="s">
        <v>844</v>
      </c>
      <c r="G256" s="182"/>
      <c r="H256" s="168"/>
      <c r="I256" s="168"/>
      <c r="J256" s="182"/>
      <c r="K256" s="182" t="s">
        <v>68</v>
      </c>
      <c r="L256" s="182" t="s">
        <v>733</v>
      </c>
      <c r="M256" s="182"/>
      <c r="N256" s="182"/>
      <c r="O256" s="161">
        <v>50.77</v>
      </c>
      <c r="P256" s="161">
        <v>50.72</v>
      </c>
      <c r="Q256" s="161">
        <v>48.34</v>
      </c>
      <c r="R256" s="186">
        <v>57.29</v>
      </c>
      <c r="S256" s="510">
        <v>56.919499999999999</v>
      </c>
      <c r="T256" s="551">
        <v>56.3</v>
      </c>
      <c r="U256" s="164"/>
      <c r="V256" s="165">
        <v>100</v>
      </c>
      <c r="W256" s="187"/>
      <c r="X256" s="208" t="s">
        <v>70</v>
      </c>
      <c r="Y256" s="166" t="s">
        <v>243</v>
      </c>
      <c r="Z256" s="167" t="s">
        <v>845</v>
      </c>
      <c r="AA256" s="165" t="s">
        <v>243</v>
      </c>
      <c r="AB256" s="167" t="s">
        <v>505</v>
      </c>
      <c r="AC256" s="168"/>
      <c r="AD256" s="160"/>
      <c r="AE256" s="160"/>
      <c r="AF256" s="160"/>
      <c r="AG256" s="160"/>
      <c r="AH256" s="160"/>
      <c r="AI256" s="163" t="s">
        <v>59</v>
      </c>
      <c r="AJ256" s="170"/>
      <c r="AK256" s="170"/>
      <c r="AL256" s="170"/>
      <c r="AM256" s="170"/>
      <c r="AN256" s="170"/>
      <c r="AO256" s="170"/>
      <c r="AP256" s="170"/>
      <c r="AQ256" s="170"/>
      <c r="AR256" s="170"/>
      <c r="AS256" s="170"/>
      <c r="AT256" s="170" t="s">
        <v>418</v>
      </c>
      <c r="AU256" s="170"/>
      <c r="AV256" s="170"/>
      <c r="AW256" s="170"/>
      <c r="AX256" s="170"/>
      <c r="AY256" s="170"/>
      <c r="AZ256" s="169" t="s">
        <v>59</v>
      </c>
      <c r="BA256" s="160">
        <f>(COUNTIF(AJ256:AL256,"*OK*")*3) + (COUNTIF(AM256:AO256,"*OK*")*2) + COUNTIF(AP256:AR256,"*OK*")+COUNTIF(AZ256:AZ256,"SI")*0.5</f>
        <v>0</v>
      </c>
      <c r="BB256" s="160" t="str">
        <f>IF(BA256&lt;0.6,"Demasiado Riesgo",IF(BA256&lt;=5,"Riesgo Medio",IF(BA256&lt;=11,"Riesgo Bajo","Cliente Blindado")))</f>
        <v>Demasiado Riesgo</v>
      </c>
      <c r="BC256" s="160"/>
      <c r="BD256" s="160"/>
      <c r="BE256" s="160">
        <v>0</v>
      </c>
      <c r="BF256" s="160"/>
      <c r="BG256" s="160"/>
      <c r="BH256" s="160"/>
      <c r="BI256" s="160"/>
      <c r="BJ256" s="160"/>
      <c r="BK256" s="160"/>
      <c r="BL256" s="160"/>
      <c r="BM256" s="160"/>
      <c r="BN256" s="160"/>
      <c r="BO256" s="160"/>
      <c r="BP256" s="160"/>
      <c r="BQ256" s="160"/>
      <c r="BR256" s="160"/>
      <c r="BS256" s="160"/>
      <c r="BT256" s="160"/>
      <c r="BU256" s="160"/>
      <c r="BV256" s="160"/>
      <c r="BW256" s="160"/>
      <c r="BX256" s="160"/>
      <c r="BY256" s="160"/>
      <c r="BZ256" s="160"/>
      <c r="CA256" s="160">
        <f>COUNTIF(AJ256:AX256,"*OK*")</f>
        <v>1</v>
      </c>
      <c r="CB256" s="160"/>
      <c r="CC256" s="160">
        <f>COUNTIF(AJ256:AX256,"*OP*")</f>
        <v>0</v>
      </c>
    </row>
    <row r="257" spans="1:81" ht="15" hidden="1" customHeight="1">
      <c r="A257" s="241">
        <v>28852</v>
      </c>
      <c r="B257" s="160"/>
      <c r="C257" s="468">
        <f>T257</f>
        <v>56.77</v>
      </c>
      <c r="D257" s="160">
        <f>COUNTIF(AJ257:AX257,"*OK*")</f>
        <v>1</v>
      </c>
      <c r="E257" s="160"/>
      <c r="F257" s="182" t="s">
        <v>846</v>
      </c>
      <c r="G257" s="182"/>
      <c r="H257" s="168"/>
      <c r="I257" s="168"/>
      <c r="J257" s="182"/>
      <c r="K257" s="182" t="s">
        <v>68</v>
      </c>
      <c r="L257" s="182" t="s">
        <v>733</v>
      </c>
      <c r="M257" s="182"/>
      <c r="N257" s="182"/>
      <c r="O257" s="161">
        <v>49.25</v>
      </c>
      <c r="P257" s="161">
        <v>57.58</v>
      </c>
      <c r="Q257" s="161">
        <v>41.06</v>
      </c>
      <c r="R257" s="186">
        <v>56.63</v>
      </c>
      <c r="S257" s="510">
        <v>57.396700000000003</v>
      </c>
      <c r="T257" s="551">
        <v>56.77</v>
      </c>
      <c r="U257" s="164"/>
      <c r="V257" s="165">
        <v>50</v>
      </c>
      <c r="W257" s="187"/>
      <c r="X257" s="208" t="s">
        <v>70</v>
      </c>
      <c r="Y257" s="166" t="s">
        <v>235</v>
      </c>
      <c r="Z257" s="167" t="s">
        <v>847</v>
      </c>
      <c r="AA257" s="165" t="s">
        <v>59</v>
      </c>
      <c r="AB257" s="167" t="s">
        <v>65</v>
      </c>
      <c r="AC257" s="168"/>
      <c r="AD257" s="160"/>
      <c r="AE257" s="160"/>
      <c r="AF257" s="160"/>
      <c r="AG257" s="160"/>
      <c r="AH257" s="160"/>
      <c r="AI257" s="163" t="s">
        <v>59</v>
      </c>
      <c r="AJ257" s="170"/>
      <c r="AK257" s="170"/>
      <c r="AL257" s="189" t="s">
        <v>111</v>
      </c>
      <c r="AM257" s="170"/>
      <c r="AN257" s="170"/>
      <c r="AO257" s="170"/>
      <c r="AP257" s="170"/>
      <c r="AQ257" s="170"/>
      <c r="AR257" s="170"/>
      <c r="AS257" s="170"/>
      <c r="AT257" s="170"/>
      <c r="AU257" s="170"/>
      <c r="AV257" s="170"/>
      <c r="AW257" s="170"/>
      <c r="AX257" s="170"/>
      <c r="AY257" s="170"/>
      <c r="AZ257" s="169" t="s">
        <v>59</v>
      </c>
      <c r="BA257" s="160">
        <f>(COUNTIF(AJ257:AL257,"*OK*")*3) + (COUNTIF(AM257:AO257,"*OK*")*2) + COUNTIF(AP257:AR257,"*OK*")+COUNTIF(AZ257:AZ257,"SI")*0.5</f>
        <v>3</v>
      </c>
      <c r="BB257" s="160" t="str">
        <f>IF(BA257&lt;0.6,"Demasiado Riesgo",IF(BA257&lt;=5,"Riesgo Medio",IF(BA257&lt;=11,"Riesgo Bajo","Cliente Blindado")))</f>
        <v>Riesgo Medio</v>
      </c>
      <c r="BC257" s="160"/>
      <c r="BD257" s="160"/>
      <c r="BE257" s="160">
        <v>0</v>
      </c>
      <c r="BF257" s="160"/>
      <c r="BG257" s="160"/>
      <c r="BH257" s="160"/>
      <c r="BI257" s="160"/>
      <c r="BJ257" s="160"/>
      <c r="BK257" s="160"/>
      <c r="BL257" s="160"/>
      <c r="BM257" s="160"/>
      <c r="BN257" s="160"/>
      <c r="BO257" s="160"/>
      <c r="BP257" s="160"/>
      <c r="BQ257" s="160"/>
      <c r="BR257" s="160"/>
      <c r="BS257" s="160"/>
      <c r="BT257" s="160"/>
      <c r="BU257" s="160"/>
      <c r="BV257" s="160"/>
      <c r="BW257" s="160"/>
      <c r="BX257" s="160"/>
      <c r="BY257" s="160"/>
      <c r="BZ257" s="160"/>
      <c r="CA257" s="160">
        <f>COUNTIF(AJ257:AX257,"*OK*")</f>
        <v>1</v>
      </c>
      <c r="CB257" s="160"/>
      <c r="CC257" s="160">
        <f>COUNTIF(AJ257:AX257,"*OP*")</f>
        <v>0</v>
      </c>
    </row>
    <row r="258" spans="1:81" ht="15" hidden="1" customHeight="1">
      <c r="A258" s="241">
        <v>27998</v>
      </c>
      <c r="B258" s="160"/>
      <c r="C258" s="468">
        <f>T258</f>
        <v>56.87</v>
      </c>
      <c r="D258" s="160">
        <f>COUNTIF(AJ258:AX258,"*OK*")</f>
        <v>0</v>
      </c>
      <c r="E258" s="160"/>
      <c r="F258" s="182" t="s">
        <v>848</v>
      </c>
      <c r="G258" s="182"/>
      <c r="H258" s="168"/>
      <c r="I258" s="168"/>
      <c r="J258" s="182"/>
      <c r="K258" s="182" t="s">
        <v>68</v>
      </c>
      <c r="L258" s="182" t="s">
        <v>733</v>
      </c>
      <c r="M258" s="182"/>
      <c r="N258" s="182"/>
      <c r="O258" s="161">
        <v>57.73</v>
      </c>
      <c r="P258" s="161">
        <v>57.68</v>
      </c>
      <c r="Q258" s="161">
        <v>54.97</v>
      </c>
      <c r="R258" s="186">
        <v>56.74</v>
      </c>
      <c r="S258" s="510">
        <v>57.503</v>
      </c>
      <c r="T258" s="551">
        <v>56.87</v>
      </c>
      <c r="U258" s="164"/>
      <c r="V258" s="165">
        <v>50</v>
      </c>
      <c r="W258" s="187"/>
      <c r="X258" s="208" t="s">
        <v>70</v>
      </c>
      <c r="Y258" s="166" t="s">
        <v>302</v>
      </c>
      <c r="Z258" s="167" t="s">
        <v>849</v>
      </c>
      <c r="AA258" s="165" t="s">
        <v>71</v>
      </c>
      <c r="AB258" s="167" t="s">
        <v>159</v>
      </c>
      <c r="AC258" s="168"/>
      <c r="AD258" s="160"/>
      <c r="AE258" s="160"/>
      <c r="AF258" s="160"/>
      <c r="AG258" s="160"/>
      <c r="AH258" s="160"/>
      <c r="AI258" s="163" t="s">
        <v>59</v>
      </c>
      <c r="AJ258" s="170"/>
      <c r="AK258" s="170"/>
      <c r="AL258" s="170"/>
      <c r="AM258" s="170"/>
      <c r="AN258" s="170"/>
      <c r="AO258" s="170"/>
      <c r="AP258" s="170"/>
      <c r="AQ258" s="170"/>
      <c r="AR258" s="170"/>
      <c r="AS258" s="170"/>
      <c r="AT258" s="170"/>
      <c r="AU258" s="170"/>
      <c r="AV258" s="170"/>
      <c r="AW258" s="170"/>
      <c r="AX258" s="170"/>
      <c r="AY258" s="170"/>
      <c r="AZ258" s="169" t="s">
        <v>59</v>
      </c>
      <c r="BA258" s="160">
        <f>(COUNTIF(AJ258:AL258,"*OK*")*3) + (COUNTIF(AM258:AO258,"*OK*")*2) + COUNTIF(AP258:AR258,"*OK*")+COUNTIF(AZ258:AZ258,"SI")*0.5</f>
        <v>0</v>
      </c>
      <c r="BB258" s="160" t="str">
        <f>IF(BA258&lt;0.6,"Demasiado Riesgo",IF(BA258&lt;=5,"Riesgo Medio",IF(BA258&lt;=11,"Riesgo Bajo","Cliente Blindado")))</f>
        <v>Demasiado Riesgo</v>
      </c>
      <c r="BC258" s="160"/>
      <c r="BD258" s="160"/>
      <c r="BE258" s="160">
        <v>0</v>
      </c>
      <c r="BF258" s="160"/>
      <c r="BG258" s="160"/>
      <c r="BH258" s="160"/>
      <c r="BI258" s="160"/>
      <c r="BJ258" s="160"/>
      <c r="BK258" s="160"/>
      <c r="BL258" s="160"/>
      <c r="BM258" s="160"/>
      <c r="BN258" s="160"/>
      <c r="BO258" s="160"/>
      <c r="BP258" s="160"/>
      <c r="BQ258" s="160"/>
      <c r="BR258" s="160"/>
      <c r="BS258" s="160"/>
      <c r="BT258" s="160"/>
      <c r="BU258" s="160"/>
      <c r="BV258" s="160"/>
      <c r="BW258" s="160"/>
      <c r="BX258" s="160"/>
      <c r="BY258" s="160"/>
      <c r="BZ258" s="160"/>
      <c r="CA258" s="160">
        <f>COUNTIF(AJ258:AX258,"*OK*")</f>
        <v>0</v>
      </c>
      <c r="CB258" s="160"/>
      <c r="CC258" s="160">
        <f>COUNTIF(AJ258:AX258,"*OP*")</f>
        <v>0</v>
      </c>
    </row>
    <row r="259" spans="1:81" ht="15" hidden="1" customHeight="1">
      <c r="A259" s="240"/>
      <c r="B259" s="171"/>
      <c r="C259" s="468">
        <f>T259</f>
        <v>56.88</v>
      </c>
      <c r="D259" s="171">
        <f>COUNTIF(AJ259:AX259,"*OK*")</f>
        <v>0</v>
      </c>
      <c r="E259" s="171"/>
      <c r="F259" s="183" t="s">
        <v>850</v>
      </c>
      <c r="G259" s="183"/>
      <c r="H259" s="179"/>
      <c r="I259" s="179"/>
      <c r="J259" s="183"/>
      <c r="K259" s="192" t="s">
        <v>68</v>
      </c>
      <c r="L259" s="183" t="s">
        <v>733</v>
      </c>
      <c r="M259" s="183"/>
      <c r="N259" s="183"/>
      <c r="O259" s="172">
        <v>46.48</v>
      </c>
      <c r="P259" s="172">
        <v>44.67</v>
      </c>
      <c r="Q259" s="172">
        <v>39.89</v>
      </c>
      <c r="R259" s="193">
        <v>56.75</v>
      </c>
      <c r="S259" s="510">
        <v>57.51</v>
      </c>
      <c r="T259" s="550">
        <v>56.88</v>
      </c>
      <c r="U259" s="175"/>
      <c r="V259" s="176">
        <v>100</v>
      </c>
      <c r="W259" s="194"/>
      <c r="X259" s="209" t="s">
        <v>70</v>
      </c>
      <c r="Y259" s="177" t="s">
        <v>108</v>
      </c>
      <c r="Z259" s="178" t="s">
        <v>851</v>
      </c>
      <c r="AA259" s="176" t="s">
        <v>59</v>
      </c>
      <c r="AB259" s="195" t="s">
        <v>65</v>
      </c>
      <c r="AC259" s="179"/>
      <c r="AD259" s="171"/>
      <c r="AE259" s="171"/>
      <c r="AF259" s="171"/>
      <c r="AG259" s="171"/>
      <c r="AH259" s="171"/>
      <c r="AI259" s="174" t="s">
        <v>59</v>
      </c>
      <c r="AJ259" s="170"/>
      <c r="AK259" s="170"/>
      <c r="AL259" s="545"/>
      <c r="AM259" s="170"/>
      <c r="AN259" s="170"/>
      <c r="AO259" s="170"/>
      <c r="AP259" s="170"/>
      <c r="AQ259" s="170"/>
      <c r="AR259" s="170"/>
      <c r="AS259" s="170"/>
      <c r="AT259" s="170"/>
      <c r="AU259" s="170"/>
      <c r="AV259" s="170"/>
      <c r="AW259" s="170"/>
      <c r="AX259" s="170"/>
      <c r="AY259" s="170"/>
      <c r="AZ259" s="180" t="s">
        <v>59</v>
      </c>
      <c r="BA259" s="171">
        <f>(COUNTIF(AJ259:AL259,"*OK*")*3) + (COUNTIF(AM259:AO259,"*OK*")*2) + COUNTIF(AP259:AR259,"*OK*")+COUNTIF(AZ259:AZ259,"SI")*0.5</f>
        <v>0</v>
      </c>
      <c r="BB259" s="171" t="str">
        <f>IF(BA259&lt;0.6,"Demasiado Riesgo",IF(BA259&lt;=5,"Riesgo Medio",IF(BA259&lt;=11,"Riesgo Bajo","Cliente Blindado")))</f>
        <v>Demasiado Riesgo</v>
      </c>
      <c r="BC259" s="171"/>
      <c r="BD259" s="171"/>
      <c r="BE259" s="171">
        <v>0</v>
      </c>
      <c r="BF259" s="171"/>
      <c r="BG259" s="171"/>
      <c r="BH259" s="171"/>
      <c r="BI259" s="171"/>
      <c r="BJ259" s="171"/>
      <c r="BK259" s="171"/>
      <c r="BL259" s="171"/>
      <c r="BM259" s="171"/>
      <c r="BN259" s="171"/>
      <c r="BO259" s="171"/>
      <c r="BP259" s="171"/>
      <c r="BQ259" s="171"/>
      <c r="BR259" s="171"/>
      <c r="BS259" s="171"/>
      <c r="BT259" s="171"/>
      <c r="BU259" s="171"/>
      <c r="BV259" s="171"/>
      <c r="BW259" s="171"/>
      <c r="BX259" s="171"/>
      <c r="BY259" s="171"/>
      <c r="BZ259" s="171"/>
      <c r="CA259" s="171">
        <f>COUNTIF(AJ259:AX259,"*OK*")</f>
        <v>0</v>
      </c>
      <c r="CB259" s="171"/>
      <c r="CC259" s="171">
        <f>COUNTIF(AJ259:AX259,"*OP*")</f>
        <v>0</v>
      </c>
    </row>
    <row r="260" spans="1:81" ht="15" hidden="1" customHeight="1">
      <c r="A260" s="240">
        <v>22145</v>
      </c>
      <c r="B260" s="171"/>
      <c r="C260" s="468">
        <f>T260</f>
        <v>56.99</v>
      </c>
      <c r="D260" s="171">
        <f>COUNTIF(AJ260:AX260,"*OK*")</f>
        <v>0</v>
      </c>
      <c r="E260" s="171"/>
      <c r="F260" s="183" t="s">
        <v>852</v>
      </c>
      <c r="G260" s="183"/>
      <c r="H260" s="179"/>
      <c r="I260" s="179"/>
      <c r="J260" s="183"/>
      <c r="K260" s="183" t="s">
        <v>68</v>
      </c>
      <c r="L260" s="183" t="s">
        <v>733</v>
      </c>
      <c r="M260" s="183"/>
      <c r="N260" s="183"/>
      <c r="O260" s="172">
        <v>57.86</v>
      </c>
      <c r="P260" s="172">
        <v>57.81</v>
      </c>
      <c r="Q260" s="172">
        <v>55.09</v>
      </c>
      <c r="R260" s="193">
        <v>56.86</v>
      </c>
      <c r="S260" s="510">
        <v>57.626600000000003</v>
      </c>
      <c r="T260" s="550">
        <v>56.99</v>
      </c>
      <c r="U260" s="175"/>
      <c r="V260" s="176">
        <v>200</v>
      </c>
      <c r="W260" s="194"/>
      <c r="X260" s="205" t="s">
        <v>460</v>
      </c>
      <c r="Y260" s="177" t="s">
        <v>80</v>
      </c>
      <c r="Z260" s="178" t="s">
        <v>853</v>
      </c>
      <c r="AA260" s="176" t="s">
        <v>59</v>
      </c>
      <c r="AB260" s="178" t="s">
        <v>65</v>
      </c>
      <c r="AC260" s="179"/>
      <c r="AD260" s="171"/>
      <c r="AE260" s="171"/>
      <c r="AF260" s="171"/>
      <c r="AG260" s="171"/>
      <c r="AH260" s="171"/>
      <c r="AI260" s="174" t="s">
        <v>59</v>
      </c>
      <c r="AJ260" s="170"/>
      <c r="AK260" s="170"/>
      <c r="AL260" s="170"/>
      <c r="AM260" s="170"/>
      <c r="AN260" s="170"/>
      <c r="AO260" s="170"/>
      <c r="AP260" s="170"/>
      <c r="AQ260" s="170"/>
      <c r="AR260" s="170"/>
      <c r="AS260" s="170"/>
      <c r="AT260" s="170"/>
      <c r="AU260" s="170"/>
      <c r="AV260" s="170"/>
      <c r="AW260" s="170"/>
      <c r="AX260" s="170"/>
      <c r="AY260" s="170"/>
      <c r="AZ260" s="180" t="s">
        <v>59</v>
      </c>
      <c r="BA260" s="171">
        <f>(COUNTIF(AJ260:AL260,"*OK*")*3) + (COUNTIF(AM260:AO260,"*OK*")*2) + COUNTIF(AP260:AR260,"*OK*")+COUNTIF(AZ260:AZ260,"SI")*0.5</f>
        <v>0</v>
      </c>
      <c r="BB260" s="171" t="str">
        <f>IF(BA260&lt;0.6,"Demasiado Riesgo",IF(BA260&lt;=5,"Riesgo Medio",IF(BA260&lt;=11,"Riesgo Bajo","Cliente Blindado")))</f>
        <v>Demasiado Riesgo</v>
      </c>
      <c r="BC260" s="171"/>
      <c r="BD260" s="171"/>
      <c r="BE260" s="171">
        <v>0</v>
      </c>
      <c r="BF260" s="171"/>
      <c r="BG260" s="171"/>
      <c r="BH260" s="171"/>
      <c r="BI260" s="171"/>
      <c r="BJ260" s="171"/>
      <c r="BK260" s="171"/>
      <c r="BL260" s="171"/>
      <c r="BM260" s="171"/>
      <c r="BN260" s="171"/>
      <c r="BO260" s="171"/>
      <c r="BP260" s="171"/>
      <c r="BQ260" s="171"/>
      <c r="BR260" s="171"/>
      <c r="BS260" s="171"/>
      <c r="BT260" s="171"/>
      <c r="BU260" s="171"/>
      <c r="BV260" s="171"/>
      <c r="BW260" s="171"/>
      <c r="BX260" s="171"/>
      <c r="BY260" s="171"/>
      <c r="BZ260" s="171"/>
      <c r="CA260" s="171">
        <f>COUNTIF(AJ260:AX260,"*OK*")</f>
        <v>0</v>
      </c>
      <c r="CB260" s="171"/>
      <c r="CC260" s="171">
        <f>COUNTIF(AJ260:AX260,"*OP*")</f>
        <v>0</v>
      </c>
    </row>
    <row r="261" spans="1:81" ht="15" hidden="1" customHeight="1">
      <c r="A261" s="240"/>
      <c r="B261" s="171"/>
      <c r="C261" s="468">
        <f>T261</f>
        <v>57.14</v>
      </c>
      <c r="D261" s="171">
        <f>COUNTIF(AJ261:AX261,"*OK*")</f>
        <v>0</v>
      </c>
      <c r="E261" s="171"/>
      <c r="F261" s="183" t="s">
        <v>854</v>
      </c>
      <c r="G261" s="183"/>
      <c r="H261" s="179"/>
      <c r="I261" s="179"/>
      <c r="J261" s="183"/>
      <c r="K261" s="192" t="s">
        <v>68</v>
      </c>
      <c r="L261" s="183" t="s">
        <v>733</v>
      </c>
      <c r="M261" s="183"/>
      <c r="N261" s="183"/>
      <c r="O261" s="172"/>
      <c r="P261" s="172">
        <v>57.95</v>
      </c>
      <c r="Q261" s="172">
        <v>55.23</v>
      </c>
      <c r="R261" s="193">
        <v>64.41</v>
      </c>
      <c r="S261" s="510">
        <v>65.281300000000002</v>
      </c>
      <c r="T261" s="550">
        <v>57.14</v>
      </c>
      <c r="U261" s="175"/>
      <c r="V261" s="176">
        <v>100</v>
      </c>
      <c r="W261" s="194"/>
      <c r="X261" s="177" t="s">
        <v>285</v>
      </c>
      <c r="Y261" s="177" t="s">
        <v>80</v>
      </c>
      <c r="Z261" s="178" t="s">
        <v>855</v>
      </c>
      <c r="AA261" s="176" t="s">
        <v>59</v>
      </c>
      <c r="AB261" s="178" t="s">
        <v>65</v>
      </c>
      <c r="AC261" s="179"/>
      <c r="AD261" s="171"/>
      <c r="AE261" s="171"/>
      <c r="AF261" s="171"/>
      <c r="AG261" s="171"/>
      <c r="AH261" s="171"/>
      <c r="AI261" s="174" t="s">
        <v>59</v>
      </c>
      <c r="AJ261" s="170"/>
      <c r="AK261" s="170"/>
      <c r="AL261" s="170"/>
      <c r="AM261" s="170"/>
      <c r="AN261" s="170"/>
      <c r="AO261" s="170"/>
      <c r="AP261" s="170"/>
      <c r="AQ261" s="170"/>
      <c r="AR261" s="170"/>
      <c r="AS261" s="170"/>
      <c r="AT261" s="170"/>
      <c r="AU261" s="170"/>
      <c r="AV261" s="170"/>
      <c r="AW261" s="170"/>
      <c r="AX261" s="170"/>
      <c r="AY261" s="170"/>
      <c r="AZ261" s="180" t="s">
        <v>59</v>
      </c>
      <c r="BA261" s="171">
        <f>(COUNTIF(AJ261:AL261,"*OK*")*3) + (COUNTIF(AM261:AO261,"*OK*")*2) + COUNTIF(AP261:AR261,"*OK*")+COUNTIF(AZ261:AZ261,"SI")*0.5</f>
        <v>0</v>
      </c>
      <c r="BB261" s="171" t="str">
        <f>IF(BA261&lt;0.6,"Demasiado Riesgo",IF(BA261&lt;=5,"Riesgo Medio",IF(BA261&lt;=11,"Riesgo Bajo","Cliente Blindado")))</f>
        <v>Demasiado Riesgo</v>
      </c>
      <c r="BC261" s="171"/>
      <c r="BD261" s="171"/>
      <c r="BE261" s="171">
        <v>0</v>
      </c>
      <c r="BF261" s="171"/>
      <c r="BG261" s="171"/>
      <c r="BH261" s="171"/>
      <c r="BI261" s="171"/>
      <c r="BJ261" s="171"/>
      <c r="BK261" s="171"/>
      <c r="BL261" s="171"/>
      <c r="BM261" s="171"/>
      <c r="BN261" s="171"/>
      <c r="BO261" s="171"/>
      <c r="BP261" s="171"/>
      <c r="BQ261" s="171"/>
      <c r="BR261" s="171"/>
      <c r="BS261" s="171"/>
      <c r="BT261" s="171"/>
      <c r="BU261" s="171"/>
      <c r="BV261" s="171"/>
      <c r="BW261" s="171"/>
      <c r="BX261" s="171"/>
      <c r="BY261" s="171"/>
      <c r="BZ261" s="171"/>
      <c r="CA261" s="171">
        <f>COUNTIF(AJ261:AX261,"*OK*")</f>
        <v>0</v>
      </c>
      <c r="CB261" s="171"/>
      <c r="CC261" s="171">
        <f>COUNTIF(AJ261:AX261,"*OP*")</f>
        <v>0</v>
      </c>
    </row>
    <row r="262" spans="1:81" ht="15" hidden="1" customHeight="1">
      <c r="A262" s="240">
        <v>36100</v>
      </c>
      <c r="B262" s="171"/>
      <c r="C262" s="468">
        <f>T262</f>
        <v>57.14</v>
      </c>
      <c r="D262" s="171">
        <f>COUNTIF(AJ262:AX262,"*OK*")</f>
        <v>0</v>
      </c>
      <c r="E262" s="171"/>
      <c r="F262" s="183" t="s">
        <v>856</v>
      </c>
      <c r="G262" s="183"/>
      <c r="H262" s="179"/>
      <c r="I262" s="179"/>
      <c r="J262" s="183"/>
      <c r="K262" s="192" t="s">
        <v>68</v>
      </c>
      <c r="L262" s="183" t="s">
        <v>733</v>
      </c>
      <c r="M262" s="183"/>
      <c r="N262" s="183"/>
      <c r="O262" s="172"/>
      <c r="P262" s="172">
        <v>57.95</v>
      </c>
      <c r="Q262" s="172">
        <v>55.23</v>
      </c>
      <c r="R262" s="193">
        <v>57</v>
      </c>
      <c r="S262" s="510">
        <v>57.771099999999997</v>
      </c>
      <c r="T262" s="550">
        <v>57.14</v>
      </c>
      <c r="U262" s="175"/>
      <c r="V262" s="176">
        <v>50</v>
      </c>
      <c r="W262" s="194"/>
      <c r="X262" s="209" t="s">
        <v>70</v>
      </c>
      <c r="Y262" s="177" t="s">
        <v>243</v>
      </c>
      <c r="Z262" s="178" t="s">
        <v>857</v>
      </c>
      <c r="AA262" s="176" t="s">
        <v>59</v>
      </c>
      <c r="AB262" s="178" t="s">
        <v>505</v>
      </c>
      <c r="AC262" s="179"/>
      <c r="AD262" s="171"/>
      <c r="AE262" s="171"/>
      <c r="AF262" s="171"/>
      <c r="AG262" s="171"/>
      <c r="AH262" s="171"/>
      <c r="AI262" s="174" t="s">
        <v>59</v>
      </c>
      <c r="AJ262" s="170"/>
      <c r="AK262" s="170"/>
      <c r="AL262" s="170"/>
      <c r="AM262" s="170"/>
      <c r="AN262" s="170"/>
      <c r="AO262" s="170"/>
      <c r="AP262" s="170"/>
      <c r="AQ262" s="170"/>
      <c r="AR262" s="170"/>
      <c r="AS262" s="170"/>
      <c r="AT262" s="170"/>
      <c r="AU262" s="170"/>
      <c r="AV262" s="170"/>
      <c r="AW262" s="170"/>
      <c r="AX262" s="170"/>
      <c r="AY262" s="170"/>
      <c r="AZ262" s="180" t="s">
        <v>59</v>
      </c>
      <c r="BA262" s="171">
        <f>(COUNTIF(AJ262:AL262,"*OK*")*3) + (COUNTIF(AM262:AO262,"*OK*")*2) + COUNTIF(AP262:AR262,"*OK*")+COUNTIF(AZ262:AZ262,"SI")*0.5</f>
        <v>0</v>
      </c>
      <c r="BB262" s="171" t="str">
        <f>IF(BA262&lt;0.6,"Demasiado Riesgo",IF(BA262&lt;=5,"Riesgo Medio",IF(BA262&lt;=11,"Riesgo Bajo","Cliente Blindado")))</f>
        <v>Demasiado Riesgo</v>
      </c>
      <c r="BC262" s="171"/>
      <c r="BD262" s="171"/>
      <c r="BE262" s="171">
        <v>0</v>
      </c>
      <c r="BF262" s="171"/>
      <c r="BG262" s="171"/>
      <c r="BH262" s="171"/>
      <c r="BI262" s="171"/>
      <c r="BJ262" s="171"/>
      <c r="BK262" s="171"/>
      <c r="BL262" s="171"/>
      <c r="BM262" s="171"/>
      <c r="BN262" s="171"/>
      <c r="BO262" s="171"/>
      <c r="BP262" s="171"/>
      <c r="BQ262" s="171"/>
      <c r="BR262" s="171"/>
      <c r="BS262" s="171"/>
      <c r="BT262" s="171"/>
      <c r="BU262" s="171"/>
      <c r="BV262" s="171"/>
      <c r="BW262" s="171"/>
      <c r="BX262" s="171"/>
      <c r="BY262" s="171"/>
      <c r="BZ262" s="171"/>
      <c r="CA262" s="171">
        <f>COUNTIF(AJ262:AX262,"*OK*")</f>
        <v>0</v>
      </c>
      <c r="CB262" s="171"/>
      <c r="CC262" s="171">
        <f>COUNTIF(AJ262:AX262,"*OP*")</f>
        <v>0</v>
      </c>
    </row>
    <row r="263" spans="1:81" ht="15" hidden="1" customHeight="1">
      <c r="A263" s="241">
        <v>23119</v>
      </c>
      <c r="B263" s="160"/>
      <c r="C263" s="468">
        <f>T263</f>
        <v>57.14</v>
      </c>
      <c r="D263" s="160">
        <f>COUNTIF(AJ263:AX263,"*OK*")</f>
        <v>0</v>
      </c>
      <c r="E263" s="160"/>
      <c r="F263" s="182" t="s">
        <v>858</v>
      </c>
      <c r="G263" s="182"/>
      <c r="H263" s="168"/>
      <c r="I263" s="168"/>
      <c r="J263" s="182"/>
      <c r="K263" s="182" t="s">
        <v>68</v>
      </c>
      <c r="L263" s="182" t="s">
        <v>733</v>
      </c>
      <c r="M263" s="182"/>
      <c r="N263" s="182"/>
      <c r="O263" s="161">
        <v>58</v>
      </c>
      <c r="P263" s="161">
        <v>57.95</v>
      </c>
      <c r="Q263" s="161">
        <v>55.23</v>
      </c>
      <c r="R263" s="186">
        <v>57</v>
      </c>
      <c r="S263" s="510">
        <v>57.771099999999997</v>
      </c>
      <c r="T263" s="551">
        <v>57.14</v>
      </c>
      <c r="U263" s="164"/>
      <c r="V263" s="165">
        <v>50</v>
      </c>
      <c r="W263" s="187"/>
      <c r="X263" s="208" t="s">
        <v>70</v>
      </c>
      <c r="Y263" s="166" t="s">
        <v>152</v>
      </c>
      <c r="Z263" s="167" t="s">
        <v>859</v>
      </c>
      <c r="AA263" s="165" t="s">
        <v>132</v>
      </c>
      <c r="AB263" s="167" t="s">
        <v>194</v>
      </c>
      <c r="AC263" s="168"/>
      <c r="AD263" s="160"/>
      <c r="AE263" s="160"/>
      <c r="AF263" s="160"/>
      <c r="AG263" s="160"/>
      <c r="AH263" s="160"/>
      <c r="AI263" s="163" t="s">
        <v>59</v>
      </c>
      <c r="AJ263" s="170"/>
      <c r="AK263" s="170"/>
      <c r="AL263" s="170"/>
      <c r="AM263" s="170"/>
      <c r="AN263" s="170"/>
      <c r="AO263" s="170"/>
      <c r="AP263" s="170"/>
      <c r="AQ263" s="170"/>
      <c r="AR263" s="170"/>
      <c r="AS263" s="170"/>
      <c r="AT263" s="170"/>
      <c r="AU263" s="170"/>
      <c r="AV263" s="170"/>
      <c r="AW263" s="170"/>
      <c r="AX263" s="170"/>
      <c r="AY263" s="170"/>
      <c r="AZ263" s="169" t="s">
        <v>59</v>
      </c>
      <c r="BA263" s="160">
        <f>(COUNTIF(AJ263:AL263,"*OK*")*3) + (COUNTIF(AM263:AO263,"*OK*")*2) + COUNTIF(AP263:AR263,"*OK*")+COUNTIF(AZ263:AZ263,"SI")*0.5</f>
        <v>0</v>
      </c>
      <c r="BB263" s="160" t="str">
        <f>IF(BA263&lt;0.6,"Demasiado Riesgo",IF(BA263&lt;=5,"Riesgo Medio",IF(BA263&lt;=11,"Riesgo Bajo","Cliente Blindado")))</f>
        <v>Demasiado Riesgo</v>
      </c>
      <c r="BC263" s="160"/>
      <c r="BD263" s="160"/>
      <c r="BE263" s="160">
        <v>0</v>
      </c>
      <c r="BF263" s="160"/>
      <c r="BG263" s="160"/>
      <c r="BH263" s="160"/>
      <c r="BI263" s="160"/>
      <c r="BJ263" s="160"/>
      <c r="BK263" s="160"/>
      <c r="BL263" s="160"/>
      <c r="BM263" s="160"/>
      <c r="BN263" s="160"/>
      <c r="BO263" s="160"/>
      <c r="BP263" s="160"/>
      <c r="BQ263" s="160"/>
      <c r="BR263" s="160"/>
      <c r="BS263" s="160"/>
      <c r="BT263" s="160"/>
      <c r="BU263" s="160"/>
      <c r="BV263" s="160"/>
      <c r="BW263" s="160"/>
      <c r="BX263" s="160"/>
      <c r="BY263" s="160"/>
      <c r="BZ263" s="160"/>
      <c r="CA263" s="160">
        <f>COUNTIF(AJ263:AX263,"*OK*")</f>
        <v>0</v>
      </c>
      <c r="CB263" s="160"/>
      <c r="CC263" s="160">
        <f>COUNTIF(AJ263:AX263,"*OP*")</f>
        <v>0</v>
      </c>
    </row>
    <row r="264" spans="1:81" ht="15" hidden="1" customHeight="1">
      <c r="A264" s="240"/>
      <c r="B264" s="171"/>
      <c r="C264" s="468">
        <f>T264</f>
        <v>57.14</v>
      </c>
      <c r="D264" s="171">
        <f>COUNTIF(AN264:AY264,"OK")</f>
        <v>0</v>
      </c>
      <c r="E264" s="171"/>
      <c r="F264" s="171" t="s">
        <v>860</v>
      </c>
      <c r="G264" s="171"/>
      <c r="H264" s="179"/>
      <c r="I264" s="179"/>
      <c r="J264" s="171"/>
      <c r="K264" s="236" t="s">
        <v>68</v>
      </c>
      <c r="L264" s="171" t="s">
        <v>768</v>
      </c>
      <c r="M264" s="171"/>
      <c r="N264" s="171"/>
      <c r="O264" s="161"/>
      <c r="P264" s="161"/>
      <c r="Q264" s="161"/>
      <c r="R264" s="186"/>
      <c r="S264" s="510">
        <v>57.771099999999997</v>
      </c>
      <c r="T264" s="549">
        <v>57.14</v>
      </c>
      <c r="U264" s="175"/>
      <c r="V264" s="176" t="s">
        <v>59</v>
      </c>
      <c r="W264" s="171"/>
      <c r="X264" s="205"/>
      <c r="Y264" s="177"/>
      <c r="Z264" s="178"/>
      <c r="AA264" s="174" t="s">
        <v>59</v>
      </c>
      <c r="AB264" s="178"/>
      <c r="AC264" s="179"/>
      <c r="AD264" s="171"/>
      <c r="AE264" s="171"/>
      <c r="AF264" s="171"/>
      <c r="AG264" s="171"/>
      <c r="AH264" s="171"/>
      <c r="AI264" s="540"/>
      <c r="AJ264" s="543"/>
      <c r="AK264" s="543"/>
      <c r="AL264" s="543"/>
      <c r="AM264" s="543"/>
      <c r="AN264" s="543"/>
      <c r="AO264" s="543"/>
      <c r="AP264" s="543"/>
      <c r="AQ264" s="543"/>
      <c r="AR264" s="543"/>
      <c r="AS264" s="543"/>
      <c r="AT264" s="543"/>
      <c r="AU264" s="543"/>
      <c r="AV264" s="543"/>
      <c r="AW264" s="543"/>
      <c r="AX264" s="543"/>
      <c r="AY264" s="543"/>
      <c r="AZ264" s="546"/>
      <c r="BA264" s="171">
        <f>(COUNTIF(AJ264:AL264,"*OK*")*3) + (COUNTIF(AM264:AO264,"*OK*")*2) + COUNTIF(AP264:AR264,"*OK*")+COUNTIF(AZ264:AZ264,"SI")*0.5</f>
        <v>0</v>
      </c>
      <c r="BB264" s="171" t="str">
        <f>IF(BA264&lt;0.6,"Demasiado Riesgo",IF(BA264&lt;=5,"Riesgo Medio",IF(BA264&lt;=11,"Riesgo Bajo","Cliente Blindado")))</f>
        <v>Demasiado Riesgo</v>
      </c>
      <c r="BC264" s="171"/>
      <c r="BD264" s="171"/>
      <c r="BE264" s="171"/>
      <c r="BF264" s="171"/>
      <c r="BG264" s="171"/>
      <c r="BH264" s="171"/>
      <c r="BI264" s="171"/>
      <c r="BJ264" s="171"/>
      <c r="BK264" s="171"/>
      <c r="BL264" s="171"/>
      <c r="BM264" s="171"/>
      <c r="BN264" s="171"/>
      <c r="BO264" s="171"/>
      <c r="BP264" s="171"/>
      <c r="BQ264" s="171"/>
      <c r="BR264" s="171"/>
      <c r="BS264" s="171"/>
      <c r="BT264" s="171"/>
      <c r="BU264" s="171"/>
      <c r="BV264" s="171"/>
      <c r="BW264" s="171"/>
      <c r="BX264" s="171"/>
      <c r="BY264" s="171"/>
      <c r="BZ264" s="171"/>
      <c r="CA264" s="171">
        <f>COUNTIF(AJ264:AX264,"*OK*")</f>
        <v>0</v>
      </c>
      <c r="CB264" s="171"/>
      <c r="CC264" s="171"/>
    </row>
    <row r="265" spans="1:81" ht="15" hidden="1" customHeight="1">
      <c r="A265" s="240"/>
      <c r="B265" s="171"/>
      <c r="C265" s="468">
        <f>T265</f>
        <v>57.14</v>
      </c>
      <c r="D265" s="171">
        <f>COUNTIF(AN265:AY265,"OK")</f>
        <v>0</v>
      </c>
      <c r="E265" s="171"/>
      <c r="F265" s="171" t="s">
        <v>861</v>
      </c>
      <c r="G265" s="171"/>
      <c r="H265" s="179"/>
      <c r="I265" s="179"/>
      <c r="J265" s="171"/>
      <c r="K265" s="236" t="s">
        <v>68</v>
      </c>
      <c r="L265" s="171" t="s">
        <v>768</v>
      </c>
      <c r="M265" s="171"/>
      <c r="N265" s="171"/>
      <c r="O265" s="161"/>
      <c r="P265" s="161"/>
      <c r="Q265" s="161"/>
      <c r="R265" s="186"/>
      <c r="S265" s="510">
        <v>57.771099999999997</v>
      </c>
      <c r="T265" s="549">
        <v>57.14</v>
      </c>
      <c r="U265" s="175"/>
      <c r="V265" s="176" t="s">
        <v>59</v>
      </c>
      <c r="W265" s="171"/>
      <c r="X265" s="205"/>
      <c r="Y265" s="177"/>
      <c r="Z265" s="178"/>
      <c r="AA265" s="174" t="s">
        <v>59</v>
      </c>
      <c r="AB265" s="178"/>
      <c r="AC265" s="179"/>
      <c r="AD265" s="171"/>
      <c r="AE265" s="171"/>
      <c r="AF265" s="171"/>
      <c r="AG265" s="171"/>
      <c r="AH265" s="171"/>
      <c r="AI265" s="540"/>
      <c r="AJ265" s="543"/>
      <c r="AK265" s="543"/>
      <c r="AL265" s="543"/>
      <c r="AM265" s="543"/>
      <c r="AN265" s="543"/>
      <c r="AO265" s="543"/>
      <c r="AP265" s="543"/>
      <c r="AQ265" s="543"/>
      <c r="AR265" s="543"/>
      <c r="AS265" s="543"/>
      <c r="AT265" s="543"/>
      <c r="AU265" s="543"/>
      <c r="AV265" s="543"/>
      <c r="AW265" s="543"/>
      <c r="AX265" s="543"/>
      <c r="AY265" s="543"/>
      <c r="AZ265" s="546"/>
      <c r="BA265" s="171">
        <f>(COUNTIF(AJ265:AL265,"*OK*")*3) + (COUNTIF(AM265:AO265,"*OK*")*2) + COUNTIF(AP265:AR265,"*OK*")+COUNTIF(AZ265:AZ265,"SI")*0.5</f>
        <v>0</v>
      </c>
      <c r="BB265" s="171" t="str">
        <f>IF(BA265&lt;0.6,"Demasiado Riesgo",IF(BA265&lt;=5,"Riesgo Medio",IF(BA265&lt;=11,"Riesgo Bajo","Cliente Blindado")))</f>
        <v>Demasiado Riesgo</v>
      </c>
      <c r="BC265" s="171"/>
      <c r="BD265" s="171"/>
      <c r="BE265" s="171"/>
      <c r="BF265" s="171"/>
      <c r="BG265" s="171"/>
      <c r="BH265" s="171"/>
      <c r="BI265" s="171"/>
      <c r="BJ265" s="171"/>
      <c r="BK265" s="171"/>
      <c r="BL265" s="171"/>
      <c r="BM265" s="171"/>
      <c r="BN265" s="171"/>
      <c r="BO265" s="171"/>
      <c r="BP265" s="171"/>
      <c r="BQ265" s="171"/>
      <c r="BR265" s="171"/>
      <c r="BS265" s="171"/>
      <c r="BT265" s="171"/>
      <c r="BU265" s="171"/>
      <c r="BV265" s="171"/>
      <c r="BW265" s="171"/>
      <c r="BX265" s="171"/>
      <c r="BY265" s="171"/>
      <c r="BZ265" s="171"/>
      <c r="CA265" s="171">
        <f>COUNTIF(AJ265:AX265,"*OK*")</f>
        <v>0</v>
      </c>
      <c r="CB265" s="171"/>
      <c r="CC265" s="171"/>
    </row>
    <row r="266" spans="1:81" ht="15" hidden="1" customHeight="1">
      <c r="A266" s="240">
        <v>27462</v>
      </c>
      <c r="B266" s="171"/>
      <c r="C266" s="468">
        <f>T266</f>
        <v>57.77</v>
      </c>
      <c r="D266" s="171">
        <f>COUNTIF(AJ266:AX266,"*OK*")</f>
        <v>0</v>
      </c>
      <c r="E266" s="171"/>
      <c r="F266" s="183" t="s">
        <v>862</v>
      </c>
      <c r="G266" s="183"/>
      <c r="H266" s="179"/>
      <c r="I266" s="179"/>
      <c r="J266" s="183"/>
      <c r="K266" s="183" t="s">
        <v>68</v>
      </c>
      <c r="L266" s="183" t="s">
        <v>733</v>
      </c>
      <c r="M266" s="183"/>
      <c r="N266" s="183"/>
      <c r="O266" s="172">
        <v>58.64</v>
      </c>
      <c r="P266" s="172">
        <v>63.09</v>
      </c>
      <c r="Q266" s="172">
        <v>64.42</v>
      </c>
      <c r="R266" s="193">
        <v>66.5</v>
      </c>
      <c r="S266" s="510">
        <v>53.9131</v>
      </c>
      <c r="T266" s="554">
        <v>57.77</v>
      </c>
      <c r="U266" s="175"/>
      <c r="V266" s="176">
        <v>100</v>
      </c>
      <c r="W266" s="194"/>
      <c r="X266" s="209" t="s">
        <v>70</v>
      </c>
      <c r="Y266" s="177" t="s">
        <v>243</v>
      </c>
      <c r="Z266" s="178" t="s">
        <v>863</v>
      </c>
      <c r="AA266" s="176" t="s">
        <v>59</v>
      </c>
      <c r="AB266" s="178" t="s">
        <v>65</v>
      </c>
      <c r="AC266" s="179"/>
      <c r="AD266" s="171"/>
      <c r="AE266" s="171"/>
      <c r="AF266" s="171"/>
      <c r="AG266" s="171"/>
      <c r="AH266" s="171"/>
      <c r="AI266" s="174" t="s">
        <v>59</v>
      </c>
      <c r="AJ266" s="170"/>
      <c r="AK266" s="170"/>
      <c r="AL266" s="170"/>
      <c r="AM266" s="170"/>
      <c r="AN266" s="170"/>
      <c r="AO266" s="170"/>
      <c r="AP266" s="170"/>
      <c r="AQ266" s="170"/>
      <c r="AR266" s="170"/>
      <c r="AS266" s="170"/>
      <c r="AT266" s="170"/>
      <c r="AU266" s="170"/>
      <c r="AV266" s="170"/>
      <c r="AW266" s="170"/>
      <c r="AX266" s="170"/>
      <c r="AY266" s="170"/>
      <c r="AZ266" s="180" t="s">
        <v>59</v>
      </c>
      <c r="BA266" s="171">
        <f>(COUNTIF(AJ266:AL266,"*OK*")*3) + (COUNTIF(AM266:AO266,"*OK*")*2) + COUNTIF(AP266:AR266,"*OK*")+COUNTIF(AZ266:AZ266,"SI")*0.5</f>
        <v>0</v>
      </c>
      <c r="BB266" s="171" t="str">
        <f>IF(BA266&lt;0.6,"Demasiado Riesgo",IF(BA266&lt;=5,"Riesgo Medio",IF(BA266&lt;=11,"Riesgo Bajo","Cliente Blindado")))</f>
        <v>Demasiado Riesgo</v>
      </c>
      <c r="BC266" s="171"/>
      <c r="BD266" s="171"/>
      <c r="BE266" s="171">
        <v>0</v>
      </c>
      <c r="BF266" s="171"/>
      <c r="BG266" s="171"/>
      <c r="BH266" s="171"/>
      <c r="BI266" s="171"/>
      <c r="BJ266" s="171"/>
      <c r="BK266" s="171"/>
      <c r="BL266" s="171"/>
      <c r="BM266" s="171"/>
      <c r="BN266" s="171"/>
      <c r="BO266" s="171"/>
      <c r="BP266" s="171"/>
      <c r="BQ266" s="171"/>
      <c r="BR266" s="171"/>
      <c r="BS266" s="171"/>
      <c r="BT266" s="171"/>
      <c r="BU266" s="171"/>
      <c r="BV266" s="171"/>
      <c r="BW266" s="171"/>
      <c r="BX266" s="171"/>
      <c r="BY266" s="171"/>
      <c r="BZ266" s="171"/>
      <c r="CA266" s="171">
        <f>COUNTIF(AJ266:AX266,"*OK*")</f>
        <v>0</v>
      </c>
      <c r="CB266" s="171"/>
      <c r="CC266" s="171">
        <f>COUNTIF(AJ266:AX266,"*OP*")</f>
        <v>0</v>
      </c>
    </row>
    <row r="267" spans="1:81" ht="15" hidden="1" customHeight="1">
      <c r="A267" s="240">
        <v>21971</v>
      </c>
      <c r="B267" s="171"/>
      <c r="C267" s="468">
        <f>T267</f>
        <v>58.14</v>
      </c>
      <c r="D267" s="171">
        <f>COUNTIF(AJ267:AX267,"*OK*")</f>
        <v>0</v>
      </c>
      <c r="E267" s="171"/>
      <c r="F267" s="183" t="s">
        <v>864</v>
      </c>
      <c r="G267" s="183"/>
      <c r="H267" s="179"/>
      <c r="I267" s="179"/>
      <c r="J267" s="183"/>
      <c r="K267" s="183" t="s">
        <v>68</v>
      </c>
      <c r="L267" s="183" t="s">
        <v>733</v>
      </c>
      <c r="M267" s="183"/>
      <c r="N267" s="183"/>
      <c r="O267" s="172">
        <v>53.89</v>
      </c>
      <c r="P267" s="172">
        <v>56.4</v>
      </c>
      <c r="Q267" s="172">
        <v>53.75</v>
      </c>
      <c r="R267" s="193">
        <v>55.48</v>
      </c>
      <c r="S267" s="510">
        <v>56.227400000000003</v>
      </c>
      <c r="T267" s="554">
        <v>58.14</v>
      </c>
      <c r="U267" s="175"/>
      <c r="V267" s="176">
        <v>100</v>
      </c>
      <c r="W267" s="194"/>
      <c r="X267" s="209" t="s">
        <v>70</v>
      </c>
      <c r="Y267" s="177" t="s">
        <v>363</v>
      </c>
      <c r="Z267" s="178" t="s">
        <v>865</v>
      </c>
      <c r="AA267" s="176" t="s">
        <v>59</v>
      </c>
      <c r="AB267" s="178" t="s">
        <v>65</v>
      </c>
      <c r="AC267" s="179"/>
      <c r="AD267" s="171"/>
      <c r="AE267" s="171"/>
      <c r="AF267" s="171"/>
      <c r="AG267" s="171"/>
      <c r="AH267" s="171"/>
      <c r="AI267" s="174" t="s">
        <v>59</v>
      </c>
      <c r="AJ267" s="170"/>
      <c r="AK267" s="170"/>
      <c r="AL267" s="170"/>
      <c r="AM267" s="170"/>
      <c r="AN267" s="170"/>
      <c r="AO267" s="170"/>
      <c r="AP267" s="170"/>
      <c r="AQ267" s="170"/>
      <c r="AR267" s="170"/>
      <c r="AS267" s="170"/>
      <c r="AT267" s="170"/>
      <c r="AU267" s="170"/>
      <c r="AV267" s="170"/>
      <c r="AW267" s="170"/>
      <c r="AX267" s="170"/>
      <c r="AY267" s="170"/>
      <c r="AZ267" s="180" t="s">
        <v>59</v>
      </c>
      <c r="BA267" s="171">
        <f>(COUNTIF(AJ267:AL267,"*OK*")*3) + (COUNTIF(AM267:AO267,"*OK*")*2) + COUNTIF(AP267:AR267,"*OK*")+COUNTIF(AZ267:AZ267,"SI")*0.5</f>
        <v>0</v>
      </c>
      <c r="BB267" s="171" t="str">
        <f>IF(BA267&lt;0.6,"Demasiado Riesgo",IF(BA267&lt;=5,"Riesgo Medio",IF(BA267&lt;=11,"Riesgo Bajo","Cliente Blindado")))</f>
        <v>Demasiado Riesgo</v>
      </c>
      <c r="BC267" s="171"/>
      <c r="BD267" s="171"/>
      <c r="BE267" s="171">
        <v>0</v>
      </c>
      <c r="BF267" s="171"/>
      <c r="BG267" s="171"/>
      <c r="BH267" s="171"/>
      <c r="BI267" s="171"/>
      <c r="BJ267" s="171"/>
      <c r="BK267" s="171"/>
      <c r="BL267" s="171"/>
      <c r="BM267" s="171"/>
      <c r="BN267" s="171"/>
      <c r="BO267" s="171"/>
      <c r="BP267" s="171"/>
      <c r="BQ267" s="171"/>
      <c r="BR267" s="171"/>
      <c r="BS267" s="171"/>
      <c r="BT267" s="171"/>
      <c r="BU267" s="171"/>
      <c r="BV267" s="171"/>
      <c r="BW267" s="171"/>
      <c r="BX267" s="171"/>
      <c r="BY267" s="171"/>
      <c r="BZ267" s="171"/>
      <c r="CA267" s="171">
        <f>COUNTIF(AJ267:AX267,"*OK*")</f>
        <v>0</v>
      </c>
      <c r="CB267" s="171"/>
      <c r="CC267" s="171">
        <f>COUNTIF(AJ267:AX267,"*OP*")</f>
        <v>0</v>
      </c>
    </row>
    <row r="268" spans="1:81" ht="15" hidden="1" customHeight="1">
      <c r="A268" s="240">
        <v>34818</v>
      </c>
      <c r="B268" s="171"/>
      <c r="C268" s="468">
        <f>T268</f>
        <v>59.99</v>
      </c>
      <c r="D268" s="171">
        <f>COUNTIF(AJ268:AX268,"*OK*")</f>
        <v>0</v>
      </c>
      <c r="E268" s="171"/>
      <c r="F268" s="183" t="s">
        <v>866</v>
      </c>
      <c r="G268" s="183"/>
      <c r="H268" s="179"/>
      <c r="I268" s="179"/>
      <c r="J268" s="183"/>
      <c r="K268" s="192" t="s">
        <v>68</v>
      </c>
      <c r="L268" s="183" t="s">
        <v>733</v>
      </c>
      <c r="M268" s="183"/>
      <c r="N268" s="183"/>
      <c r="O268" s="172">
        <v>60.9</v>
      </c>
      <c r="P268" s="172">
        <v>60.85</v>
      </c>
      <c r="Q268" s="172">
        <v>57.99</v>
      </c>
      <c r="R268" s="193">
        <v>59.85</v>
      </c>
      <c r="S268" s="510">
        <v>60.659599999999998</v>
      </c>
      <c r="T268" s="550">
        <v>59.99</v>
      </c>
      <c r="U268" s="175"/>
      <c r="V268" s="176">
        <v>50</v>
      </c>
      <c r="W268" s="194"/>
      <c r="X268" s="209" t="s">
        <v>70</v>
      </c>
      <c r="Y268" s="177" t="s">
        <v>71</v>
      </c>
      <c r="Z268" s="178" t="s">
        <v>74</v>
      </c>
      <c r="AA268" s="176" t="s">
        <v>59</v>
      </c>
      <c r="AB268" s="178" t="s">
        <v>65</v>
      </c>
      <c r="AC268" s="179"/>
      <c r="AD268" s="171"/>
      <c r="AE268" s="171"/>
      <c r="AF268" s="171"/>
      <c r="AG268" s="171"/>
      <c r="AH268" s="171"/>
      <c r="AI268" s="174" t="s">
        <v>59</v>
      </c>
      <c r="AJ268" s="170"/>
      <c r="AK268" s="170"/>
      <c r="AL268" s="170"/>
      <c r="AM268" s="170"/>
      <c r="AN268" s="170"/>
      <c r="AO268" s="170"/>
      <c r="AP268" s="170"/>
      <c r="AQ268" s="170"/>
      <c r="AR268" s="170"/>
      <c r="AS268" s="170"/>
      <c r="AT268" s="170"/>
      <c r="AU268" s="170"/>
      <c r="AV268" s="170"/>
      <c r="AW268" s="170"/>
      <c r="AX268" s="170"/>
      <c r="AY268" s="170"/>
      <c r="AZ268" s="180" t="s">
        <v>59</v>
      </c>
      <c r="BA268" s="171">
        <f>(COUNTIF(AJ268:AL268,"*OK*")*3) + (COUNTIF(AM268:AO268,"*OK*")*2) + COUNTIF(AP268:AR268,"*OK*")+COUNTIF(AZ268:AZ268,"SI")*0.5</f>
        <v>0</v>
      </c>
      <c r="BB268" s="171" t="str">
        <f>IF(BA268&lt;0.6,"Demasiado Riesgo",IF(BA268&lt;=5,"Riesgo Medio",IF(BA268&lt;=11,"Riesgo Bajo","Cliente Blindado")))</f>
        <v>Demasiado Riesgo</v>
      </c>
      <c r="BC268" s="171"/>
      <c r="BD268" s="171"/>
      <c r="BE268" s="171">
        <v>0</v>
      </c>
      <c r="BF268" s="171"/>
      <c r="BG268" s="171"/>
      <c r="BH268" s="171"/>
      <c r="BI268" s="171"/>
      <c r="BJ268" s="171"/>
      <c r="BK268" s="171"/>
      <c r="BL268" s="171"/>
      <c r="BM268" s="171"/>
      <c r="BN268" s="171"/>
      <c r="BO268" s="171"/>
      <c r="BP268" s="171"/>
      <c r="BQ268" s="171"/>
      <c r="BR268" s="171"/>
      <c r="BS268" s="171"/>
      <c r="BT268" s="171"/>
      <c r="BU268" s="171"/>
      <c r="BV268" s="171"/>
      <c r="BW268" s="171"/>
      <c r="BX268" s="171"/>
      <c r="BY268" s="171"/>
      <c r="BZ268" s="171"/>
      <c r="CA268" s="171">
        <f>COUNTIF(AJ268:AX268,"*OK*")</f>
        <v>0</v>
      </c>
      <c r="CB268" s="171"/>
      <c r="CC268" s="171">
        <f>COUNTIF(AJ268:AX268,"*OP*")</f>
        <v>0</v>
      </c>
    </row>
    <row r="269" spans="1:81" ht="15" hidden="1" customHeight="1">
      <c r="A269" s="241">
        <v>34850</v>
      </c>
      <c r="B269" s="160"/>
      <c r="C269" s="468">
        <f>T269</f>
        <v>60.85</v>
      </c>
      <c r="D269" s="160">
        <f>COUNTIF(AJ269:AX269,"*OK*")</f>
        <v>0</v>
      </c>
      <c r="E269" s="160"/>
      <c r="F269" s="182" t="s">
        <v>867</v>
      </c>
      <c r="G269" s="182"/>
      <c r="H269" s="168"/>
      <c r="I269" s="168"/>
      <c r="J269" s="182"/>
      <c r="K269" s="185" t="s">
        <v>68</v>
      </c>
      <c r="L269" s="182" t="s">
        <v>733</v>
      </c>
      <c r="M269" s="182"/>
      <c r="N269" s="182"/>
      <c r="O269" s="161">
        <v>65.540000000000006</v>
      </c>
      <c r="P269" s="161">
        <v>65.48</v>
      </c>
      <c r="Q269" s="161">
        <v>62.41</v>
      </c>
      <c r="R269" s="186">
        <v>60.71</v>
      </c>
      <c r="S269" s="510">
        <v>61.526200000000003</v>
      </c>
      <c r="T269" s="551">
        <v>60.85</v>
      </c>
      <c r="U269" s="164"/>
      <c r="V269" s="165">
        <v>50</v>
      </c>
      <c r="W269" s="187"/>
      <c r="X269" s="208" t="s">
        <v>70</v>
      </c>
      <c r="Y269" s="166" t="s">
        <v>152</v>
      </c>
      <c r="Z269" s="167" t="s">
        <v>868</v>
      </c>
      <c r="AA269" s="165" t="s">
        <v>132</v>
      </c>
      <c r="AB269" s="167" t="s">
        <v>194</v>
      </c>
      <c r="AC269" s="168"/>
      <c r="AD269" s="160"/>
      <c r="AE269" s="160"/>
      <c r="AF269" s="160"/>
      <c r="AG269" s="160"/>
      <c r="AH269" s="160"/>
      <c r="AI269" s="163" t="s">
        <v>59</v>
      </c>
      <c r="AJ269" s="170"/>
      <c r="AK269" s="170"/>
      <c r="AL269" s="170"/>
      <c r="AM269" s="170"/>
      <c r="AN269" s="170"/>
      <c r="AO269" s="170"/>
      <c r="AP269" s="170"/>
      <c r="AQ269" s="170"/>
      <c r="AR269" s="170"/>
      <c r="AS269" s="170"/>
      <c r="AT269" s="170"/>
      <c r="AU269" s="170"/>
      <c r="AV269" s="170"/>
      <c r="AW269" s="170"/>
      <c r="AX269" s="170"/>
      <c r="AY269" s="170"/>
      <c r="AZ269" s="169" t="s">
        <v>59</v>
      </c>
      <c r="BA269" s="160">
        <f>(COUNTIF(AJ269:AL269,"*OK*")*3) + (COUNTIF(AM269:AO269,"*OK*")*2) + COUNTIF(AP269:AR269,"*OK*")+COUNTIF(AZ269:AZ269,"SI")*0.5</f>
        <v>0</v>
      </c>
      <c r="BB269" s="160" t="str">
        <f>IF(BA269&lt;0.6,"Demasiado Riesgo",IF(BA269&lt;=5,"Riesgo Medio",IF(BA269&lt;=11,"Riesgo Bajo","Cliente Blindado")))</f>
        <v>Demasiado Riesgo</v>
      </c>
      <c r="BC269" s="160"/>
      <c r="BD269" s="160"/>
      <c r="BE269" s="160">
        <v>0</v>
      </c>
      <c r="BF269" s="160"/>
      <c r="BG269" s="160"/>
      <c r="BH269" s="160"/>
      <c r="BI269" s="160"/>
      <c r="BJ269" s="160"/>
      <c r="BK269" s="160"/>
      <c r="BL269" s="160"/>
      <c r="BM269" s="160"/>
      <c r="BN269" s="160"/>
      <c r="BO269" s="160"/>
      <c r="BP269" s="160"/>
      <c r="BQ269" s="160"/>
      <c r="BR269" s="160"/>
      <c r="BS269" s="160"/>
      <c r="BT269" s="160"/>
      <c r="BU269" s="160"/>
      <c r="BV269" s="160"/>
      <c r="BW269" s="160"/>
      <c r="BX269" s="160"/>
      <c r="BY269" s="160"/>
      <c r="BZ269" s="160"/>
      <c r="CA269" s="160">
        <f>COUNTIF(AJ269:AX269,"*OK*")</f>
        <v>0</v>
      </c>
      <c r="CB269" s="160"/>
      <c r="CC269" s="160">
        <f>COUNTIF(AJ269:AX269,"*OP*")</f>
        <v>0</v>
      </c>
    </row>
    <row r="270" spans="1:81" ht="15" hidden="1" customHeight="1">
      <c r="A270" s="241"/>
      <c r="B270" s="160"/>
      <c r="C270" s="468">
        <f>T270</f>
        <v>62.2</v>
      </c>
      <c r="D270" s="160">
        <f>COUNTIF(AJ270:AX270,"*OK*")</f>
        <v>0</v>
      </c>
      <c r="E270" s="160"/>
      <c r="F270" s="182" t="s">
        <v>869</v>
      </c>
      <c r="G270" s="182"/>
      <c r="H270" s="168"/>
      <c r="I270" s="168"/>
      <c r="J270" s="182"/>
      <c r="K270" s="182" t="s">
        <v>68</v>
      </c>
      <c r="L270" s="182" t="s">
        <v>733</v>
      </c>
      <c r="M270" s="182"/>
      <c r="N270" s="182"/>
      <c r="O270" s="161">
        <v>60.14</v>
      </c>
      <c r="P270" s="161">
        <v>63.09</v>
      </c>
      <c r="Q270" s="161">
        <v>60.12</v>
      </c>
      <c r="R270" s="186">
        <v>62.06</v>
      </c>
      <c r="S270" s="510">
        <v>62.8919</v>
      </c>
      <c r="T270" s="551">
        <v>62.2</v>
      </c>
      <c r="U270" s="164"/>
      <c r="V270" s="165">
        <v>50</v>
      </c>
      <c r="W270" s="187"/>
      <c r="X270" s="208" t="s">
        <v>70</v>
      </c>
      <c r="Y270" s="166" t="s">
        <v>71</v>
      </c>
      <c r="Z270" s="167" t="s">
        <v>870</v>
      </c>
      <c r="AA270" s="165" t="s">
        <v>59</v>
      </c>
      <c r="AB270" s="167" t="s">
        <v>65</v>
      </c>
      <c r="AC270" s="168"/>
      <c r="AD270" s="160"/>
      <c r="AE270" s="160"/>
      <c r="AF270" s="160"/>
      <c r="AG270" s="160"/>
      <c r="AH270" s="160"/>
      <c r="AI270" s="163" t="s">
        <v>59</v>
      </c>
      <c r="AJ270" s="170"/>
      <c r="AK270" s="170"/>
      <c r="AL270" s="170"/>
      <c r="AM270" s="170"/>
      <c r="AN270" s="170"/>
      <c r="AO270" s="170"/>
      <c r="AP270" s="170"/>
      <c r="AQ270" s="170"/>
      <c r="AR270" s="170"/>
      <c r="AS270" s="170"/>
      <c r="AT270" s="170"/>
      <c r="AU270" s="170"/>
      <c r="AV270" s="170"/>
      <c r="AW270" s="170"/>
      <c r="AX270" s="170"/>
      <c r="AY270" s="170"/>
      <c r="AZ270" s="169" t="s">
        <v>59</v>
      </c>
      <c r="BA270" s="160">
        <f>(COUNTIF(AJ270:AL270,"*OK*")*3) + (COUNTIF(AM270:AO270,"*OK*")*2) + COUNTIF(AP270:AR270,"*OK*")+COUNTIF(AZ270:AZ270,"SI")*0.5</f>
        <v>0</v>
      </c>
      <c r="BB270" s="160" t="str">
        <f>IF(BA270&lt;0.6,"Demasiado Riesgo",IF(BA270&lt;=5,"Riesgo Medio",IF(BA270&lt;=11,"Riesgo Bajo","Cliente Blindado")))</f>
        <v>Demasiado Riesgo</v>
      </c>
      <c r="BC270" s="160"/>
      <c r="BD270" s="160"/>
      <c r="BE270" s="160">
        <v>0</v>
      </c>
      <c r="BF270" s="160"/>
      <c r="BG270" s="160"/>
      <c r="BH270" s="160"/>
      <c r="BI270" s="160"/>
      <c r="BJ270" s="160"/>
      <c r="BK270" s="160"/>
      <c r="BL270" s="160"/>
      <c r="BM270" s="160"/>
      <c r="BN270" s="160"/>
      <c r="BO270" s="160"/>
      <c r="BP270" s="160"/>
      <c r="BQ270" s="160"/>
      <c r="BR270" s="160"/>
      <c r="BS270" s="160"/>
      <c r="BT270" s="160"/>
      <c r="BU270" s="160"/>
      <c r="BV270" s="160"/>
      <c r="BW270" s="160"/>
      <c r="BX270" s="160"/>
      <c r="BY270" s="160"/>
      <c r="BZ270" s="160"/>
      <c r="CA270" s="160">
        <f>COUNTIF(AJ270:AX270,"*OK*")</f>
        <v>0</v>
      </c>
      <c r="CB270" s="160"/>
      <c r="CC270" s="160">
        <f>COUNTIF(AJ270:AX270,"*OP*")</f>
        <v>0</v>
      </c>
    </row>
    <row r="271" spans="1:81" ht="15" hidden="1" customHeight="1">
      <c r="A271" s="241">
        <v>23171</v>
      </c>
      <c r="B271" s="160"/>
      <c r="C271" s="468">
        <f>T271</f>
        <v>64.010000000000005</v>
      </c>
      <c r="D271" s="160">
        <f>COUNTIF(AJ271:AX271,"*OK*")</f>
        <v>1</v>
      </c>
      <c r="E271" s="160"/>
      <c r="F271" s="182" t="s">
        <v>871</v>
      </c>
      <c r="G271" s="182"/>
      <c r="H271" s="168"/>
      <c r="I271" s="168"/>
      <c r="J271" s="182"/>
      <c r="K271" s="182" t="s">
        <v>68</v>
      </c>
      <c r="L271" s="182" t="s">
        <v>733</v>
      </c>
      <c r="M271" s="182"/>
      <c r="N271" s="182"/>
      <c r="O271" s="161">
        <v>64.98</v>
      </c>
      <c r="P271" s="161">
        <v>64.92</v>
      </c>
      <c r="Q271" s="161">
        <v>61.87</v>
      </c>
      <c r="R271" s="186">
        <v>63.86</v>
      </c>
      <c r="S271" s="510">
        <v>64.722099999999998</v>
      </c>
      <c r="T271" s="551">
        <v>64.010000000000005</v>
      </c>
      <c r="U271" s="164"/>
      <c r="V271" s="165">
        <v>200</v>
      </c>
      <c r="W271" s="187"/>
      <c r="X271" s="208" t="s">
        <v>70</v>
      </c>
      <c r="Y271" s="166" t="s">
        <v>80</v>
      </c>
      <c r="Z271" s="167" t="s">
        <v>872</v>
      </c>
      <c r="AA271" s="165" t="s">
        <v>286</v>
      </c>
      <c r="AB271" s="167" t="s">
        <v>288</v>
      </c>
      <c r="AC271" s="168"/>
      <c r="AD271" s="160"/>
      <c r="AE271" s="160"/>
      <c r="AF271" s="160"/>
      <c r="AG271" s="160"/>
      <c r="AH271" s="160"/>
      <c r="AI271" s="163" t="s">
        <v>59</v>
      </c>
      <c r="AJ271" s="170"/>
      <c r="AK271" s="170"/>
      <c r="AL271" s="590" t="s">
        <v>111</v>
      </c>
      <c r="AM271" s="170"/>
      <c r="AN271" s="170"/>
      <c r="AO271" s="170"/>
      <c r="AP271" s="170"/>
      <c r="AQ271" s="170"/>
      <c r="AR271" s="170"/>
      <c r="AS271" s="170"/>
      <c r="AT271" s="170"/>
      <c r="AU271" s="170"/>
      <c r="AV271" s="170"/>
      <c r="AW271" s="170"/>
      <c r="AX271" s="170"/>
      <c r="AY271" s="170"/>
      <c r="AZ271" s="169" t="s">
        <v>59</v>
      </c>
      <c r="BA271" s="160">
        <f>(COUNTIF(AJ271:AL271,"*OK*")*3) + (COUNTIF(AM271:AO271,"*OK*")*2) + COUNTIF(AP271:AR271,"*OK*")+COUNTIF(AZ271:AZ271,"SI")*0.5</f>
        <v>3</v>
      </c>
      <c r="BB271" s="160" t="str">
        <f>IF(BA271&lt;0.6,"Demasiado Riesgo",IF(BA271&lt;=5,"Riesgo Medio",IF(BA271&lt;=11,"Riesgo Bajo","Cliente Blindado")))</f>
        <v>Riesgo Medio</v>
      </c>
      <c r="BC271" s="160"/>
      <c r="BD271" s="160"/>
      <c r="BE271" s="160">
        <v>0</v>
      </c>
      <c r="BF271" s="160"/>
      <c r="BG271" s="160"/>
      <c r="BH271" s="160"/>
      <c r="BI271" s="160"/>
      <c r="BJ271" s="160"/>
      <c r="BK271" s="160"/>
      <c r="BL271" s="160"/>
      <c r="BM271" s="160"/>
      <c r="BN271" s="160"/>
      <c r="BO271" s="160"/>
      <c r="BP271" s="160"/>
      <c r="BQ271" s="160"/>
      <c r="BR271" s="160"/>
      <c r="BS271" s="160"/>
      <c r="BT271" s="160"/>
      <c r="BU271" s="160"/>
      <c r="BV271" s="160"/>
      <c r="BW271" s="160"/>
      <c r="BX271" s="160"/>
      <c r="BY271" s="160"/>
      <c r="BZ271" s="160"/>
      <c r="CA271" s="160">
        <f>COUNTIF(AJ271:AX271,"*OK*")</f>
        <v>1</v>
      </c>
      <c r="CB271" s="160"/>
      <c r="CC271" s="160">
        <f>COUNTIF(AJ271:AX271,"*OP*")</f>
        <v>0</v>
      </c>
    </row>
    <row r="272" spans="1:81" ht="15" hidden="1" customHeight="1">
      <c r="A272" s="241">
        <v>34913</v>
      </c>
      <c r="B272" s="160"/>
      <c r="C272" s="468">
        <f>T272</f>
        <v>65.989999999999995</v>
      </c>
      <c r="D272" s="160">
        <f>COUNTIF(AJ272:AX272,"*OK*")</f>
        <v>0</v>
      </c>
      <c r="E272" s="160"/>
      <c r="F272" s="182" t="s">
        <v>873</v>
      </c>
      <c r="G272" s="182"/>
      <c r="H272" s="168"/>
      <c r="I272" s="168"/>
      <c r="J272" s="182"/>
      <c r="K272" s="185" t="s">
        <v>68</v>
      </c>
      <c r="L272" s="182" t="s">
        <v>733</v>
      </c>
      <c r="M272" s="182"/>
      <c r="N272" s="182"/>
      <c r="O272" s="161">
        <v>60.9</v>
      </c>
      <c r="P272" s="161">
        <v>77.069999999999993</v>
      </c>
      <c r="Q272" s="161">
        <v>75.38</v>
      </c>
      <c r="R272" s="186">
        <v>65.84</v>
      </c>
      <c r="S272" s="510">
        <v>72.791600000000003</v>
      </c>
      <c r="T272" s="551">
        <v>65.989999999999995</v>
      </c>
      <c r="U272" s="164"/>
      <c r="V272" s="165">
        <v>50</v>
      </c>
      <c r="W272" s="187"/>
      <c r="X272" s="203" t="s">
        <v>441</v>
      </c>
      <c r="Y272" s="166" t="s">
        <v>71</v>
      </c>
      <c r="Z272" s="167" t="s">
        <v>874</v>
      </c>
      <c r="AA272" s="165" t="s">
        <v>91</v>
      </c>
      <c r="AB272" s="167" t="s">
        <v>61</v>
      </c>
      <c r="AC272" s="168"/>
      <c r="AD272" s="160"/>
      <c r="AE272" s="160"/>
      <c r="AF272" s="160"/>
      <c r="AG272" s="160"/>
      <c r="AH272" s="160"/>
      <c r="AI272" s="163" t="s">
        <v>59</v>
      </c>
      <c r="AJ272" s="170"/>
      <c r="AK272" s="170"/>
      <c r="AL272" s="170"/>
      <c r="AM272" s="170"/>
      <c r="AN272" s="170"/>
      <c r="AO272" s="170"/>
      <c r="AP272" s="170"/>
      <c r="AQ272" s="170"/>
      <c r="AR272" s="170"/>
      <c r="AS272" s="170"/>
      <c r="AT272" s="170"/>
      <c r="AU272" s="170"/>
      <c r="AV272" s="170"/>
      <c r="AW272" s="170"/>
      <c r="AX272" s="170"/>
      <c r="AY272" s="170"/>
      <c r="AZ272" s="169" t="s">
        <v>59</v>
      </c>
      <c r="BA272" s="160">
        <f>(COUNTIF(AJ272:AL272,"*OK*")*3) + (COUNTIF(AM272:AO272,"*OK*")*2) + COUNTIF(AP272:AR272,"*OK*")+COUNTIF(AZ272:AZ272,"SI")*0.5</f>
        <v>0</v>
      </c>
      <c r="BB272" s="160" t="str">
        <f>IF(BA272&lt;0.6,"Demasiado Riesgo",IF(BA272&lt;=5,"Riesgo Medio",IF(BA272&lt;=11,"Riesgo Bajo","Cliente Blindado")))</f>
        <v>Demasiado Riesgo</v>
      </c>
      <c r="BC272" s="160"/>
      <c r="BD272" s="160"/>
      <c r="BE272" s="160">
        <v>0</v>
      </c>
      <c r="BF272" s="160"/>
      <c r="BG272" s="160"/>
      <c r="BH272" s="160"/>
      <c r="BI272" s="160"/>
      <c r="BJ272" s="160"/>
      <c r="BK272" s="160"/>
      <c r="BL272" s="160"/>
      <c r="BM272" s="160"/>
      <c r="BN272" s="160"/>
      <c r="BO272" s="160"/>
      <c r="BP272" s="160"/>
      <c r="BQ272" s="160"/>
      <c r="BR272" s="160"/>
      <c r="BS272" s="160"/>
      <c r="BT272" s="160"/>
      <c r="BU272" s="160"/>
      <c r="BV272" s="160"/>
      <c r="BW272" s="160"/>
      <c r="BX272" s="160"/>
      <c r="BY272" s="160"/>
      <c r="BZ272" s="160"/>
      <c r="CA272" s="160">
        <f>COUNTIF(AJ272:AX272,"*OK*")</f>
        <v>0</v>
      </c>
      <c r="CB272" s="160"/>
      <c r="CC272" s="160">
        <f>COUNTIF(AJ272:AX272,"*OP*")</f>
        <v>0</v>
      </c>
    </row>
    <row r="273" spans="1:81" ht="15" hidden="1" customHeight="1">
      <c r="A273" s="240"/>
      <c r="B273" s="171"/>
      <c r="C273" s="468">
        <f>T273</f>
        <v>66.67</v>
      </c>
      <c r="D273" s="171">
        <f>COUNTIF(AJ273:AX273,"*OK*")</f>
        <v>0</v>
      </c>
      <c r="E273" s="171"/>
      <c r="F273" s="183" t="s">
        <v>875</v>
      </c>
      <c r="G273" s="183"/>
      <c r="H273" s="179"/>
      <c r="I273" s="179"/>
      <c r="J273" s="183"/>
      <c r="K273" s="183" t="s">
        <v>68</v>
      </c>
      <c r="L273" s="183" t="s">
        <v>733</v>
      </c>
      <c r="M273" s="183"/>
      <c r="N273" s="183"/>
      <c r="O273" s="172">
        <v>93.06</v>
      </c>
      <c r="P273" s="172">
        <v>90.16</v>
      </c>
      <c r="Q273" s="172">
        <v>88.61</v>
      </c>
      <c r="R273" s="193">
        <v>91.46</v>
      </c>
      <c r="S273" s="510">
        <v>87.073700000000002</v>
      </c>
      <c r="T273" s="550">
        <v>66.67</v>
      </c>
      <c r="U273" s="175"/>
      <c r="V273" s="176">
        <v>300</v>
      </c>
      <c r="W273" s="194"/>
      <c r="X273" s="205" t="s">
        <v>253</v>
      </c>
      <c r="Y273" s="177" t="s">
        <v>80</v>
      </c>
      <c r="Z273" s="178" t="s">
        <v>876</v>
      </c>
      <c r="AA273" s="176" t="s">
        <v>59</v>
      </c>
      <c r="AB273" s="178" t="s">
        <v>65</v>
      </c>
      <c r="AC273" s="179"/>
      <c r="AD273" s="171"/>
      <c r="AE273" s="171"/>
      <c r="AF273" s="171"/>
      <c r="AG273" s="171"/>
      <c r="AH273" s="171"/>
      <c r="AI273" s="174" t="s">
        <v>59</v>
      </c>
      <c r="AJ273" s="170"/>
      <c r="AK273" s="170"/>
      <c r="AL273" s="170"/>
      <c r="AM273" s="170"/>
      <c r="AN273" s="170"/>
      <c r="AO273" s="170"/>
      <c r="AP273" s="170"/>
      <c r="AQ273" s="170"/>
      <c r="AR273" s="170"/>
      <c r="AS273" s="170"/>
      <c r="AT273" s="170"/>
      <c r="AU273" s="170"/>
      <c r="AV273" s="170"/>
      <c r="AW273" s="170"/>
      <c r="AX273" s="170"/>
      <c r="AY273" s="170"/>
      <c r="AZ273" s="180" t="s">
        <v>59</v>
      </c>
      <c r="BA273" s="171">
        <f>(COUNTIF(AJ273:AL273,"*OK*")*3) + (COUNTIF(AM273:AO273,"*OK*")*2) + COUNTIF(AP273:AR273,"*OK*")+COUNTIF(AZ273:AZ273,"SI")*0.5</f>
        <v>0</v>
      </c>
      <c r="BB273" s="171" t="str">
        <f>IF(BA273&lt;0.6,"Demasiado Riesgo",IF(BA273&lt;=5,"Riesgo Medio",IF(BA273&lt;=11,"Riesgo Bajo","Cliente Blindado")))</f>
        <v>Demasiado Riesgo</v>
      </c>
      <c r="BC273" s="171"/>
      <c r="BD273" s="171"/>
      <c r="BE273" s="171">
        <v>0</v>
      </c>
      <c r="BF273" s="171"/>
      <c r="BG273" s="171"/>
      <c r="BH273" s="171"/>
      <c r="BI273" s="171"/>
      <c r="BJ273" s="171"/>
      <c r="BK273" s="171"/>
      <c r="BL273" s="171"/>
      <c r="BM273" s="171"/>
      <c r="BN273" s="171"/>
      <c r="BO273" s="171"/>
      <c r="BP273" s="171"/>
      <c r="BQ273" s="171"/>
      <c r="BR273" s="171"/>
      <c r="BS273" s="171"/>
      <c r="BT273" s="171"/>
      <c r="BU273" s="171"/>
      <c r="BV273" s="171"/>
      <c r="BW273" s="171"/>
      <c r="BX273" s="171"/>
      <c r="BY273" s="171"/>
      <c r="BZ273" s="171"/>
      <c r="CA273" s="171">
        <f>COUNTIF(AJ273:AX273,"*OK*")</f>
        <v>0</v>
      </c>
      <c r="CB273" s="171"/>
      <c r="CC273" s="171">
        <f>COUNTIF(AJ273:AX273,"*OP*")</f>
        <v>0</v>
      </c>
    </row>
    <row r="274" spans="1:81" ht="15" hidden="1" customHeight="1">
      <c r="A274" s="241">
        <v>30729</v>
      </c>
      <c r="B274" s="160"/>
      <c r="C274" s="468">
        <f>T274</f>
        <v>67.540000000000006</v>
      </c>
      <c r="D274" s="160">
        <f>COUNTIF(AJ274:AX274,"*OK*")</f>
        <v>0</v>
      </c>
      <c r="E274" s="160"/>
      <c r="F274" s="182" t="s">
        <v>877</v>
      </c>
      <c r="G274" s="182"/>
      <c r="H274" s="168"/>
      <c r="I274" s="168"/>
      <c r="J274" s="182"/>
      <c r="K274" s="182" t="s">
        <v>68</v>
      </c>
      <c r="L274" s="182" t="s">
        <v>733</v>
      </c>
      <c r="M274" s="182"/>
      <c r="N274" s="182"/>
      <c r="O274" s="161">
        <v>72.17</v>
      </c>
      <c r="P274" s="161">
        <v>68.5</v>
      </c>
      <c r="Q274" s="161">
        <v>58.41</v>
      </c>
      <c r="R274" s="186">
        <v>67.38</v>
      </c>
      <c r="S274" s="510">
        <v>68.284800000000004</v>
      </c>
      <c r="T274" s="551">
        <v>67.540000000000006</v>
      </c>
      <c r="U274" s="164"/>
      <c r="V274" s="165">
        <v>200</v>
      </c>
      <c r="W274" s="187"/>
      <c r="X274" s="208" t="s">
        <v>70</v>
      </c>
      <c r="Y274" s="166" t="s">
        <v>243</v>
      </c>
      <c r="Z274" s="167" t="s">
        <v>878</v>
      </c>
      <c r="AA274" s="165" t="s">
        <v>243</v>
      </c>
      <c r="AB274" s="167" t="s">
        <v>505</v>
      </c>
      <c r="AC274" s="168"/>
      <c r="AD274" s="160"/>
      <c r="AE274" s="160"/>
      <c r="AF274" s="160"/>
      <c r="AG274" s="160"/>
      <c r="AH274" s="160"/>
      <c r="AI274" s="163" t="s">
        <v>59</v>
      </c>
      <c r="AJ274" s="170"/>
      <c r="AK274" s="170"/>
      <c r="AL274" s="170"/>
      <c r="AM274" s="170"/>
      <c r="AN274" s="170"/>
      <c r="AO274" s="170"/>
      <c r="AP274" s="170"/>
      <c r="AQ274" s="170"/>
      <c r="AR274" s="170"/>
      <c r="AS274" s="170"/>
      <c r="AT274" s="170"/>
      <c r="AU274" s="170"/>
      <c r="AV274" s="170"/>
      <c r="AW274" s="170"/>
      <c r="AX274" s="170"/>
      <c r="AY274" s="170"/>
      <c r="AZ274" s="169" t="s">
        <v>59</v>
      </c>
      <c r="BA274" s="160">
        <f>(COUNTIF(AJ274:AL274,"*OK*")*3) + (COUNTIF(AM274:AO274,"*OK*")*2) + COUNTIF(AP274:AR274,"*OK*")+COUNTIF(AZ274:AZ274,"SI")*0.5</f>
        <v>0</v>
      </c>
      <c r="BB274" s="160" t="str">
        <f>IF(BA274&lt;0.6,"Demasiado Riesgo",IF(BA274&lt;=5,"Riesgo Medio",IF(BA274&lt;=11,"Riesgo Bajo","Cliente Blindado")))</f>
        <v>Demasiado Riesgo</v>
      </c>
      <c r="BC274" s="160"/>
      <c r="BD274" s="160"/>
      <c r="BE274" s="160">
        <v>0</v>
      </c>
      <c r="BF274" s="160"/>
      <c r="BG274" s="160"/>
      <c r="BH274" s="160"/>
      <c r="BI274" s="160"/>
      <c r="BJ274" s="160"/>
      <c r="BK274" s="160"/>
      <c r="BL274" s="160"/>
      <c r="BM274" s="160"/>
      <c r="BN274" s="160"/>
      <c r="BO274" s="160"/>
      <c r="BP274" s="160"/>
      <c r="BQ274" s="160"/>
      <c r="BR274" s="160"/>
      <c r="BS274" s="160"/>
      <c r="BT274" s="160"/>
      <c r="BU274" s="160"/>
      <c r="BV274" s="160"/>
      <c r="BW274" s="160"/>
      <c r="BX274" s="160"/>
      <c r="BY274" s="160"/>
      <c r="BZ274" s="160"/>
      <c r="CA274" s="160">
        <f>COUNTIF(AJ274:AX274,"*OK*")</f>
        <v>0</v>
      </c>
      <c r="CB274" s="160"/>
      <c r="CC274" s="160">
        <f>COUNTIF(AJ274:AX274,"*OP*")</f>
        <v>0</v>
      </c>
    </row>
    <row r="275" spans="1:81" ht="15" hidden="1" customHeight="1">
      <c r="A275" s="240"/>
      <c r="B275" s="171"/>
      <c r="C275" s="468">
        <f>T275</f>
        <v>67.64</v>
      </c>
      <c r="D275" s="171">
        <f>COUNTIF(AJ275:AX275,"*OK*")</f>
        <v>0</v>
      </c>
      <c r="E275" s="171"/>
      <c r="F275" s="183" t="s">
        <v>879</v>
      </c>
      <c r="G275" s="183"/>
      <c r="H275" s="179"/>
      <c r="I275" s="179"/>
      <c r="J275" s="183"/>
      <c r="K275" s="183" t="s">
        <v>68</v>
      </c>
      <c r="L275" s="183" t="s">
        <v>733</v>
      </c>
      <c r="M275" s="183"/>
      <c r="N275" s="183"/>
      <c r="O275" s="172">
        <v>77.25</v>
      </c>
      <c r="P275" s="172">
        <v>68.599999999999994</v>
      </c>
      <c r="Q275" s="172">
        <v>65.38</v>
      </c>
      <c r="R275" s="193">
        <v>67.48</v>
      </c>
      <c r="S275" s="510">
        <v>68.3917</v>
      </c>
      <c r="T275" s="550">
        <v>67.64</v>
      </c>
      <c r="U275" s="175"/>
      <c r="V275" s="176">
        <v>100</v>
      </c>
      <c r="W275" s="194"/>
      <c r="X275" s="209" t="s">
        <v>70</v>
      </c>
      <c r="Y275" s="177" t="s">
        <v>71</v>
      </c>
      <c r="Z275" s="178" t="s">
        <v>880</v>
      </c>
      <c r="AA275" s="176" t="s">
        <v>71</v>
      </c>
      <c r="AB275" s="178" t="s">
        <v>159</v>
      </c>
      <c r="AC275" s="179"/>
      <c r="AD275" s="171"/>
      <c r="AE275" s="171"/>
      <c r="AF275" s="171"/>
      <c r="AG275" s="171"/>
      <c r="AH275" s="171"/>
      <c r="AI275" s="174" t="s">
        <v>59</v>
      </c>
      <c r="AJ275" s="170"/>
      <c r="AK275" s="170"/>
      <c r="AL275" s="170"/>
      <c r="AM275" s="170"/>
      <c r="AN275" s="170"/>
      <c r="AO275" s="170"/>
      <c r="AP275" s="170"/>
      <c r="AQ275" s="170"/>
      <c r="AR275" s="170"/>
      <c r="AS275" s="170"/>
      <c r="AT275" s="170"/>
      <c r="AU275" s="170"/>
      <c r="AV275" s="170"/>
      <c r="AW275" s="170"/>
      <c r="AX275" s="170"/>
      <c r="AY275" s="170"/>
      <c r="AZ275" s="180" t="s">
        <v>59</v>
      </c>
      <c r="BA275" s="171">
        <f>(COUNTIF(AJ275:AL275,"*OK*")*3) + (COUNTIF(AM275:AO275,"*OK*")*2) + COUNTIF(AP275:AR275,"*OK*")+COUNTIF(AZ275:AZ275,"SI")*0.5</f>
        <v>0</v>
      </c>
      <c r="BB275" s="171" t="str">
        <f>IF(BA275&lt;0.6,"Demasiado Riesgo",IF(BA275&lt;=5,"Riesgo Medio",IF(BA275&lt;=11,"Riesgo Bajo","Cliente Blindado")))</f>
        <v>Demasiado Riesgo</v>
      </c>
      <c r="BC275" s="171"/>
      <c r="BD275" s="171"/>
      <c r="BE275" s="171">
        <v>0</v>
      </c>
      <c r="BF275" s="171"/>
      <c r="BG275" s="171"/>
      <c r="BH275" s="171"/>
      <c r="BI275" s="171"/>
      <c r="BJ275" s="171"/>
      <c r="BK275" s="171"/>
      <c r="BL275" s="171"/>
      <c r="BM275" s="171"/>
      <c r="BN275" s="171"/>
      <c r="BO275" s="171"/>
      <c r="BP275" s="171"/>
      <c r="BQ275" s="171"/>
      <c r="BR275" s="171"/>
      <c r="BS275" s="171"/>
      <c r="BT275" s="171"/>
      <c r="BU275" s="171"/>
      <c r="BV275" s="171"/>
      <c r="BW275" s="171"/>
      <c r="BX275" s="171"/>
      <c r="BY275" s="171"/>
      <c r="BZ275" s="171"/>
      <c r="CA275" s="171">
        <f>COUNTIF(AJ275:AX275,"*OK*")</f>
        <v>0</v>
      </c>
      <c r="CB275" s="171"/>
      <c r="CC275" s="171">
        <f>COUNTIF(AJ275:AX275,"*OP*")</f>
        <v>0</v>
      </c>
    </row>
    <row r="276" spans="1:81" ht="15" hidden="1" customHeight="1">
      <c r="A276" s="240">
        <v>27911</v>
      </c>
      <c r="B276" s="171"/>
      <c r="C276" s="468">
        <f>T276</f>
        <v>68.13</v>
      </c>
      <c r="D276" s="171">
        <f>COUNTIF(AJ276:AX276,"*OK*")</f>
        <v>0</v>
      </c>
      <c r="E276" s="171"/>
      <c r="F276" s="183" t="s">
        <v>881</v>
      </c>
      <c r="G276" s="183"/>
      <c r="H276" s="179"/>
      <c r="I276" s="179"/>
      <c r="J276" s="183"/>
      <c r="K276" s="183" t="s">
        <v>68</v>
      </c>
      <c r="L276" s="183" t="s">
        <v>733</v>
      </c>
      <c r="M276" s="183"/>
      <c r="N276" s="183"/>
      <c r="O276" s="172">
        <v>57.13</v>
      </c>
      <c r="P276" s="172">
        <v>60.08</v>
      </c>
      <c r="Q276" s="172">
        <v>57.26</v>
      </c>
      <c r="R276" s="193">
        <v>56.15</v>
      </c>
      <c r="S276" s="510">
        <v>68.881600000000006</v>
      </c>
      <c r="T276" s="550">
        <v>68.13</v>
      </c>
      <c r="U276" s="175"/>
      <c r="V276" s="176">
        <v>50</v>
      </c>
      <c r="W276" s="194"/>
      <c r="X276" s="211" t="s">
        <v>70</v>
      </c>
      <c r="Y276" s="177" t="s">
        <v>71</v>
      </c>
      <c r="Z276" s="178" t="s">
        <v>882</v>
      </c>
      <c r="AA276" s="176" t="s">
        <v>235</v>
      </c>
      <c r="AB276" s="178" t="s">
        <v>164</v>
      </c>
      <c r="AC276" s="179"/>
      <c r="AD276" s="171"/>
      <c r="AE276" s="171"/>
      <c r="AF276" s="171"/>
      <c r="AG276" s="171"/>
      <c r="AH276" s="171"/>
      <c r="AI276" s="174" t="s">
        <v>59</v>
      </c>
      <c r="AJ276" s="170"/>
      <c r="AK276" s="170"/>
      <c r="AL276" s="170"/>
      <c r="AM276" s="170"/>
      <c r="AN276" s="170"/>
      <c r="AO276" s="170"/>
      <c r="AP276" s="170"/>
      <c r="AQ276" s="170"/>
      <c r="AR276" s="170"/>
      <c r="AS276" s="170"/>
      <c r="AT276" s="170"/>
      <c r="AU276" s="170"/>
      <c r="AV276" s="170"/>
      <c r="AW276" s="170"/>
      <c r="AX276" s="170"/>
      <c r="AY276" s="170"/>
      <c r="AZ276" s="180" t="s">
        <v>59</v>
      </c>
      <c r="BA276" s="171">
        <f>(COUNTIF(AJ276:AL276,"*OK*")*3) + (COUNTIF(AM276:AO276,"*OK*")*2) + COUNTIF(AP276:AR276,"*OK*")+COUNTIF(AZ276:AZ276,"SI")*0.5</f>
        <v>0</v>
      </c>
      <c r="BB276" s="171" t="str">
        <f>IF(BA276&lt;0.6,"Demasiado Riesgo",IF(BA276&lt;=5,"Riesgo Medio",IF(BA276&lt;=11,"Riesgo Bajo","Cliente Blindado")))</f>
        <v>Demasiado Riesgo</v>
      </c>
      <c r="BC276" s="171"/>
      <c r="BD276" s="171"/>
      <c r="BE276" s="171">
        <v>0</v>
      </c>
      <c r="BF276" s="171"/>
      <c r="BG276" s="171"/>
      <c r="BH276" s="171"/>
      <c r="BI276" s="171"/>
      <c r="BJ276" s="171"/>
      <c r="BK276" s="171"/>
      <c r="BL276" s="171"/>
      <c r="BM276" s="171"/>
      <c r="BN276" s="171"/>
      <c r="BO276" s="171"/>
      <c r="BP276" s="171"/>
      <c r="BQ276" s="171"/>
      <c r="BR276" s="171"/>
      <c r="BS276" s="171"/>
      <c r="BT276" s="171"/>
      <c r="BU276" s="171"/>
      <c r="BV276" s="171"/>
      <c r="BW276" s="171"/>
      <c r="BX276" s="171"/>
      <c r="BY276" s="171"/>
      <c r="BZ276" s="171"/>
      <c r="CA276" s="171">
        <f>COUNTIF(AJ276:AX276,"*OK*")</f>
        <v>0</v>
      </c>
      <c r="CB276" s="171"/>
      <c r="CC276" s="171">
        <f>COUNTIF(AJ276:AX276,"*OP*")</f>
        <v>0</v>
      </c>
    </row>
    <row r="277" spans="1:81" ht="15" hidden="1" customHeight="1">
      <c r="A277" s="240">
        <v>36210</v>
      </c>
      <c r="B277" s="171"/>
      <c r="C277" s="468">
        <f>T277</f>
        <v>68.569999999999993</v>
      </c>
      <c r="D277" s="171">
        <f>COUNTIF(AJ277:AX277,"*OK*")</f>
        <v>0</v>
      </c>
      <c r="E277" s="171"/>
      <c r="F277" s="183" t="s">
        <v>883</v>
      </c>
      <c r="G277" s="183"/>
      <c r="H277" s="179"/>
      <c r="I277" s="179"/>
      <c r="J277" s="183"/>
      <c r="K277" s="192" t="s">
        <v>68</v>
      </c>
      <c r="L277" s="183" t="s">
        <v>733</v>
      </c>
      <c r="M277" s="183"/>
      <c r="N277" s="183"/>
      <c r="O277" s="172"/>
      <c r="P277" s="172">
        <v>69.540000000000006</v>
      </c>
      <c r="Q277" s="172">
        <v>66.27</v>
      </c>
      <c r="R277" s="193">
        <v>68.400000000000006</v>
      </c>
      <c r="S277" s="510">
        <v>69.325299999999999</v>
      </c>
      <c r="T277" s="550">
        <v>68.569999999999993</v>
      </c>
      <c r="U277" s="175"/>
      <c r="V277" s="176">
        <v>100</v>
      </c>
      <c r="W277" s="194"/>
      <c r="X277" s="205" t="s">
        <v>834</v>
      </c>
      <c r="Y277" s="177" t="s">
        <v>80</v>
      </c>
      <c r="Z277" s="178" t="s">
        <v>884</v>
      </c>
      <c r="AA277" s="176" t="s">
        <v>71</v>
      </c>
      <c r="AB277" s="178" t="s">
        <v>159</v>
      </c>
      <c r="AC277" s="179"/>
      <c r="AD277" s="171"/>
      <c r="AE277" s="171"/>
      <c r="AF277" s="171"/>
      <c r="AG277" s="171"/>
      <c r="AH277" s="171"/>
      <c r="AI277" s="174" t="s">
        <v>59</v>
      </c>
      <c r="AJ277" s="170"/>
      <c r="AK277" s="170"/>
      <c r="AL277" s="170"/>
      <c r="AM277" s="170"/>
      <c r="AN277" s="170"/>
      <c r="AO277" s="170"/>
      <c r="AP277" s="170"/>
      <c r="AQ277" s="170"/>
      <c r="AR277" s="170"/>
      <c r="AS277" s="170"/>
      <c r="AT277" s="170"/>
      <c r="AU277" s="170"/>
      <c r="AV277" s="170"/>
      <c r="AW277" s="170"/>
      <c r="AX277" s="170"/>
      <c r="AY277" s="170"/>
      <c r="AZ277" s="180" t="s">
        <v>59</v>
      </c>
      <c r="BA277" s="171">
        <f>(COUNTIF(AJ277:AL277,"*OK*")*3) + (COUNTIF(AM277:AO277,"*OK*")*2) + COUNTIF(AP277:AR277,"*OK*")+COUNTIF(AZ277:AZ277,"SI")*0.5</f>
        <v>0</v>
      </c>
      <c r="BB277" s="171" t="str">
        <f>IF(BA277&lt;0.6,"Demasiado Riesgo",IF(BA277&lt;=5,"Riesgo Medio",IF(BA277&lt;=11,"Riesgo Bajo","Cliente Blindado")))</f>
        <v>Demasiado Riesgo</v>
      </c>
      <c r="BC277" s="171"/>
      <c r="BD277" s="171"/>
      <c r="BE277" s="171">
        <v>0</v>
      </c>
      <c r="BF277" s="171"/>
      <c r="BG277" s="171"/>
      <c r="BH277" s="171"/>
      <c r="BI277" s="171"/>
      <c r="BJ277" s="171"/>
      <c r="BK277" s="171"/>
      <c r="BL277" s="171"/>
      <c r="BM277" s="171"/>
      <c r="BN277" s="171"/>
      <c r="BO277" s="171"/>
      <c r="BP277" s="171"/>
      <c r="BQ277" s="171"/>
      <c r="BR277" s="171"/>
      <c r="BS277" s="171"/>
      <c r="BT277" s="171"/>
      <c r="BU277" s="171"/>
      <c r="BV277" s="171"/>
      <c r="BW277" s="171"/>
      <c r="BX277" s="171"/>
      <c r="BY277" s="171"/>
      <c r="BZ277" s="171"/>
      <c r="CA277" s="171">
        <f>COUNTIF(AJ277:AX277,"*OK*")</f>
        <v>0</v>
      </c>
      <c r="CB277" s="171"/>
      <c r="CC277" s="171">
        <f>COUNTIF(AJ277:AX277,"*OP*")</f>
        <v>0</v>
      </c>
    </row>
    <row r="278" spans="1:81" ht="15" hidden="1" customHeight="1">
      <c r="A278" s="241">
        <v>35881</v>
      </c>
      <c r="B278" s="160"/>
      <c r="C278" s="468">
        <f>T278</f>
        <v>69.14</v>
      </c>
      <c r="D278" s="160">
        <f>COUNTIF(AJ278:AX278,"*OK*")</f>
        <v>0</v>
      </c>
      <c r="E278" s="160"/>
      <c r="F278" s="182" t="s">
        <v>885</v>
      </c>
      <c r="G278" s="182"/>
      <c r="H278" s="168"/>
      <c r="I278" s="168"/>
      <c r="J278" s="182"/>
      <c r="K278" s="185" t="s">
        <v>68</v>
      </c>
      <c r="L278" s="182" t="s">
        <v>733</v>
      </c>
      <c r="M278" s="182"/>
      <c r="N278" s="182"/>
      <c r="O278" s="161"/>
      <c r="P278" s="161">
        <v>66.930000000000007</v>
      </c>
      <c r="Q278" s="161">
        <v>66.819999999999993</v>
      </c>
      <c r="R278" s="186">
        <v>72.11</v>
      </c>
      <c r="S278" s="510">
        <v>69.903000000000006</v>
      </c>
      <c r="T278" s="551">
        <v>69.14</v>
      </c>
      <c r="U278" s="164"/>
      <c r="V278" s="165">
        <v>50</v>
      </c>
      <c r="W278" s="187"/>
      <c r="X278" s="207" t="s">
        <v>70</v>
      </c>
      <c r="Y278" s="166" t="s">
        <v>152</v>
      </c>
      <c r="Z278" s="167" t="s">
        <v>886</v>
      </c>
      <c r="AA278" s="165" t="s">
        <v>132</v>
      </c>
      <c r="AB278" s="167" t="s">
        <v>194</v>
      </c>
      <c r="AC278" s="168"/>
      <c r="AD278" s="160"/>
      <c r="AE278" s="160"/>
      <c r="AF278" s="160"/>
      <c r="AG278" s="160"/>
      <c r="AH278" s="160"/>
      <c r="AI278" s="163" t="s">
        <v>59</v>
      </c>
      <c r="AJ278" s="170"/>
      <c r="AK278" s="170"/>
      <c r="AL278" s="170"/>
      <c r="AM278" s="170"/>
      <c r="AN278" s="170"/>
      <c r="AO278" s="170"/>
      <c r="AP278" s="170"/>
      <c r="AQ278" s="170"/>
      <c r="AR278" s="170"/>
      <c r="AS278" s="170"/>
      <c r="AT278" s="170"/>
      <c r="AU278" s="170"/>
      <c r="AV278" s="170"/>
      <c r="AW278" s="170"/>
      <c r="AX278" s="170"/>
      <c r="AY278" s="170"/>
      <c r="AZ278" s="169" t="s">
        <v>59</v>
      </c>
      <c r="BA278" s="160">
        <f>(COUNTIF(AJ278:AL278,"*OK*")*3) + (COUNTIF(AM278:AO278,"*OK*")*2) + COUNTIF(AP278:AR278,"*OK*")+COUNTIF(AZ278:AZ278,"SI")*0.5</f>
        <v>0</v>
      </c>
      <c r="BB278" s="160" t="str">
        <f>IF(BA278&lt;0.6,"Demasiado Riesgo",IF(BA278&lt;=5,"Riesgo Medio",IF(BA278&lt;=11,"Riesgo Bajo","Cliente Blindado")))</f>
        <v>Demasiado Riesgo</v>
      </c>
      <c r="BC278" s="160"/>
      <c r="BD278" s="160"/>
      <c r="BE278" s="160">
        <v>0</v>
      </c>
      <c r="BF278" s="160"/>
      <c r="BG278" s="160"/>
      <c r="BH278" s="160"/>
      <c r="BI278" s="160"/>
      <c r="BJ278" s="160"/>
      <c r="BK278" s="160"/>
      <c r="BL278" s="160"/>
      <c r="BM278" s="160"/>
      <c r="BN278" s="160"/>
      <c r="BO278" s="160"/>
      <c r="BP278" s="160"/>
      <c r="BQ278" s="160"/>
      <c r="BR278" s="160"/>
      <c r="BS278" s="160"/>
      <c r="BT278" s="160"/>
      <c r="BU278" s="160"/>
      <c r="BV278" s="160"/>
      <c r="BW278" s="160"/>
      <c r="BX278" s="160"/>
      <c r="BY278" s="160"/>
      <c r="BZ278" s="160"/>
      <c r="CA278" s="160">
        <f>COUNTIF(AJ278:AX278,"*OK*")</f>
        <v>0</v>
      </c>
      <c r="CB278" s="160"/>
      <c r="CC278" s="160">
        <f>COUNTIF(AJ278:AX278,"*OP*")</f>
        <v>0</v>
      </c>
    </row>
    <row r="279" spans="1:81" ht="15" hidden="1" customHeight="1">
      <c r="A279" s="241"/>
      <c r="B279" s="160"/>
      <c r="C279" s="468">
        <f>T279</f>
        <v>69.319999999999993</v>
      </c>
      <c r="D279" s="160">
        <f>COUNTIF(AJ279:AX279,"*OK*")</f>
        <v>0</v>
      </c>
      <c r="E279" s="160"/>
      <c r="F279" s="182" t="s">
        <v>887</v>
      </c>
      <c r="G279" s="182"/>
      <c r="H279" s="168"/>
      <c r="I279" s="168"/>
      <c r="J279" s="182"/>
      <c r="K279" s="185" t="s">
        <v>68</v>
      </c>
      <c r="L279" s="182" t="s">
        <v>733</v>
      </c>
      <c r="M279" s="182"/>
      <c r="N279" s="182"/>
      <c r="O279" s="161">
        <v>68.81</v>
      </c>
      <c r="P279" s="161">
        <v>68.739999999999995</v>
      </c>
      <c r="Q279" s="161">
        <v>67</v>
      </c>
      <c r="R279" s="186">
        <v>69.16</v>
      </c>
      <c r="S279" s="510">
        <v>73.2029</v>
      </c>
      <c r="T279" s="551">
        <v>69.319999999999993</v>
      </c>
      <c r="U279" s="164"/>
      <c r="V279" s="165">
        <v>100</v>
      </c>
      <c r="W279" s="187"/>
      <c r="X279" s="208" t="s">
        <v>70</v>
      </c>
      <c r="Y279" s="166" t="s">
        <v>89</v>
      </c>
      <c r="Z279" s="167" t="s">
        <v>888</v>
      </c>
      <c r="AA279" s="165" t="s">
        <v>59</v>
      </c>
      <c r="AB279" s="188" t="s">
        <v>65</v>
      </c>
      <c r="AC279" s="168"/>
      <c r="AD279" s="160"/>
      <c r="AE279" s="160"/>
      <c r="AF279" s="160"/>
      <c r="AG279" s="160"/>
      <c r="AH279" s="160"/>
      <c r="AI279" s="163" t="s">
        <v>59</v>
      </c>
      <c r="AJ279" s="170"/>
      <c r="AK279" s="170"/>
      <c r="AL279" s="170"/>
      <c r="AM279" s="170"/>
      <c r="AN279" s="170"/>
      <c r="AO279" s="170"/>
      <c r="AP279" s="170"/>
      <c r="AQ279" s="170"/>
      <c r="AR279" s="170"/>
      <c r="AS279" s="170"/>
      <c r="AT279" s="170"/>
      <c r="AU279" s="170"/>
      <c r="AV279" s="170"/>
      <c r="AW279" s="170"/>
      <c r="AX279" s="170"/>
      <c r="AY279" s="170"/>
      <c r="AZ279" s="169" t="s">
        <v>59</v>
      </c>
      <c r="BA279" s="160">
        <f>(COUNTIF(AJ279:AL279,"*OK*")*3) + (COUNTIF(AM279:AO279,"*OK*")*2) + COUNTIF(AP279:AR279,"*OK*")+COUNTIF(AZ279:AZ279,"SI")*0.5</f>
        <v>0</v>
      </c>
      <c r="BB279" s="160" t="str">
        <f>IF(BA279&lt;0.6,"Demasiado Riesgo",IF(BA279&lt;=5,"Riesgo Medio",IF(BA279&lt;=11,"Riesgo Bajo","Cliente Blindado")))</f>
        <v>Demasiado Riesgo</v>
      </c>
      <c r="BC279" s="160"/>
      <c r="BD279" s="160"/>
      <c r="BE279" s="160">
        <v>0</v>
      </c>
      <c r="BF279" s="160"/>
      <c r="BG279" s="160"/>
      <c r="BH279" s="160"/>
      <c r="BI279" s="160"/>
      <c r="BJ279" s="160"/>
      <c r="BK279" s="160"/>
      <c r="BL279" s="160"/>
      <c r="BM279" s="160"/>
      <c r="BN279" s="160"/>
      <c r="BO279" s="160"/>
      <c r="BP279" s="160"/>
      <c r="BQ279" s="160"/>
      <c r="BR279" s="160"/>
      <c r="BS279" s="160"/>
      <c r="BT279" s="160"/>
      <c r="BU279" s="160"/>
      <c r="BV279" s="160"/>
      <c r="BW279" s="160"/>
      <c r="BX279" s="160"/>
      <c r="BY279" s="160"/>
      <c r="BZ279" s="160"/>
      <c r="CA279" s="160">
        <f>COUNTIF(AJ279:AX279,"*OK*")</f>
        <v>0</v>
      </c>
      <c r="CB279" s="160"/>
      <c r="CC279" s="160">
        <f>COUNTIF(AJ279:AX279,"*OP*")</f>
        <v>0</v>
      </c>
    </row>
    <row r="280" spans="1:81" ht="15" hidden="1" customHeight="1">
      <c r="A280" s="241"/>
      <c r="B280" s="160"/>
      <c r="C280" s="468">
        <f>T280</f>
        <v>71.989999999999995</v>
      </c>
      <c r="D280" s="160">
        <f>COUNTIF(AN280:AY280,"OK")</f>
        <v>0</v>
      </c>
      <c r="E280" s="160"/>
      <c r="F280" s="160" t="s">
        <v>889</v>
      </c>
      <c r="G280" s="160"/>
      <c r="H280" s="168"/>
      <c r="I280" s="168"/>
      <c r="J280" s="160"/>
      <c r="K280" s="220" t="s">
        <v>68</v>
      </c>
      <c r="L280" s="171" t="s">
        <v>768</v>
      </c>
      <c r="M280" s="160"/>
      <c r="N280" s="160"/>
      <c r="O280" s="161"/>
      <c r="P280" s="161"/>
      <c r="Q280" s="161"/>
      <c r="R280" s="186"/>
      <c r="S280" s="510">
        <v>93.011499999999998</v>
      </c>
      <c r="T280" s="552">
        <v>71.989999999999995</v>
      </c>
      <c r="U280" s="164"/>
      <c r="V280" s="165" t="s">
        <v>59</v>
      </c>
      <c r="W280" s="160"/>
      <c r="X280" s="203"/>
      <c r="Y280" s="166"/>
      <c r="Z280" s="167"/>
      <c r="AA280" s="163" t="s">
        <v>59</v>
      </c>
      <c r="AB280" s="167"/>
      <c r="AC280" s="168"/>
      <c r="AD280" s="160"/>
      <c r="AE280" s="160"/>
      <c r="AF280" s="160"/>
      <c r="AG280" s="160"/>
      <c r="AH280" s="160"/>
      <c r="AI280" s="542"/>
      <c r="AJ280" s="543"/>
      <c r="AK280" s="543"/>
      <c r="AL280" s="543"/>
      <c r="AM280" s="543"/>
      <c r="AN280" s="543"/>
      <c r="AO280" s="543"/>
      <c r="AP280" s="543"/>
      <c r="AQ280" s="543"/>
      <c r="AR280" s="543"/>
      <c r="AS280" s="543"/>
      <c r="AT280" s="543"/>
      <c r="AU280" s="543"/>
      <c r="AV280" s="543"/>
      <c r="AW280" s="543"/>
      <c r="AX280" s="543"/>
      <c r="AY280" s="543"/>
      <c r="AZ280" s="547"/>
      <c r="BA280" s="160">
        <f>(COUNTIF(AJ280:AL280,"*OK*")*3) + (COUNTIF(AM280:AO280,"*OK*")*2) + COUNTIF(AP280:AR280,"*OK*")+COUNTIF(AZ280:AZ280,"SI")*0.5</f>
        <v>0</v>
      </c>
      <c r="BB280" s="160" t="str">
        <f>IF(BA280&lt;0.6,"Demasiado Riesgo",IF(BA280&lt;=5,"Riesgo Medio",IF(BA280&lt;=11,"Riesgo Bajo","Cliente Blindado")))</f>
        <v>Demasiado Riesgo</v>
      </c>
      <c r="BC280" s="160"/>
      <c r="BD280" s="160"/>
      <c r="BE280" s="160"/>
      <c r="BF280" s="160"/>
      <c r="BG280" s="160"/>
      <c r="BH280" s="160"/>
      <c r="BI280" s="160"/>
      <c r="BJ280" s="160"/>
      <c r="BK280" s="160"/>
      <c r="BL280" s="160"/>
      <c r="BM280" s="160"/>
      <c r="BN280" s="160"/>
      <c r="BO280" s="160"/>
      <c r="BP280" s="160"/>
      <c r="BQ280" s="160"/>
      <c r="BR280" s="160"/>
      <c r="BS280" s="160"/>
      <c r="BT280" s="160"/>
      <c r="BU280" s="160"/>
      <c r="BV280" s="160"/>
      <c r="BW280" s="160"/>
      <c r="BX280" s="160"/>
      <c r="BY280" s="160"/>
      <c r="BZ280" s="160"/>
      <c r="CA280" s="160">
        <f>COUNTIF(AJ280:AX280,"*OK*")</f>
        <v>0</v>
      </c>
      <c r="CB280" s="160"/>
      <c r="CC280" s="160"/>
    </row>
    <row r="281" spans="1:81" ht="15" hidden="1" customHeight="1">
      <c r="A281" s="240">
        <v>36212</v>
      </c>
      <c r="B281" s="171"/>
      <c r="C281" s="468">
        <f>T281</f>
        <v>72.28</v>
      </c>
      <c r="D281" s="171">
        <f>COUNTIF(AJ281:AX281,"*OK*")</f>
        <v>0</v>
      </c>
      <c r="E281" s="171"/>
      <c r="F281" s="183" t="s">
        <v>890</v>
      </c>
      <c r="G281" s="183"/>
      <c r="H281" s="179"/>
      <c r="I281" s="179"/>
      <c r="J281" s="183"/>
      <c r="K281" s="192" t="s">
        <v>68</v>
      </c>
      <c r="L281" s="183" t="s">
        <v>733</v>
      </c>
      <c r="M281" s="183"/>
      <c r="N281" s="183"/>
      <c r="O281" s="172"/>
      <c r="P281" s="172">
        <v>79.680000000000007</v>
      </c>
      <c r="Q281" s="172">
        <v>69.86</v>
      </c>
      <c r="R281" s="193">
        <v>84.65</v>
      </c>
      <c r="S281" s="510">
        <v>101.6771</v>
      </c>
      <c r="T281" s="550">
        <v>72.28</v>
      </c>
      <c r="U281" s="175"/>
      <c r="V281" s="176">
        <v>50</v>
      </c>
      <c r="W281" s="194"/>
      <c r="X281" s="209" t="s">
        <v>70</v>
      </c>
      <c r="Y281" s="177" t="s">
        <v>302</v>
      </c>
      <c r="Z281" s="178" t="s">
        <v>891</v>
      </c>
      <c r="AA281" s="176" t="s">
        <v>59</v>
      </c>
      <c r="AB281" s="178" t="s">
        <v>104</v>
      </c>
      <c r="AC281" s="179"/>
      <c r="AD281" s="171"/>
      <c r="AE281" s="171"/>
      <c r="AF281" s="171"/>
      <c r="AG281" s="171"/>
      <c r="AH281" s="171"/>
      <c r="AI281" s="174" t="s">
        <v>59</v>
      </c>
      <c r="AJ281" s="170"/>
      <c r="AK281" s="170"/>
      <c r="AL281" s="170"/>
      <c r="AM281" s="170"/>
      <c r="AN281" s="170"/>
      <c r="AO281" s="170"/>
      <c r="AP281" s="170"/>
      <c r="AQ281" s="170"/>
      <c r="AR281" s="170"/>
      <c r="AS281" s="170"/>
      <c r="AT281" s="170"/>
      <c r="AU281" s="170"/>
      <c r="AV281" s="170"/>
      <c r="AW281" s="170"/>
      <c r="AX281" s="170"/>
      <c r="AY281" s="170"/>
      <c r="AZ281" s="180" t="s">
        <v>59</v>
      </c>
      <c r="BA281" s="171">
        <f>(COUNTIF(AJ281:AL281,"*OK*")*3) + (COUNTIF(AM281:AO281,"*OK*")*2) + COUNTIF(AP281:AR281,"*OK*")+COUNTIF(AZ281:AZ281,"SI")*0.5</f>
        <v>0</v>
      </c>
      <c r="BB281" s="171" t="str">
        <f>IF(BA281&lt;0.6,"Demasiado Riesgo",IF(BA281&lt;=5,"Riesgo Medio",IF(BA281&lt;=11,"Riesgo Bajo","Cliente Blindado")))</f>
        <v>Demasiado Riesgo</v>
      </c>
      <c r="BC281" s="171"/>
      <c r="BD281" s="171"/>
      <c r="BE281" s="171">
        <v>0</v>
      </c>
      <c r="BF281" s="171"/>
      <c r="BG281" s="171"/>
      <c r="BH281" s="171"/>
      <c r="BI281" s="171"/>
      <c r="BJ281" s="171"/>
      <c r="BK281" s="171"/>
      <c r="BL281" s="171"/>
      <c r="BM281" s="171"/>
      <c r="BN281" s="171"/>
      <c r="BO281" s="171"/>
      <c r="BP281" s="171"/>
      <c r="BQ281" s="171"/>
      <c r="BR281" s="171"/>
      <c r="BS281" s="171"/>
      <c r="BT281" s="171"/>
      <c r="BU281" s="171"/>
      <c r="BV281" s="171"/>
      <c r="BW281" s="171"/>
      <c r="BX281" s="171"/>
      <c r="BY281" s="171"/>
      <c r="BZ281" s="171"/>
      <c r="CA281" s="171">
        <f>COUNTIF(AJ281:AX281,"*OK*")</f>
        <v>0</v>
      </c>
      <c r="CB281" s="171"/>
      <c r="CC281" s="171">
        <f>COUNTIF(AJ281:AX281,"*OP*")</f>
        <v>0</v>
      </c>
    </row>
    <row r="282" spans="1:81" ht="15" hidden="1" customHeight="1">
      <c r="A282" s="240">
        <v>22223</v>
      </c>
      <c r="B282" s="171"/>
      <c r="C282" s="468">
        <f>T282</f>
        <v>73.5</v>
      </c>
      <c r="D282" s="171">
        <f>COUNTIF(AJ282:AX282,"*OK*")</f>
        <v>0</v>
      </c>
      <c r="E282" s="171"/>
      <c r="F282" s="183" t="s">
        <v>892</v>
      </c>
      <c r="G282" s="183"/>
      <c r="H282" s="179"/>
      <c r="I282" s="179"/>
      <c r="J282" s="183"/>
      <c r="K282" s="183" t="s">
        <v>68</v>
      </c>
      <c r="L282" s="183" t="s">
        <v>733</v>
      </c>
      <c r="M282" s="183"/>
      <c r="N282" s="183"/>
      <c r="O282" s="172">
        <v>56.57</v>
      </c>
      <c r="P282" s="172">
        <v>56.52</v>
      </c>
      <c r="Q282" s="172">
        <v>53.87</v>
      </c>
      <c r="R282" s="193">
        <v>62.69</v>
      </c>
      <c r="S282" s="510">
        <v>74.317300000000003</v>
      </c>
      <c r="T282" s="550">
        <v>73.5</v>
      </c>
      <c r="U282" s="175"/>
      <c r="V282" s="176">
        <v>100</v>
      </c>
      <c r="W282" s="194"/>
      <c r="X282" s="209" t="s">
        <v>70</v>
      </c>
      <c r="Y282" s="177" t="s">
        <v>162</v>
      </c>
      <c r="Z282" s="178" t="s">
        <v>893</v>
      </c>
      <c r="AA282" s="176" t="s">
        <v>162</v>
      </c>
      <c r="AB282" s="178" t="s">
        <v>240</v>
      </c>
      <c r="AC282" s="179"/>
      <c r="AD282" s="171"/>
      <c r="AE282" s="171"/>
      <c r="AF282" s="171"/>
      <c r="AG282" s="171"/>
      <c r="AH282" s="171"/>
      <c r="AI282" s="174" t="s">
        <v>59</v>
      </c>
      <c r="AJ282" s="170"/>
      <c r="AK282" s="170"/>
      <c r="AL282" s="170"/>
      <c r="AM282" s="170"/>
      <c r="AN282" s="170"/>
      <c r="AO282" s="170"/>
      <c r="AP282" s="170"/>
      <c r="AQ282" s="170"/>
      <c r="AR282" s="170"/>
      <c r="AS282" s="170"/>
      <c r="AT282" s="170"/>
      <c r="AU282" s="170"/>
      <c r="AV282" s="170"/>
      <c r="AW282" s="170"/>
      <c r="AX282" s="170"/>
      <c r="AY282" s="170"/>
      <c r="AZ282" s="180" t="s">
        <v>59</v>
      </c>
      <c r="BA282" s="171">
        <f>(COUNTIF(AJ282:AL282,"*OK*")*3) + (COUNTIF(AM282:AO282,"*OK*")*2) + COUNTIF(AP282:AR282,"*OK*")+COUNTIF(AZ282:AZ282,"SI")*0.5</f>
        <v>0</v>
      </c>
      <c r="BB282" s="171" t="str">
        <f>IF(BA282&lt;0.6,"Demasiado Riesgo",IF(BA282&lt;=5,"Riesgo Medio",IF(BA282&lt;=11,"Riesgo Bajo","Cliente Blindado")))</f>
        <v>Demasiado Riesgo</v>
      </c>
      <c r="BC282" s="171"/>
      <c r="BD282" s="171"/>
      <c r="BE282" s="171">
        <v>0</v>
      </c>
      <c r="BF282" s="171"/>
      <c r="BG282" s="171"/>
      <c r="BH282" s="171"/>
      <c r="BI282" s="171"/>
      <c r="BJ282" s="171"/>
      <c r="BK282" s="171"/>
      <c r="BL282" s="171"/>
      <c r="BM282" s="171"/>
      <c r="BN282" s="171"/>
      <c r="BO282" s="171"/>
      <c r="BP282" s="171"/>
      <c r="BQ282" s="171"/>
      <c r="BR282" s="171"/>
      <c r="BS282" s="171"/>
      <c r="BT282" s="171"/>
      <c r="BU282" s="171"/>
      <c r="BV282" s="171"/>
      <c r="BW282" s="171"/>
      <c r="BX282" s="171"/>
      <c r="BY282" s="171"/>
      <c r="BZ282" s="171"/>
      <c r="CA282" s="171">
        <f>COUNTIF(AJ282:AX282,"*OK*")</f>
        <v>0</v>
      </c>
      <c r="CB282" s="171"/>
      <c r="CC282" s="171">
        <f>COUNTIF(AJ282:AX282,"*OP*")</f>
        <v>0</v>
      </c>
    </row>
    <row r="283" spans="1:81" ht="15" hidden="1" customHeight="1">
      <c r="A283" s="240">
        <v>26538</v>
      </c>
      <c r="B283" s="171"/>
      <c r="C283" s="468">
        <f>T283</f>
        <v>74.08</v>
      </c>
      <c r="D283" s="171">
        <f>COUNTIF(AJ283:AX283,"*OK*")</f>
        <v>1</v>
      </c>
      <c r="E283" s="171"/>
      <c r="F283" s="183" t="s">
        <v>894</v>
      </c>
      <c r="G283" s="183"/>
      <c r="H283" s="179"/>
      <c r="I283" s="179"/>
      <c r="J283" s="183"/>
      <c r="K283" s="183" t="s">
        <v>68</v>
      </c>
      <c r="L283" s="183" t="s">
        <v>733</v>
      </c>
      <c r="M283" s="183"/>
      <c r="N283" s="183"/>
      <c r="O283" s="172">
        <v>75.209999999999994</v>
      </c>
      <c r="P283" s="172">
        <v>75.14</v>
      </c>
      <c r="Q283" s="172">
        <v>71.61</v>
      </c>
      <c r="R283" s="193">
        <v>73.91</v>
      </c>
      <c r="S283" s="510">
        <v>74.906000000000006</v>
      </c>
      <c r="T283" s="550">
        <v>74.08</v>
      </c>
      <c r="U283" s="175"/>
      <c r="V283" s="176">
        <v>200</v>
      </c>
      <c r="W283" s="194"/>
      <c r="X283" s="205" t="s">
        <v>253</v>
      </c>
      <c r="Y283" s="177" t="s">
        <v>141</v>
      </c>
      <c r="Z283" s="178" t="s">
        <v>895</v>
      </c>
      <c r="AA283" s="176" t="s">
        <v>59</v>
      </c>
      <c r="AB283" s="178" t="s">
        <v>159</v>
      </c>
      <c r="AC283" s="179"/>
      <c r="AD283" s="171"/>
      <c r="AE283" s="171"/>
      <c r="AF283" s="171"/>
      <c r="AG283" s="171"/>
      <c r="AH283" s="171"/>
      <c r="AI283" s="174" t="s">
        <v>59</v>
      </c>
      <c r="AJ283" s="170"/>
      <c r="AK283" s="170"/>
      <c r="AL283" s="189" t="s">
        <v>111</v>
      </c>
      <c r="AM283" s="170"/>
      <c r="AN283" s="170"/>
      <c r="AO283" s="170"/>
      <c r="AP283" s="170"/>
      <c r="AQ283" s="170"/>
      <c r="AR283" s="170"/>
      <c r="AS283" s="170"/>
      <c r="AT283" s="170"/>
      <c r="AU283" s="170"/>
      <c r="AV283" s="170"/>
      <c r="AW283" s="170"/>
      <c r="AX283" s="170"/>
      <c r="AY283" s="170"/>
      <c r="AZ283" s="180" t="s">
        <v>59</v>
      </c>
      <c r="BA283" s="171">
        <f>(COUNTIF(AJ283:AL283,"*OK*")*3) + (COUNTIF(AM283:AO283,"*OK*")*2) + COUNTIF(AP283:AR283,"*OK*")+COUNTIF(AZ283:AZ283,"SI")*0.5</f>
        <v>3</v>
      </c>
      <c r="BB283" s="171" t="str">
        <f>IF(BA283&lt;0.6,"Demasiado Riesgo",IF(BA283&lt;=5,"Riesgo Medio",IF(BA283&lt;=11,"Riesgo Bajo","Cliente Blindado")))</f>
        <v>Riesgo Medio</v>
      </c>
      <c r="BC283" s="171"/>
      <c r="BD283" s="171"/>
      <c r="BE283" s="171">
        <v>0</v>
      </c>
      <c r="BF283" s="171"/>
      <c r="BG283" s="171"/>
      <c r="BH283" s="171"/>
      <c r="BI283" s="171"/>
      <c r="BJ283" s="171"/>
      <c r="BK283" s="171"/>
      <c r="BL283" s="171"/>
      <c r="BM283" s="171"/>
      <c r="BN283" s="171"/>
      <c r="BO283" s="171"/>
      <c r="BP283" s="171"/>
      <c r="BQ283" s="171"/>
      <c r="BR283" s="171"/>
      <c r="BS283" s="171"/>
      <c r="BT283" s="171"/>
      <c r="BU283" s="171"/>
      <c r="BV283" s="171"/>
      <c r="BW283" s="171"/>
      <c r="BX283" s="171"/>
      <c r="BY283" s="171"/>
      <c r="BZ283" s="171"/>
      <c r="CA283" s="171">
        <f>COUNTIF(AJ283:AX283,"*OK*")</f>
        <v>1</v>
      </c>
      <c r="CB283" s="171"/>
      <c r="CC283" s="171">
        <f>COUNTIF(AJ283:AX283,"*OP*")</f>
        <v>0</v>
      </c>
    </row>
    <row r="284" spans="1:81" ht="15" hidden="1" customHeight="1">
      <c r="A284" s="241"/>
      <c r="B284" s="160"/>
      <c r="C284" s="468">
        <f>T284</f>
        <v>78.849999999999994</v>
      </c>
      <c r="D284" s="160">
        <f>COUNTIF(AN284:AY284,"OK")</f>
        <v>0</v>
      </c>
      <c r="E284" s="160"/>
      <c r="F284" s="160" t="s">
        <v>896</v>
      </c>
      <c r="G284" s="160"/>
      <c r="H284" s="168"/>
      <c r="I284" s="168"/>
      <c r="J284" s="160"/>
      <c r="K284" s="220" t="s">
        <v>68</v>
      </c>
      <c r="L284" s="160" t="s">
        <v>768</v>
      </c>
      <c r="M284" s="160"/>
      <c r="N284" s="160"/>
      <c r="O284" s="161"/>
      <c r="P284" s="161"/>
      <c r="Q284" s="161"/>
      <c r="R284" s="186">
        <v>78.67</v>
      </c>
      <c r="S284" s="510">
        <v>79.724100000000007</v>
      </c>
      <c r="T284" s="552">
        <v>78.849999999999994</v>
      </c>
      <c r="U284" s="164"/>
      <c r="V284" s="165" t="s">
        <v>59</v>
      </c>
      <c r="W284" s="160"/>
      <c r="X284" s="203"/>
      <c r="Y284" s="166"/>
      <c r="Z284" s="167"/>
      <c r="AA284" s="163" t="s">
        <v>59</v>
      </c>
      <c r="AB284" s="167"/>
      <c r="AC284" s="168"/>
      <c r="AD284" s="160"/>
      <c r="AE284" s="160"/>
      <c r="AF284" s="160"/>
      <c r="AG284" s="160"/>
      <c r="AH284" s="160"/>
      <c r="AI284" s="163"/>
      <c r="AJ284" s="170"/>
      <c r="AK284" s="170"/>
      <c r="AL284" s="170"/>
      <c r="AM284" s="170"/>
      <c r="AN284" s="170"/>
      <c r="AO284" s="170"/>
      <c r="AP284" s="170"/>
      <c r="AQ284" s="170"/>
      <c r="AR284" s="170"/>
      <c r="AS284" s="170"/>
      <c r="AT284" s="170"/>
      <c r="AU284" s="170"/>
      <c r="AV284" s="170"/>
      <c r="AW284" s="170"/>
      <c r="AX284" s="170"/>
      <c r="AY284" s="170"/>
      <c r="AZ284" s="169" t="s">
        <v>59</v>
      </c>
      <c r="BA284" s="160">
        <f>(COUNTIF(AJ284:AL284,"*OK*")*3) + (COUNTIF(AM284:AO284,"*OK*")*2) + COUNTIF(AP284:AR284,"*OK*")+COUNTIF(AZ284:AZ284,"SI")*0.5</f>
        <v>0</v>
      </c>
      <c r="BB284" s="160" t="str">
        <f>IF(BA284&lt;0.6,"Demasiado Riesgo",IF(BA284&lt;=5,"Riesgo Medio",IF(BA284&lt;=11,"Riesgo Bajo","Cliente Blindado")))</f>
        <v>Demasiado Riesgo</v>
      </c>
      <c r="BC284" s="160"/>
      <c r="BD284" s="160"/>
      <c r="BE284" s="160"/>
      <c r="BF284" s="160"/>
      <c r="BG284" s="160"/>
      <c r="BH284" s="160"/>
      <c r="BI284" s="160"/>
      <c r="BJ284" s="160"/>
      <c r="BK284" s="160"/>
      <c r="BL284" s="160"/>
      <c r="BM284" s="160"/>
      <c r="BN284" s="160"/>
      <c r="BO284" s="160"/>
      <c r="BP284" s="160"/>
      <c r="BQ284" s="160"/>
      <c r="BR284" s="160"/>
      <c r="BS284" s="160"/>
      <c r="BT284" s="160"/>
      <c r="BU284" s="160"/>
      <c r="BV284" s="160"/>
      <c r="BW284" s="160"/>
      <c r="BX284" s="160"/>
      <c r="BY284" s="160"/>
      <c r="BZ284" s="160"/>
      <c r="CA284" s="160">
        <f>COUNTIF(AJ284:AX284,"*OK*")</f>
        <v>0</v>
      </c>
      <c r="CB284" s="160"/>
      <c r="CC284" s="160">
        <f>COUNTIF(AJ284:AX284,"*OP*")</f>
        <v>0</v>
      </c>
    </row>
    <row r="285" spans="1:81" ht="15" hidden="1" customHeight="1">
      <c r="A285" s="241">
        <v>31677</v>
      </c>
      <c r="B285" s="160"/>
      <c r="C285" s="468">
        <f>T285</f>
        <v>79.98</v>
      </c>
      <c r="D285" s="160">
        <f>COUNTIF(AJ285:AX285,"*OK*")</f>
        <v>0</v>
      </c>
      <c r="E285" s="160"/>
      <c r="F285" s="182" t="s">
        <v>897</v>
      </c>
      <c r="G285" s="182"/>
      <c r="H285" s="168"/>
      <c r="I285" s="168"/>
      <c r="J285" s="182"/>
      <c r="K285" s="182" t="s">
        <v>68</v>
      </c>
      <c r="L285" s="182" t="s">
        <v>733</v>
      </c>
      <c r="M285" s="182"/>
      <c r="N285" s="182"/>
      <c r="O285" s="161">
        <v>73.08</v>
      </c>
      <c r="P285" s="161">
        <v>75.709999999999994</v>
      </c>
      <c r="Q285" s="161">
        <v>72.150000000000006</v>
      </c>
      <c r="R285" s="186">
        <v>74.47</v>
      </c>
      <c r="S285" s="510">
        <v>75.476799999999997</v>
      </c>
      <c r="T285" s="553">
        <v>79.98</v>
      </c>
      <c r="U285" s="164"/>
      <c r="V285" s="165">
        <v>100</v>
      </c>
      <c r="W285" s="187"/>
      <c r="X285" s="208" t="s">
        <v>70</v>
      </c>
      <c r="Y285" s="166" t="s">
        <v>95</v>
      </c>
      <c r="Z285" s="167" t="s">
        <v>898</v>
      </c>
      <c r="AA285" s="165" t="s">
        <v>59</v>
      </c>
      <c r="AB285" s="167" t="s">
        <v>65</v>
      </c>
      <c r="AC285" s="168"/>
      <c r="AD285" s="160"/>
      <c r="AE285" s="160"/>
      <c r="AF285" s="160"/>
      <c r="AG285" s="160"/>
      <c r="AH285" s="160"/>
      <c r="AI285" s="163" t="s">
        <v>59</v>
      </c>
      <c r="AJ285" s="170"/>
      <c r="AK285" s="170"/>
      <c r="AL285" s="170"/>
      <c r="AM285" s="170"/>
      <c r="AN285" s="170"/>
      <c r="AO285" s="170"/>
      <c r="AP285" s="170"/>
      <c r="AQ285" s="170"/>
      <c r="AR285" s="170"/>
      <c r="AS285" s="170"/>
      <c r="AT285" s="170"/>
      <c r="AU285" s="170"/>
      <c r="AV285" s="170"/>
      <c r="AW285" s="170"/>
      <c r="AX285" s="170"/>
      <c r="AY285" s="170"/>
      <c r="AZ285" s="169" t="s">
        <v>59</v>
      </c>
      <c r="BA285" s="160">
        <f>(COUNTIF(AJ285:AL285,"*OK*")*3) + (COUNTIF(AM285:AO285,"*OK*")*2) + COUNTIF(AP285:AR285,"*OK*")+COUNTIF(AZ285:AZ285,"SI")*0.5</f>
        <v>0</v>
      </c>
      <c r="BB285" s="160" t="str">
        <f>IF(BA285&lt;0.6,"Demasiado Riesgo",IF(BA285&lt;=5,"Riesgo Medio",IF(BA285&lt;=11,"Riesgo Bajo","Cliente Blindado")))</f>
        <v>Demasiado Riesgo</v>
      </c>
      <c r="BC285" s="160"/>
      <c r="BD285" s="160"/>
      <c r="BE285" s="160">
        <v>0</v>
      </c>
      <c r="BF285" s="160"/>
      <c r="BG285" s="160"/>
      <c r="BH285" s="160"/>
      <c r="BI285" s="160"/>
      <c r="BJ285" s="160"/>
      <c r="BK285" s="160"/>
      <c r="BL285" s="160"/>
      <c r="BM285" s="160"/>
      <c r="BN285" s="160"/>
      <c r="BO285" s="160"/>
      <c r="BP285" s="160"/>
      <c r="BQ285" s="160"/>
      <c r="BR285" s="160"/>
      <c r="BS285" s="160"/>
      <c r="BT285" s="160"/>
      <c r="BU285" s="160"/>
      <c r="BV285" s="160"/>
      <c r="BW285" s="160"/>
      <c r="BX285" s="160"/>
      <c r="BY285" s="160"/>
      <c r="BZ285" s="160"/>
      <c r="CA285" s="160">
        <f>COUNTIF(AJ285:AX285,"*OK*")</f>
        <v>0</v>
      </c>
      <c r="CB285" s="160"/>
      <c r="CC285" s="160">
        <f>COUNTIF(AJ285:AX285,"*OP*")</f>
        <v>0</v>
      </c>
    </row>
    <row r="286" spans="1:81" ht="15" hidden="1" customHeight="1">
      <c r="A286" s="240"/>
      <c r="B286" s="171"/>
      <c r="C286" s="468">
        <f>T286</f>
        <v>81.510000000000005</v>
      </c>
      <c r="D286" s="171">
        <f>COUNTIF(AJ286:AX286,"*OK*")</f>
        <v>0</v>
      </c>
      <c r="E286" s="171"/>
      <c r="F286" s="183" t="s">
        <v>899</v>
      </c>
      <c r="G286" s="183"/>
      <c r="H286" s="179"/>
      <c r="I286" s="179"/>
      <c r="J286" s="183"/>
      <c r="K286" s="183" t="s">
        <v>68</v>
      </c>
      <c r="L286" s="183" t="s">
        <v>733</v>
      </c>
      <c r="M286" s="183"/>
      <c r="N286" s="183"/>
      <c r="O286" s="172">
        <v>78.98</v>
      </c>
      <c r="P286" s="172">
        <v>86.42</v>
      </c>
      <c r="Q286" s="172">
        <v>75.2</v>
      </c>
      <c r="R286" s="193">
        <v>77.62</v>
      </c>
      <c r="S286" s="510">
        <v>78.663399999999996</v>
      </c>
      <c r="T286" s="554">
        <v>81.510000000000005</v>
      </c>
      <c r="U286" s="175"/>
      <c r="V286" s="176">
        <v>100</v>
      </c>
      <c r="W286" s="194"/>
      <c r="X286" s="211" t="s">
        <v>70</v>
      </c>
      <c r="Y286" s="177" t="s">
        <v>243</v>
      </c>
      <c r="Z286" s="178" t="s">
        <v>900</v>
      </c>
      <c r="AA286" s="176" t="s">
        <v>243</v>
      </c>
      <c r="AB286" s="178" t="s">
        <v>505</v>
      </c>
      <c r="AC286" s="179"/>
      <c r="AD286" s="171"/>
      <c r="AE286" s="171"/>
      <c r="AF286" s="171"/>
      <c r="AG286" s="171"/>
      <c r="AH286" s="171"/>
      <c r="AI286" s="174" t="s">
        <v>59</v>
      </c>
      <c r="AJ286" s="170"/>
      <c r="AK286" s="170"/>
      <c r="AL286" s="170"/>
      <c r="AM286" s="170"/>
      <c r="AN286" s="170"/>
      <c r="AO286" s="170"/>
      <c r="AP286" s="170"/>
      <c r="AQ286" s="170"/>
      <c r="AR286" s="170"/>
      <c r="AS286" s="170"/>
      <c r="AT286" s="170"/>
      <c r="AU286" s="170"/>
      <c r="AV286" s="170"/>
      <c r="AW286" s="170"/>
      <c r="AX286" s="170"/>
      <c r="AY286" s="170"/>
      <c r="AZ286" s="180" t="s">
        <v>59</v>
      </c>
      <c r="BA286" s="171">
        <f>(COUNTIF(AJ286:AL286,"*OK*")*3) + (COUNTIF(AM286:AO286,"*OK*")*2) + COUNTIF(AP286:AR286,"*OK*")+COUNTIF(AZ286:AZ286,"SI")*0.5</f>
        <v>0</v>
      </c>
      <c r="BB286" s="171" t="str">
        <f>IF(BA286&lt;0.6,"Demasiado Riesgo",IF(BA286&lt;=5,"Riesgo Medio",IF(BA286&lt;=11,"Riesgo Bajo","Cliente Blindado")))</f>
        <v>Demasiado Riesgo</v>
      </c>
      <c r="BC286" s="171"/>
      <c r="BD286" s="171"/>
      <c r="BE286" s="171">
        <v>0</v>
      </c>
      <c r="BF286" s="171"/>
      <c r="BG286" s="171"/>
      <c r="BH286" s="171"/>
      <c r="BI286" s="171"/>
      <c r="BJ286" s="171"/>
      <c r="BK286" s="171"/>
      <c r="BL286" s="171"/>
      <c r="BM286" s="171"/>
      <c r="BN286" s="171"/>
      <c r="BO286" s="171"/>
      <c r="BP286" s="171"/>
      <c r="BQ286" s="171"/>
      <c r="BR286" s="171"/>
      <c r="BS286" s="171"/>
      <c r="BT286" s="171"/>
      <c r="BU286" s="171"/>
      <c r="BV286" s="171"/>
      <c r="BW286" s="171"/>
      <c r="BX286" s="171"/>
      <c r="BY286" s="171"/>
      <c r="BZ286" s="171"/>
      <c r="CA286" s="171">
        <f>COUNTIF(AJ286:AX286,"*OK*")</f>
        <v>0</v>
      </c>
      <c r="CB286" s="171"/>
      <c r="CC286" s="171">
        <f>COUNTIF(AJ286:AX286,"*OP*")</f>
        <v>0</v>
      </c>
    </row>
    <row r="287" spans="1:81" ht="15" hidden="1" customHeight="1">
      <c r="A287" s="241">
        <v>18820</v>
      </c>
      <c r="B287" s="160"/>
      <c r="C287" s="468">
        <f>T287</f>
        <v>81.709999999999994</v>
      </c>
      <c r="D287" s="160">
        <f>COUNTIF(AJ287:AX287,"*OK*")</f>
        <v>0</v>
      </c>
      <c r="E287" s="160"/>
      <c r="F287" s="182" t="s">
        <v>901</v>
      </c>
      <c r="G287" s="182"/>
      <c r="H287" s="168"/>
      <c r="I287" s="168"/>
      <c r="J287" s="182"/>
      <c r="K287" s="185" t="s">
        <v>68</v>
      </c>
      <c r="L287" s="182" t="s">
        <v>733</v>
      </c>
      <c r="M287" s="182"/>
      <c r="N287" s="182" t="s">
        <v>136</v>
      </c>
      <c r="O287" s="161"/>
      <c r="P287" s="161"/>
      <c r="Q287" s="161">
        <v>71.790000000000006</v>
      </c>
      <c r="R287" s="186">
        <v>81.52</v>
      </c>
      <c r="S287" s="510">
        <v>82.6126</v>
      </c>
      <c r="T287" s="551">
        <v>81.709999999999994</v>
      </c>
      <c r="U287" s="164"/>
      <c r="V287" s="165">
        <v>100</v>
      </c>
      <c r="W287" s="187"/>
      <c r="X287" s="207" t="s">
        <v>70</v>
      </c>
      <c r="Y287" s="166" t="s">
        <v>71</v>
      </c>
      <c r="Z287" s="167" t="s">
        <v>902</v>
      </c>
      <c r="AA287" s="165" t="s">
        <v>59</v>
      </c>
      <c r="AB287" s="167" t="s">
        <v>65</v>
      </c>
      <c r="AC287" s="168"/>
      <c r="AD287" s="160"/>
      <c r="AE287" s="160"/>
      <c r="AF287" s="160"/>
      <c r="AG287" s="160"/>
      <c r="AH287" s="160"/>
      <c r="AI287" s="163" t="s">
        <v>59</v>
      </c>
      <c r="AJ287" s="170"/>
      <c r="AK287" s="170"/>
      <c r="AL287" s="170"/>
      <c r="AM287" s="170"/>
      <c r="AN287" s="170"/>
      <c r="AO287" s="170"/>
      <c r="AP287" s="170"/>
      <c r="AQ287" s="170"/>
      <c r="AR287" s="170"/>
      <c r="AS287" s="170"/>
      <c r="AT287" s="170"/>
      <c r="AU287" s="170"/>
      <c r="AV287" s="170"/>
      <c r="AW287" s="170"/>
      <c r="AX287" s="170"/>
      <c r="AY287" s="170"/>
      <c r="AZ287" s="169" t="s">
        <v>59</v>
      </c>
      <c r="BA287" s="160">
        <f>(COUNTIF(AJ287:AL287,"*OK*")*3) + (COUNTIF(AM287:AO287,"*OK*")*2) + COUNTIF(AP287:AR287,"*OK*")+COUNTIF(AZ287:AZ287,"SI")*0.5</f>
        <v>0</v>
      </c>
      <c r="BB287" s="160" t="str">
        <f>IF(BA287&lt;0.6,"Demasiado Riesgo",IF(BA287&lt;=5,"Riesgo Medio",IF(BA287&lt;=11,"Riesgo Bajo","Cliente Blindado")))</f>
        <v>Demasiado Riesgo</v>
      </c>
      <c r="BC287" s="160"/>
      <c r="BD287" s="160"/>
      <c r="BE287" s="160">
        <v>0</v>
      </c>
      <c r="BF287" s="160"/>
      <c r="BG287" s="160"/>
      <c r="BH287" s="160"/>
      <c r="BI287" s="160"/>
      <c r="BJ287" s="160"/>
      <c r="BK287" s="160"/>
      <c r="BL287" s="160"/>
      <c r="BM287" s="160"/>
      <c r="BN287" s="160"/>
      <c r="BO287" s="160"/>
      <c r="BP287" s="160"/>
      <c r="BQ287" s="160"/>
      <c r="BR287" s="160"/>
      <c r="BS287" s="160"/>
      <c r="BT287" s="160"/>
      <c r="BU287" s="160"/>
      <c r="BV287" s="160"/>
      <c r="BW287" s="160"/>
      <c r="BX287" s="160"/>
      <c r="BY287" s="160"/>
      <c r="BZ287" s="160"/>
      <c r="CA287" s="160">
        <f>COUNTIF(AJ287:AX287,"*OK*")</f>
        <v>0</v>
      </c>
      <c r="CB287" s="160"/>
      <c r="CC287" s="160">
        <f>COUNTIF(AJ287:AX287,"*OP*")</f>
        <v>0</v>
      </c>
    </row>
    <row r="288" spans="1:81" ht="15" hidden="1" customHeight="1">
      <c r="A288" s="240">
        <v>33095</v>
      </c>
      <c r="B288" s="171"/>
      <c r="C288" s="468">
        <f>T288</f>
        <v>83.56</v>
      </c>
      <c r="D288" s="171">
        <f>COUNTIF(AJ288:AX288,"*OK*")</f>
        <v>0</v>
      </c>
      <c r="E288" s="171"/>
      <c r="F288" s="183" t="s">
        <v>903</v>
      </c>
      <c r="G288" s="183"/>
      <c r="H288" s="179"/>
      <c r="I288" s="179"/>
      <c r="J288" s="183"/>
      <c r="K288" s="183" t="s">
        <v>68</v>
      </c>
      <c r="L288" s="183" t="s">
        <v>733</v>
      </c>
      <c r="M288" s="183"/>
      <c r="N288" s="183"/>
      <c r="O288" s="172">
        <v>84.83</v>
      </c>
      <c r="P288" s="172">
        <v>84.75</v>
      </c>
      <c r="Q288" s="172">
        <v>80.77</v>
      </c>
      <c r="R288" s="193">
        <v>83.37</v>
      </c>
      <c r="S288" s="510">
        <v>84.490200000000002</v>
      </c>
      <c r="T288" s="550">
        <v>83.56</v>
      </c>
      <c r="U288" s="175"/>
      <c r="V288" s="176">
        <v>200</v>
      </c>
      <c r="W288" s="194"/>
      <c r="X288" s="209" t="s">
        <v>70</v>
      </c>
      <c r="Y288" s="177" t="s">
        <v>152</v>
      </c>
      <c r="Z288" s="178" t="s">
        <v>904</v>
      </c>
      <c r="AA288" s="176" t="s">
        <v>132</v>
      </c>
      <c r="AB288" s="178" t="s">
        <v>194</v>
      </c>
      <c r="AC288" s="179"/>
      <c r="AD288" s="171"/>
      <c r="AE288" s="171"/>
      <c r="AF288" s="171"/>
      <c r="AG288" s="171"/>
      <c r="AH288" s="171"/>
      <c r="AI288" s="174" t="s">
        <v>59</v>
      </c>
      <c r="AJ288" s="170"/>
      <c r="AK288" s="170"/>
      <c r="AL288" s="170"/>
      <c r="AM288" s="170"/>
      <c r="AN288" s="170"/>
      <c r="AO288" s="170"/>
      <c r="AP288" s="170"/>
      <c r="AQ288" s="170"/>
      <c r="AR288" s="170"/>
      <c r="AS288" s="170"/>
      <c r="AT288" s="170"/>
      <c r="AU288" s="170"/>
      <c r="AV288" s="170"/>
      <c r="AW288" s="170"/>
      <c r="AX288" s="170"/>
      <c r="AY288" s="170"/>
      <c r="AZ288" s="180" t="s">
        <v>59</v>
      </c>
      <c r="BA288" s="171">
        <f>(COUNTIF(AJ288:AL288,"*OK*")*3) + (COUNTIF(AM288:AO288,"*OK*")*2) + COUNTIF(AP288:AR288,"*OK*")+COUNTIF(AZ288:AZ288,"SI")*0.5</f>
        <v>0</v>
      </c>
      <c r="BB288" s="171" t="str">
        <f>IF(BA288&lt;0.6,"Demasiado Riesgo",IF(BA288&lt;=5,"Riesgo Medio",IF(BA288&lt;=11,"Riesgo Bajo","Cliente Blindado")))</f>
        <v>Demasiado Riesgo</v>
      </c>
      <c r="BC288" s="171"/>
      <c r="BD288" s="171"/>
      <c r="BE288" s="171">
        <v>0</v>
      </c>
      <c r="BF288" s="171"/>
      <c r="BG288" s="171"/>
      <c r="BH288" s="171"/>
      <c r="BI288" s="171"/>
      <c r="BJ288" s="171"/>
      <c r="BK288" s="171"/>
      <c r="BL288" s="171"/>
      <c r="BM288" s="171"/>
      <c r="BN288" s="171"/>
      <c r="BO288" s="171"/>
      <c r="BP288" s="171"/>
      <c r="BQ288" s="171"/>
      <c r="BR288" s="171"/>
      <c r="BS288" s="171"/>
      <c r="BT288" s="171"/>
      <c r="BU288" s="171"/>
      <c r="BV288" s="171"/>
      <c r="BW288" s="171"/>
      <c r="BX288" s="171"/>
      <c r="BY288" s="171"/>
      <c r="BZ288" s="171"/>
      <c r="CA288" s="171">
        <f>COUNTIF(AJ288:AX288,"*OK*")</f>
        <v>0</v>
      </c>
      <c r="CB288" s="171"/>
      <c r="CC288" s="171">
        <f>COUNTIF(AJ288:AX288,"*OP*")</f>
        <v>0</v>
      </c>
    </row>
    <row r="289" spans="1:81" ht="15" hidden="1" customHeight="1">
      <c r="A289" s="241">
        <v>25424</v>
      </c>
      <c r="B289" s="160"/>
      <c r="C289" s="468">
        <f>T289</f>
        <v>83.97</v>
      </c>
      <c r="D289" s="160">
        <f>COUNTIF(AJ289:AX289,"*OK*")</f>
        <v>0</v>
      </c>
      <c r="E289" s="160"/>
      <c r="F289" s="182" t="s">
        <v>905</v>
      </c>
      <c r="G289" s="182"/>
      <c r="H289" s="168"/>
      <c r="I289" s="168"/>
      <c r="J289" s="182"/>
      <c r="K289" s="182" t="s">
        <v>68</v>
      </c>
      <c r="L289" s="182" t="s">
        <v>733</v>
      </c>
      <c r="M289" s="182"/>
      <c r="N289" s="182"/>
      <c r="O289" s="161">
        <v>85.24</v>
      </c>
      <c r="P289" s="161">
        <v>85.16</v>
      </c>
      <c r="Q289" s="161">
        <v>81.16</v>
      </c>
      <c r="R289" s="186">
        <v>83.77</v>
      </c>
      <c r="S289" s="510">
        <v>73.022599999999997</v>
      </c>
      <c r="T289" s="551">
        <v>83.97</v>
      </c>
      <c r="U289" s="164"/>
      <c r="V289" s="165">
        <v>100</v>
      </c>
      <c r="W289" s="187"/>
      <c r="X289" s="208" t="s">
        <v>70</v>
      </c>
      <c r="Y289" s="166" t="s">
        <v>80</v>
      </c>
      <c r="Z289" s="167" t="s">
        <v>906</v>
      </c>
      <c r="AA289" s="165" t="s">
        <v>59</v>
      </c>
      <c r="AB289" s="167" t="s">
        <v>65</v>
      </c>
      <c r="AC289" s="168"/>
      <c r="AD289" s="160"/>
      <c r="AE289" s="160"/>
      <c r="AF289" s="160"/>
      <c r="AG289" s="160"/>
      <c r="AH289" s="160"/>
      <c r="AI289" s="163" t="s">
        <v>59</v>
      </c>
      <c r="AJ289" s="170"/>
      <c r="AK289" s="170"/>
      <c r="AL289" s="170"/>
      <c r="AM289" s="170"/>
      <c r="AN289" s="170"/>
      <c r="AO289" s="170"/>
      <c r="AP289" s="170"/>
      <c r="AQ289" s="170"/>
      <c r="AR289" s="170"/>
      <c r="AS289" s="170"/>
      <c r="AT289" s="170"/>
      <c r="AU289" s="170"/>
      <c r="AV289" s="170"/>
      <c r="AW289" s="170"/>
      <c r="AX289" s="170"/>
      <c r="AY289" s="170"/>
      <c r="AZ289" s="169" t="s">
        <v>59</v>
      </c>
      <c r="BA289" s="160">
        <f>(COUNTIF(AJ289:AL289,"*OK*")*3) + (COUNTIF(AM289:AO289,"*OK*")*2) + COUNTIF(AP289:AR289,"*OK*")+COUNTIF(AZ289:AZ289,"SI")*0.5</f>
        <v>0</v>
      </c>
      <c r="BB289" s="160" t="str">
        <f>IF(BA289&lt;0.6,"Demasiado Riesgo",IF(BA289&lt;=5,"Riesgo Medio",IF(BA289&lt;=11,"Riesgo Bajo","Cliente Blindado")))</f>
        <v>Demasiado Riesgo</v>
      </c>
      <c r="BC289" s="160"/>
      <c r="BD289" s="160"/>
      <c r="BE289" s="160">
        <v>0</v>
      </c>
      <c r="BF289" s="160"/>
      <c r="BG289" s="160"/>
      <c r="BH289" s="160"/>
      <c r="BI289" s="160"/>
      <c r="BJ289" s="160"/>
      <c r="BK289" s="160"/>
      <c r="BL289" s="160"/>
      <c r="BM289" s="160"/>
      <c r="BN289" s="160"/>
      <c r="BO289" s="160"/>
      <c r="BP289" s="160"/>
      <c r="BQ289" s="160"/>
      <c r="BR289" s="160"/>
      <c r="BS289" s="160"/>
      <c r="BT289" s="160"/>
      <c r="BU289" s="160"/>
      <c r="BV289" s="160"/>
      <c r="BW289" s="160"/>
      <c r="BX289" s="160"/>
      <c r="BY289" s="160"/>
      <c r="BZ289" s="160"/>
      <c r="CA289" s="160">
        <f>COUNTIF(AJ289:AX289,"*OK*")</f>
        <v>0</v>
      </c>
      <c r="CB289" s="160"/>
      <c r="CC289" s="160">
        <f>COUNTIF(AJ289:AX289,"*OP*")</f>
        <v>0</v>
      </c>
    </row>
    <row r="290" spans="1:81" ht="15" hidden="1" customHeight="1">
      <c r="A290" s="241">
        <v>31607</v>
      </c>
      <c r="B290" s="160"/>
      <c r="C290" s="468">
        <f>T290</f>
        <v>84.72</v>
      </c>
      <c r="D290" s="160">
        <f>COUNTIF(AJ290:AX290,"*OK*")</f>
        <v>0</v>
      </c>
      <c r="E290" s="160"/>
      <c r="F290" s="182" t="s">
        <v>907</v>
      </c>
      <c r="G290" s="182"/>
      <c r="H290" s="168"/>
      <c r="I290" s="168"/>
      <c r="J290" s="182"/>
      <c r="K290" s="182" t="s">
        <v>68</v>
      </c>
      <c r="L290" s="182" t="s">
        <v>733</v>
      </c>
      <c r="M290" s="182"/>
      <c r="N290" s="182"/>
      <c r="O290" s="161">
        <v>86.01</v>
      </c>
      <c r="P290" s="161">
        <v>85.93</v>
      </c>
      <c r="Q290" s="161">
        <v>81.89</v>
      </c>
      <c r="R290" s="186">
        <v>84.53</v>
      </c>
      <c r="S290" s="510">
        <v>85.662999999999997</v>
      </c>
      <c r="T290" s="551">
        <v>84.72</v>
      </c>
      <c r="U290" s="164"/>
      <c r="V290" s="165">
        <v>100</v>
      </c>
      <c r="W290" s="187"/>
      <c r="X290" s="203" t="s">
        <v>441</v>
      </c>
      <c r="Y290" s="166" t="s">
        <v>89</v>
      </c>
      <c r="Z290" s="167" t="s">
        <v>908</v>
      </c>
      <c r="AA290" s="165" t="s">
        <v>59</v>
      </c>
      <c r="AB290" s="167" t="s">
        <v>61</v>
      </c>
      <c r="AC290" s="168"/>
      <c r="AD290" s="160"/>
      <c r="AE290" s="160"/>
      <c r="AF290" s="160"/>
      <c r="AG290" s="160"/>
      <c r="AH290" s="160"/>
      <c r="AI290" s="163" t="s">
        <v>59</v>
      </c>
      <c r="AJ290" s="170"/>
      <c r="AK290" s="170"/>
      <c r="AL290" s="170"/>
      <c r="AM290" s="170"/>
      <c r="AN290" s="170"/>
      <c r="AO290" s="170"/>
      <c r="AP290" s="170"/>
      <c r="AQ290" s="170"/>
      <c r="AR290" s="170"/>
      <c r="AS290" s="170"/>
      <c r="AT290" s="170"/>
      <c r="AU290" s="170"/>
      <c r="AV290" s="170"/>
      <c r="AW290" s="170"/>
      <c r="AX290" s="170"/>
      <c r="AY290" s="170"/>
      <c r="AZ290" s="169" t="s">
        <v>59</v>
      </c>
      <c r="BA290" s="160">
        <f>(COUNTIF(AJ290:AL290,"*OK*")*3) + (COUNTIF(AM290:AO290,"*OK*")*2) + COUNTIF(AP290:AR290,"*OK*")+COUNTIF(AZ290:AZ290,"SI")*0.5</f>
        <v>0</v>
      </c>
      <c r="BB290" s="160" t="str">
        <f>IF(BA290&lt;0.6,"Demasiado Riesgo",IF(BA290&lt;=5,"Riesgo Medio",IF(BA290&lt;=11,"Riesgo Bajo","Cliente Blindado")))</f>
        <v>Demasiado Riesgo</v>
      </c>
      <c r="BC290" s="160"/>
      <c r="BD290" s="160"/>
      <c r="BE290" s="160">
        <v>0</v>
      </c>
      <c r="BF290" s="160"/>
      <c r="BG290" s="160"/>
      <c r="BH290" s="160"/>
      <c r="BI290" s="160"/>
      <c r="BJ290" s="160"/>
      <c r="BK290" s="160"/>
      <c r="BL290" s="160"/>
      <c r="BM290" s="160"/>
      <c r="BN290" s="160"/>
      <c r="BO290" s="160"/>
      <c r="BP290" s="160"/>
      <c r="BQ290" s="160"/>
      <c r="BR290" s="160"/>
      <c r="BS290" s="160"/>
      <c r="BT290" s="160"/>
      <c r="BU290" s="160"/>
      <c r="BV290" s="160"/>
      <c r="BW290" s="160"/>
      <c r="BX290" s="160"/>
      <c r="BY290" s="160"/>
      <c r="BZ290" s="160"/>
      <c r="CA290" s="160">
        <f>COUNTIF(AJ290:AX290,"*OK*")</f>
        <v>0</v>
      </c>
      <c r="CB290" s="160"/>
      <c r="CC290" s="160">
        <f>COUNTIF(AJ290:AX290,"*OP*")</f>
        <v>0</v>
      </c>
    </row>
    <row r="291" spans="1:81" ht="15" hidden="1" customHeight="1">
      <c r="A291" s="240">
        <v>32160</v>
      </c>
      <c r="B291" s="171"/>
      <c r="C291" s="468">
        <f>T291</f>
        <v>84.72</v>
      </c>
      <c r="D291" s="171">
        <f>COUNTIF(AJ291:AX291,"*OK*")</f>
        <v>0</v>
      </c>
      <c r="E291" s="171"/>
      <c r="F291" s="183" t="s">
        <v>909</v>
      </c>
      <c r="G291" s="183"/>
      <c r="H291" s="179"/>
      <c r="I291" s="179"/>
      <c r="J291" s="183"/>
      <c r="K291" s="183" t="s">
        <v>68</v>
      </c>
      <c r="L291" s="183" t="s">
        <v>733</v>
      </c>
      <c r="M291" s="183"/>
      <c r="N291" s="183"/>
      <c r="O291" s="172">
        <v>82.7</v>
      </c>
      <c r="P291" s="172">
        <v>82.62</v>
      </c>
      <c r="Q291" s="172">
        <v>78.739999999999995</v>
      </c>
      <c r="R291" s="193">
        <v>84.52</v>
      </c>
      <c r="S291" s="510">
        <v>85.661799999999999</v>
      </c>
      <c r="T291" s="550">
        <v>84.72</v>
      </c>
      <c r="U291" s="175"/>
      <c r="V291" s="176">
        <v>100</v>
      </c>
      <c r="W291" s="194"/>
      <c r="X291" s="209" t="s">
        <v>70</v>
      </c>
      <c r="Y291" s="177" t="s">
        <v>89</v>
      </c>
      <c r="Z291" s="178" t="s">
        <v>910</v>
      </c>
      <c r="AA291" s="176" t="s">
        <v>91</v>
      </c>
      <c r="AB291" s="178" t="s">
        <v>61</v>
      </c>
      <c r="AC291" s="179"/>
      <c r="AD291" s="171"/>
      <c r="AE291" s="171"/>
      <c r="AF291" s="171"/>
      <c r="AG291" s="171"/>
      <c r="AH291" s="171"/>
      <c r="AI291" s="174" t="s">
        <v>59</v>
      </c>
      <c r="AJ291" s="170"/>
      <c r="AK291" s="170"/>
      <c r="AL291" s="170"/>
      <c r="AM291" s="170"/>
      <c r="AN291" s="170"/>
      <c r="AO291" s="170"/>
      <c r="AP291" s="170"/>
      <c r="AQ291" s="170"/>
      <c r="AR291" s="170"/>
      <c r="AS291" s="170"/>
      <c r="AT291" s="170"/>
      <c r="AU291" s="170"/>
      <c r="AV291" s="170"/>
      <c r="AW291" s="170"/>
      <c r="AX291" s="170"/>
      <c r="AY291" s="170"/>
      <c r="AZ291" s="180" t="s">
        <v>59</v>
      </c>
      <c r="BA291" s="171">
        <f>(COUNTIF(AJ291:AL291,"*OK*")*3) + (COUNTIF(AM291:AO291,"*OK*")*2) + COUNTIF(AP291:AR291,"*OK*")+COUNTIF(AZ291:AZ291,"SI")*0.5</f>
        <v>0</v>
      </c>
      <c r="BB291" s="171" t="str">
        <f>IF(BA291&lt;0.6,"Demasiado Riesgo",IF(BA291&lt;=5,"Riesgo Medio",IF(BA291&lt;=11,"Riesgo Bajo","Cliente Blindado")))</f>
        <v>Demasiado Riesgo</v>
      </c>
      <c r="BC291" s="171"/>
      <c r="BD291" s="171"/>
      <c r="BE291" s="171">
        <v>0</v>
      </c>
      <c r="BF291" s="171"/>
      <c r="BG291" s="171"/>
      <c r="BH291" s="171"/>
      <c r="BI291" s="171"/>
      <c r="BJ291" s="171"/>
      <c r="BK291" s="171"/>
      <c r="BL291" s="171"/>
      <c r="BM291" s="171"/>
      <c r="BN291" s="171"/>
      <c r="BO291" s="171"/>
      <c r="BP291" s="171"/>
      <c r="BQ291" s="171"/>
      <c r="BR291" s="171"/>
      <c r="BS291" s="171"/>
      <c r="BT291" s="171"/>
      <c r="BU291" s="171"/>
      <c r="BV291" s="171"/>
      <c r="BW291" s="171"/>
      <c r="BX291" s="171"/>
      <c r="BY291" s="171"/>
      <c r="BZ291" s="171"/>
      <c r="CA291" s="171">
        <f>COUNTIF(AJ291:AX291,"*OK*")</f>
        <v>0</v>
      </c>
      <c r="CB291" s="171"/>
      <c r="CC291" s="171">
        <f>COUNTIF(AJ291:AX291,"*OP*")</f>
        <v>0</v>
      </c>
    </row>
    <row r="292" spans="1:81" ht="15" hidden="1" customHeight="1">
      <c r="A292" s="240">
        <v>22178</v>
      </c>
      <c r="B292" s="171"/>
      <c r="C292" s="468">
        <f>T292</f>
        <v>84.91</v>
      </c>
      <c r="D292" s="171">
        <f>COUNTIF(AJ292:AX292,"*OK*")</f>
        <v>0</v>
      </c>
      <c r="E292" s="171"/>
      <c r="F292" s="183" t="s">
        <v>911</v>
      </c>
      <c r="G292" s="183"/>
      <c r="H292" s="179"/>
      <c r="I292" s="179"/>
      <c r="J292" s="183"/>
      <c r="K292" s="183" t="s">
        <v>68</v>
      </c>
      <c r="L292" s="183" t="s">
        <v>733</v>
      </c>
      <c r="M292" s="183"/>
      <c r="N292" s="183"/>
      <c r="O292" s="172">
        <v>89.64</v>
      </c>
      <c r="P292" s="172">
        <v>103.34</v>
      </c>
      <c r="Q292" s="172">
        <v>82.07</v>
      </c>
      <c r="R292" s="193">
        <v>88.1</v>
      </c>
      <c r="S292" s="510">
        <v>85.847800000000007</v>
      </c>
      <c r="T292" s="550">
        <v>84.91</v>
      </c>
      <c r="U292" s="175"/>
      <c r="V292" s="176">
        <v>50</v>
      </c>
      <c r="W292" s="194"/>
      <c r="X292" s="209" t="s">
        <v>70</v>
      </c>
      <c r="Y292" s="177" t="s">
        <v>152</v>
      </c>
      <c r="Z292" s="178" t="s">
        <v>912</v>
      </c>
      <c r="AA292" s="176" t="s">
        <v>59</v>
      </c>
      <c r="AB292" s="178" t="s">
        <v>194</v>
      </c>
      <c r="AC292" s="179"/>
      <c r="AD292" s="171"/>
      <c r="AE292" s="171"/>
      <c r="AF292" s="171"/>
      <c r="AG292" s="171"/>
      <c r="AH292" s="171"/>
      <c r="AI292" s="174" t="s">
        <v>59</v>
      </c>
      <c r="AJ292" s="170"/>
      <c r="AK292" s="170"/>
      <c r="AL292" s="170"/>
      <c r="AM292" s="170"/>
      <c r="AN292" s="170"/>
      <c r="AO292" s="170"/>
      <c r="AP292" s="170"/>
      <c r="AQ292" s="170"/>
      <c r="AR292" s="170"/>
      <c r="AS292" s="170"/>
      <c r="AT292" s="170"/>
      <c r="AU292" s="170"/>
      <c r="AV292" s="170"/>
      <c r="AW292" s="170"/>
      <c r="AX292" s="170"/>
      <c r="AY292" s="170"/>
      <c r="AZ292" s="180" t="s">
        <v>59</v>
      </c>
      <c r="BA292" s="171">
        <f>(COUNTIF(AJ292:AL292,"*OK*")*3) + (COUNTIF(AM292:AO292,"*OK*")*2) + COUNTIF(AP292:AR292,"*OK*")+COUNTIF(AZ292:AZ292,"SI")*0.5</f>
        <v>0</v>
      </c>
      <c r="BB292" s="171" t="str">
        <f>IF(BA292&lt;0.6,"Demasiado Riesgo",IF(BA292&lt;=5,"Riesgo Medio",IF(BA292&lt;=11,"Riesgo Bajo","Cliente Blindado")))</f>
        <v>Demasiado Riesgo</v>
      </c>
      <c r="BC292" s="171"/>
      <c r="BD292" s="171"/>
      <c r="BE292" s="171">
        <v>0</v>
      </c>
      <c r="BF292" s="171"/>
      <c r="BG292" s="171"/>
      <c r="BH292" s="171"/>
      <c r="BI292" s="171"/>
      <c r="BJ292" s="171"/>
      <c r="BK292" s="171"/>
      <c r="BL292" s="171"/>
      <c r="BM292" s="171"/>
      <c r="BN292" s="171"/>
      <c r="BO292" s="171"/>
      <c r="BP292" s="171"/>
      <c r="BQ292" s="171"/>
      <c r="BR292" s="171"/>
      <c r="BS292" s="171"/>
      <c r="BT292" s="171"/>
      <c r="BU292" s="171"/>
      <c r="BV292" s="171"/>
      <c r="BW292" s="171"/>
      <c r="BX292" s="171"/>
      <c r="BY292" s="171"/>
      <c r="BZ292" s="171"/>
      <c r="CA292" s="171">
        <f>COUNTIF(AJ292:AX292,"*OK*")</f>
        <v>0</v>
      </c>
      <c r="CB292" s="171"/>
      <c r="CC292" s="171">
        <f>COUNTIF(AJ292:AX292,"*OP*")</f>
        <v>0</v>
      </c>
    </row>
    <row r="293" spans="1:81" ht="15" hidden="1" customHeight="1">
      <c r="A293" s="240"/>
      <c r="B293" s="171"/>
      <c r="C293" s="468">
        <f>T293</f>
        <v>85.71</v>
      </c>
      <c r="D293" s="171">
        <f>COUNTIF(AN293:AY293,"OK")</f>
        <v>0</v>
      </c>
      <c r="E293" s="171"/>
      <c r="F293" s="171" t="s">
        <v>913</v>
      </c>
      <c r="G293" s="171"/>
      <c r="H293" s="179"/>
      <c r="I293" s="179"/>
      <c r="J293" s="171"/>
      <c r="K293" s="236" t="s">
        <v>68</v>
      </c>
      <c r="L293" s="171" t="s">
        <v>768</v>
      </c>
      <c r="M293" s="171"/>
      <c r="N293" s="171"/>
      <c r="O293" s="161"/>
      <c r="P293" s="161"/>
      <c r="Q293" s="161"/>
      <c r="R293" s="186"/>
      <c r="S293" s="510">
        <v>86.656599999999997</v>
      </c>
      <c r="T293" s="549">
        <v>85.71</v>
      </c>
      <c r="U293" s="175"/>
      <c r="V293" s="176" t="s">
        <v>59</v>
      </c>
      <c r="W293" s="171"/>
      <c r="X293" s="205"/>
      <c r="Y293" s="177"/>
      <c r="Z293" s="178"/>
      <c r="AA293" s="174" t="s">
        <v>59</v>
      </c>
      <c r="AB293" s="178"/>
      <c r="AC293" s="179"/>
      <c r="AD293" s="171"/>
      <c r="AE293" s="171"/>
      <c r="AF293" s="171"/>
      <c r="AG293" s="171"/>
      <c r="AH293" s="171"/>
      <c r="AI293" s="540"/>
      <c r="AJ293" s="543"/>
      <c r="AK293" s="543"/>
      <c r="AL293" s="543"/>
      <c r="AM293" s="543"/>
      <c r="AN293" s="543"/>
      <c r="AO293" s="543"/>
      <c r="AP293" s="543"/>
      <c r="AQ293" s="543"/>
      <c r="AR293" s="543"/>
      <c r="AS293" s="543"/>
      <c r="AT293" s="543"/>
      <c r="AU293" s="543"/>
      <c r="AV293" s="543"/>
      <c r="AW293" s="543"/>
      <c r="AX293" s="543"/>
      <c r="AY293" s="543"/>
      <c r="AZ293" s="546"/>
      <c r="BA293" s="171">
        <f>(COUNTIF(AJ293:AL293,"*OK*")*3) + (COUNTIF(AM293:AO293,"*OK*")*2) + COUNTIF(AP293:AR293,"*OK*")+COUNTIF(AZ293:AZ293,"SI")*0.5</f>
        <v>0</v>
      </c>
      <c r="BB293" s="171" t="str">
        <f>IF(BA293&lt;0.6,"Demasiado Riesgo",IF(BA293&lt;=5,"Riesgo Medio",IF(BA293&lt;=11,"Riesgo Bajo","Cliente Blindado")))</f>
        <v>Demasiado Riesgo</v>
      </c>
      <c r="BC293" s="171"/>
      <c r="BD293" s="171"/>
      <c r="BE293" s="171"/>
      <c r="BF293" s="171"/>
      <c r="BG293" s="171"/>
      <c r="BH293" s="171"/>
      <c r="BI293" s="171"/>
      <c r="BJ293" s="171"/>
      <c r="BK293" s="171"/>
      <c r="BL293" s="171"/>
      <c r="BM293" s="171"/>
      <c r="BN293" s="171"/>
      <c r="BO293" s="171"/>
      <c r="BP293" s="171"/>
      <c r="BQ293" s="171"/>
      <c r="BR293" s="171"/>
      <c r="BS293" s="171"/>
      <c r="BT293" s="171"/>
      <c r="BU293" s="171"/>
      <c r="BV293" s="171"/>
      <c r="BW293" s="171"/>
      <c r="BX293" s="171"/>
      <c r="BY293" s="171"/>
      <c r="BZ293" s="171"/>
      <c r="CA293" s="171">
        <f>COUNTIF(AJ293:AX293,"*OK*")</f>
        <v>0</v>
      </c>
    </row>
    <row r="294" spans="1:81" ht="15" hidden="1" customHeight="1">
      <c r="A294" s="241">
        <v>36846</v>
      </c>
      <c r="B294" s="160"/>
      <c r="C294" s="468">
        <f>T294</f>
        <v>86.85</v>
      </c>
      <c r="D294" s="160">
        <f>COUNTIF(AJ294:AX294,"*OK*")</f>
        <v>0</v>
      </c>
      <c r="E294" s="160"/>
      <c r="F294" s="182" t="s">
        <v>914</v>
      </c>
      <c r="G294" s="182"/>
      <c r="H294" s="168"/>
      <c r="I294" s="168"/>
      <c r="J294" s="182"/>
      <c r="K294" s="185" t="s">
        <v>68</v>
      </c>
      <c r="L294" s="182" t="s">
        <v>733</v>
      </c>
      <c r="M294" s="182"/>
      <c r="N294" s="182"/>
      <c r="O294" s="161"/>
      <c r="P294" s="161"/>
      <c r="Q294" s="161">
        <v>83.94</v>
      </c>
      <c r="R294" s="186">
        <v>86.65</v>
      </c>
      <c r="S294" s="510">
        <v>87.811999999999998</v>
      </c>
      <c r="T294" s="551">
        <v>86.85</v>
      </c>
      <c r="U294" s="164"/>
      <c r="V294" s="165">
        <v>100</v>
      </c>
      <c r="W294" s="187"/>
      <c r="X294" s="207" t="s">
        <v>70</v>
      </c>
      <c r="Y294" s="166" t="s">
        <v>71</v>
      </c>
      <c r="Z294" s="167" t="s">
        <v>915</v>
      </c>
      <c r="AA294" s="165" t="s">
        <v>286</v>
      </c>
      <c r="AB294" s="167" t="s">
        <v>288</v>
      </c>
      <c r="AC294" s="168"/>
      <c r="AD294" s="160"/>
      <c r="AE294" s="160"/>
      <c r="AF294" s="160"/>
      <c r="AG294" s="160"/>
      <c r="AH294" s="160"/>
      <c r="AI294" s="163" t="s">
        <v>59</v>
      </c>
      <c r="AJ294" s="170"/>
      <c r="AK294" s="170"/>
      <c r="AL294" s="170"/>
      <c r="AM294" s="170"/>
      <c r="AN294" s="170"/>
      <c r="AO294" s="170"/>
      <c r="AP294" s="170"/>
      <c r="AQ294" s="170"/>
      <c r="AR294" s="170"/>
      <c r="AS294" s="170"/>
      <c r="AT294" s="170"/>
      <c r="AU294" s="170"/>
      <c r="AV294" s="170"/>
      <c r="AW294" s="170"/>
      <c r="AX294" s="170"/>
      <c r="AY294" s="170"/>
      <c r="AZ294" s="169" t="s">
        <v>59</v>
      </c>
      <c r="BA294" s="160">
        <f>(COUNTIF(AJ294:AL294,"*OK*")*3) + (COUNTIF(AM294:AO294,"*OK*")*2) + COUNTIF(AP294:AR294,"*OK*")+COUNTIF(AZ294:AZ294,"SI")*0.5</f>
        <v>0</v>
      </c>
      <c r="BB294" s="160" t="str">
        <f>IF(BA294&lt;0.6,"Demasiado Riesgo",IF(BA294&lt;=5,"Riesgo Medio",IF(BA294&lt;=11,"Riesgo Bajo","Cliente Blindado")))</f>
        <v>Demasiado Riesgo</v>
      </c>
      <c r="BC294" s="160"/>
      <c r="BD294" s="160"/>
      <c r="BE294" s="160">
        <v>0</v>
      </c>
      <c r="BF294" s="160"/>
      <c r="BG294" s="160"/>
      <c r="BH294" s="160"/>
      <c r="BI294" s="160"/>
      <c r="BJ294" s="160"/>
      <c r="BK294" s="160"/>
      <c r="BL294" s="160"/>
      <c r="BM294" s="160"/>
      <c r="BN294" s="160"/>
      <c r="BO294" s="160"/>
      <c r="BP294" s="160"/>
      <c r="BQ294" s="160"/>
      <c r="BR294" s="160"/>
      <c r="BS294" s="160"/>
      <c r="BT294" s="160"/>
      <c r="BU294" s="160"/>
      <c r="BV294" s="160"/>
      <c r="BW294" s="160"/>
      <c r="BX294" s="160"/>
      <c r="BY294" s="160"/>
      <c r="BZ294" s="160"/>
      <c r="CA294" s="160">
        <f>COUNTIF(AJ294:AX294,"*OK*")</f>
        <v>0</v>
      </c>
      <c r="CB294" s="160"/>
      <c r="CC294" s="160">
        <f>COUNTIF(AJ294:AX294,"*OP*")</f>
        <v>0</v>
      </c>
    </row>
    <row r="295" spans="1:81" ht="15" hidden="1" customHeight="1">
      <c r="A295" s="240"/>
      <c r="B295" s="171"/>
      <c r="C295" s="468">
        <f>T295</f>
        <v>89.13</v>
      </c>
      <c r="D295" s="171">
        <f>COUNTIF(AJ295:AX295,"*OK*")</f>
        <v>0</v>
      </c>
      <c r="E295" s="171"/>
      <c r="F295" s="183" t="s">
        <v>916</v>
      </c>
      <c r="G295" s="183"/>
      <c r="H295" s="179"/>
      <c r="I295" s="179"/>
      <c r="J295" s="183"/>
      <c r="K295" s="192" t="s">
        <v>68</v>
      </c>
      <c r="L295" s="183" t="s">
        <v>733</v>
      </c>
      <c r="M295" s="183"/>
      <c r="N295" s="183"/>
      <c r="O295" s="172">
        <v>88.17</v>
      </c>
      <c r="P295" s="172">
        <v>83.45</v>
      </c>
      <c r="Q295" s="172">
        <v>75.11</v>
      </c>
      <c r="R295" s="193">
        <v>72.97</v>
      </c>
      <c r="S295" s="510">
        <v>73.947000000000003</v>
      </c>
      <c r="T295" s="554">
        <v>89.13</v>
      </c>
      <c r="U295" s="175"/>
      <c r="V295" s="176">
        <v>50</v>
      </c>
      <c r="W295" s="194"/>
      <c r="X295" s="209" t="s">
        <v>70</v>
      </c>
      <c r="Y295" s="177" t="s">
        <v>302</v>
      </c>
      <c r="Z295" s="178" t="s">
        <v>917</v>
      </c>
      <c r="AA295" s="176" t="s">
        <v>59</v>
      </c>
      <c r="AB295" s="178" t="s">
        <v>65</v>
      </c>
      <c r="AC295" s="179"/>
      <c r="AD295" s="171"/>
      <c r="AE295" s="171"/>
      <c r="AF295" s="171"/>
      <c r="AG295" s="171"/>
      <c r="AH295" s="171"/>
      <c r="AI295" s="174" t="s">
        <v>59</v>
      </c>
      <c r="AJ295" s="170"/>
      <c r="AK295" s="170"/>
      <c r="AL295" s="170"/>
      <c r="AM295" s="170"/>
      <c r="AN295" s="170"/>
      <c r="AO295" s="170"/>
      <c r="AP295" s="170"/>
      <c r="AQ295" s="170"/>
      <c r="AR295" s="170"/>
      <c r="AS295" s="170"/>
      <c r="AT295" s="170"/>
      <c r="AU295" s="170"/>
      <c r="AV295" s="170"/>
      <c r="AW295" s="170"/>
      <c r="AX295" s="170"/>
      <c r="AY295" s="170"/>
      <c r="AZ295" s="180" t="s">
        <v>59</v>
      </c>
      <c r="BA295" s="171">
        <f>(COUNTIF(AJ295:AL295,"*OK*")*3) + (COUNTIF(AM295:AO295,"*OK*")*2) + COUNTIF(AP295:AR295,"*OK*")+COUNTIF(AZ295:AZ295,"SI")*0.5</f>
        <v>0</v>
      </c>
      <c r="BB295" s="171" t="str">
        <f>IF(BA295&lt;0.6,"Demasiado Riesgo",IF(BA295&lt;=5,"Riesgo Medio",IF(BA295&lt;=11,"Riesgo Bajo","Cliente Blindado")))</f>
        <v>Demasiado Riesgo</v>
      </c>
      <c r="BC295" s="171"/>
      <c r="BD295" s="171"/>
      <c r="BE295" s="171">
        <v>0</v>
      </c>
      <c r="BF295" s="171"/>
      <c r="BG295" s="171"/>
      <c r="BH295" s="171"/>
      <c r="BI295" s="171"/>
      <c r="BJ295" s="171"/>
      <c r="BK295" s="171"/>
      <c r="BL295" s="171"/>
      <c r="BM295" s="171"/>
      <c r="BN295" s="171"/>
      <c r="BO295" s="171"/>
      <c r="BP295" s="171"/>
      <c r="BQ295" s="171"/>
      <c r="BR295" s="171"/>
      <c r="BS295" s="171"/>
      <c r="BT295" s="171"/>
      <c r="BU295" s="171"/>
      <c r="BV295" s="171"/>
      <c r="BW295" s="171"/>
      <c r="BX295" s="171"/>
      <c r="BY295" s="171"/>
      <c r="BZ295" s="171"/>
      <c r="CA295" s="171">
        <f>COUNTIF(AJ295:AX295,"*OK*")</f>
        <v>0</v>
      </c>
      <c r="CB295" s="171"/>
      <c r="CC295" s="171">
        <f>COUNTIF(AJ295:AX295,"*OP*")</f>
        <v>0</v>
      </c>
    </row>
    <row r="296" spans="1:81" ht="15" hidden="1" customHeight="1">
      <c r="A296" s="241">
        <v>36024</v>
      </c>
      <c r="B296" s="160"/>
      <c r="C296" s="468">
        <f>T296</f>
        <v>89.99</v>
      </c>
      <c r="D296" s="160">
        <f>COUNTIF(AJ296:AX296,"*OK*")</f>
        <v>0</v>
      </c>
      <c r="E296" s="160"/>
      <c r="F296" s="182" t="s">
        <v>918</v>
      </c>
      <c r="G296" s="182"/>
      <c r="H296" s="168"/>
      <c r="I296" s="168"/>
      <c r="J296" s="182"/>
      <c r="K296" s="185" t="s">
        <v>68</v>
      </c>
      <c r="L296" s="182" t="s">
        <v>733</v>
      </c>
      <c r="M296" s="182"/>
      <c r="N296" s="182"/>
      <c r="O296" s="161"/>
      <c r="P296" s="161">
        <v>73.89</v>
      </c>
      <c r="Q296" s="161">
        <v>74.56</v>
      </c>
      <c r="R296" s="186">
        <v>76.959999999999994</v>
      </c>
      <c r="S296" s="510">
        <v>82.323800000000006</v>
      </c>
      <c r="T296" s="553">
        <v>89.99</v>
      </c>
      <c r="U296" s="164"/>
      <c r="V296" s="165">
        <v>50</v>
      </c>
      <c r="W296" s="187"/>
      <c r="X296" s="208" t="s">
        <v>70</v>
      </c>
      <c r="Y296" s="166" t="s">
        <v>71</v>
      </c>
      <c r="Z296" s="167" t="s">
        <v>919</v>
      </c>
      <c r="AA296" s="165" t="s">
        <v>59</v>
      </c>
      <c r="AB296" s="167" t="s">
        <v>65</v>
      </c>
      <c r="AC296" s="168"/>
      <c r="AD296" s="160"/>
      <c r="AE296" s="160"/>
      <c r="AF296" s="160"/>
      <c r="AG296" s="160"/>
      <c r="AH296" s="160"/>
      <c r="AI296" s="163" t="s">
        <v>59</v>
      </c>
      <c r="AJ296" s="170"/>
      <c r="AK296" s="170"/>
      <c r="AL296" s="170"/>
      <c r="AM296" s="170"/>
      <c r="AN296" s="170"/>
      <c r="AO296" s="170"/>
      <c r="AP296" s="170"/>
      <c r="AQ296" s="170"/>
      <c r="AR296" s="170"/>
      <c r="AS296" s="170"/>
      <c r="AT296" s="170"/>
      <c r="AU296" s="170"/>
      <c r="AV296" s="170"/>
      <c r="AW296" s="170"/>
      <c r="AX296" s="170"/>
      <c r="AY296" s="170"/>
      <c r="AZ296" s="169" t="s">
        <v>59</v>
      </c>
      <c r="BA296" s="160">
        <f>(COUNTIF(AJ296:AL296,"*OK*")*3) + (COUNTIF(AM296:AO296,"*OK*")*2) + COUNTIF(AP296:AR296,"*OK*")+COUNTIF(AZ296:AZ296,"SI")*0.5</f>
        <v>0</v>
      </c>
      <c r="BB296" s="160" t="str">
        <f>IF(BA296&lt;0.6,"Demasiado Riesgo",IF(BA296&lt;=5,"Riesgo Medio",IF(BA296&lt;=11,"Riesgo Bajo","Cliente Blindado")))</f>
        <v>Demasiado Riesgo</v>
      </c>
      <c r="BC296" s="160"/>
      <c r="BD296" s="160"/>
      <c r="BE296" s="160">
        <v>0</v>
      </c>
      <c r="BF296" s="160"/>
      <c r="BG296" s="160"/>
      <c r="BH296" s="160"/>
      <c r="BI296" s="160"/>
      <c r="BJ296" s="160"/>
      <c r="BK296" s="160"/>
      <c r="BL296" s="160"/>
      <c r="BM296" s="160"/>
      <c r="BN296" s="160"/>
      <c r="BO296" s="160"/>
      <c r="BP296" s="160"/>
      <c r="BQ296" s="160"/>
      <c r="BR296" s="160"/>
      <c r="BS296" s="160"/>
      <c r="BT296" s="160"/>
      <c r="BU296" s="160"/>
      <c r="BV296" s="160"/>
      <c r="BW296" s="160"/>
      <c r="BX296" s="160"/>
      <c r="BY296" s="160"/>
      <c r="BZ296" s="160"/>
      <c r="CA296" s="160">
        <f>COUNTIF(AJ296:AX296,"*OK*")</f>
        <v>0</v>
      </c>
      <c r="CB296" s="160"/>
      <c r="CC296" s="160">
        <f>COUNTIF(AJ296:AX296,"*OP*")</f>
        <v>0</v>
      </c>
    </row>
    <row r="297" spans="1:81" ht="15" hidden="1" customHeight="1">
      <c r="A297" s="241">
        <v>24926</v>
      </c>
      <c r="B297" s="160"/>
      <c r="C297" s="468">
        <f>T297</f>
        <v>91.68</v>
      </c>
      <c r="D297" s="160">
        <f>COUNTIF(AJ297:AX297,"*OK*")</f>
        <v>0</v>
      </c>
      <c r="E297" s="160"/>
      <c r="F297" s="182" t="s">
        <v>920</v>
      </c>
      <c r="G297" s="182"/>
      <c r="H297" s="168"/>
      <c r="I297" s="168"/>
      <c r="J297" s="182"/>
      <c r="K297" s="182" t="s">
        <v>68</v>
      </c>
      <c r="L297" s="182" t="s">
        <v>733</v>
      </c>
      <c r="M297" s="182"/>
      <c r="N297" s="182"/>
      <c r="O297" s="161">
        <v>87.42</v>
      </c>
      <c r="P297" s="161">
        <v>95.8</v>
      </c>
      <c r="Q297" s="161">
        <v>85.92</v>
      </c>
      <c r="R297" s="186">
        <v>91.46</v>
      </c>
      <c r="S297" s="510">
        <v>92.691400000000002</v>
      </c>
      <c r="T297" s="551">
        <v>91.68</v>
      </c>
      <c r="U297" s="164"/>
      <c r="V297" s="165">
        <v>100</v>
      </c>
      <c r="W297" s="187"/>
      <c r="X297" s="208" t="s">
        <v>70</v>
      </c>
      <c r="Y297" s="166" t="s">
        <v>89</v>
      </c>
      <c r="Z297" s="167" t="s">
        <v>921</v>
      </c>
      <c r="AA297" s="165" t="s">
        <v>59</v>
      </c>
      <c r="AB297" s="167" t="s">
        <v>194</v>
      </c>
      <c r="AC297" s="168"/>
      <c r="AD297" s="160"/>
      <c r="AE297" s="160"/>
      <c r="AF297" s="160"/>
      <c r="AG297" s="160"/>
      <c r="AH297" s="160"/>
      <c r="AI297" s="163" t="s">
        <v>59</v>
      </c>
      <c r="AJ297" s="170"/>
      <c r="AK297" s="170"/>
      <c r="AL297" s="170"/>
      <c r="AM297" s="170"/>
      <c r="AN297" s="170"/>
      <c r="AO297" s="170"/>
      <c r="AP297" s="170"/>
      <c r="AQ297" s="170"/>
      <c r="AR297" s="170"/>
      <c r="AS297" s="170"/>
      <c r="AT297" s="170"/>
      <c r="AU297" s="170"/>
      <c r="AV297" s="170"/>
      <c r="AW297" s="170"/>
      <c r="AX297" s="170"/>
      <c r="AY297" s="170"/>
      <c r="AZ297" s="169" t="s">
        <v>59</v>
      </c>
      <c r="BA297" s="160">
        <f>(COUNTIF(AJ297:AL297,"*OK*")*3) + (COUNTIF(AM297:AO297,"*OK*")*2) + COUNTIF(AP297:AR297,"*OK*")+COUNTIF(AZ297:AZ297,"SI")*0.5</f>
        <v>0</v>
      </c>
      <c r="BB297" s="160" t="str">
        <f>IF(BA297&lt;0.6,"Demasiado Riesgo",IF(BA297&lt;=5,"Riesgo Medio",IF(BA297&lt;=11,"Riesgo Bajo","Cliente Blindado")))</f>
        <v>Demasiado Riesgo</v>
      </c>
      <c r="BC297" s="160"/>
      <c r="BD297" s="160"/>
      <c r="BE297" s="160">
        <v>0</v>
      </c>
      <c r="BF297" s="160"/>
      <c r="BG297" s="160"/>
      <c r="BH297" s="160"/>
      <c r="BI297" s="160"/>
      <c r="BJ297" s="160"/>
      <c r="BK297" s="160"/>
      <c r="BL297" s="160"/>
      <c r="BM297" s="160"/>
      <c r="BN297" s="160"/>
      <c r="BO297" s="160"/>
      <c r="BP297" s="160"/>
      <c r="BQ297" s="160"/>
      <c r="BR297" s="160"/>
      <c r="BS297" s="160"/>
      <c r="BT297" s="160"/>
      <c r="BU297" s="160"/>
      <c r="BV297" s="160"/>
      <c r="BW297" s="160"/>
      <c r="BX297" s="160"/>
      <c r="BY297" s="160"/>
      <c r="BZ297" s="160"/>
      <c r="CA297" s="160">
        <f>COUNTIF(AJ297:AX297,"*OK*")</f>
        <v>0</v>
      </c>
      <c r="CB297" s="160"/>
      <c r="CC297" s="160">
        <f>COUNTIF(AJ297:AX297,"*OP*")</f>
        <v>0</v>
      </c>
    </row>
    <row r="298" spans="1:81" ht="15" hidden="1" customHeight="1">
      <c r="A298" s="241">
        <v>22345</v>
      </c>
      <c r="B298" s="160"/>
      <c r="C298" s="468">
        <f>T298</f>
        <v>92.61</v>
      </c>
      <c r="D298" s="160">
        <f>COUNTIF(AJ298:AX298,"*OK*")</f>
        <v>0</v>
      </c>
      <c r="E298" s="160"/>
      <c r="F298" s="182" t="s">
        <v>922</v>
      </c>
      <c r="G298" s="182"/>
      <c r="H298" s="168"/>
      <c r="I298" s="168"/>
      <c r="J298" s="182"/>
      <c r="K298" s="182" t="s">
        <v>68</v>
      </c>
      <c r="L298" s="182" t="s">
        <v>733</v>
      </c>
      <c r="M298" s="182"/>
      <c r="N298" s="182"/>
      <c r="O298" s="161">
        <v>98.71</v>
      </c>
      <c r="P298" s="161">
        <v>98.62</v>
      </c>
      <c r="Q298" s="161">
        <v>89.51</v>
      </c>
      <c r="R298" s="186">
        <v>92.39</v>
      </c>
      <c r="S298" s="510">
        <v>93.635400000000004</v>
      </c>
      <c r="T298" s="551">
        <v>92.61</v>
      </c>
      <c r="U298" s="164"/>
      <c r="V298" s="165">
        <v>100</v>
      </c>
      <c r="W298" s="187"/>
      <c r="X298" s="208" t="s">
        <v>70</v>
      </c>
      <c r="Y298" s="166" t="s">
        <v>152</v>
      </c>
      <c r="Z298" s="167" t="s">
        <v>923</v>
      </c>
      <c r="AA298" s="165" t="s">
        <v>59</v>
      </c>
      <c r="AB298" s="167" t="s">
        <v>65</v>
      </c>
      <c r="AC298" s="168"/>
      <c r="AD298" s="160"/>
      <c r="AE298" s="160"/>
      <c r="AF298" s="160"/>
      <c r="AG298" s="160"/>
      <c r="AH298" s="160"/>
      <c r="AI298" s="163" t="s">
        <v>59</v>
      </c>
      <c r="AJ298" s="170"/>
      <c r="AK298" s="170"/>
      <c r="AL298" s="170"/>
      <c r="AM298" s="170"/>
      <c r="AN298" s="170"/>
      <c r="AO298" s="170"/>
      <c r="AP298" s="170"/>
      <c r="AQ298" s="170"/>
      <c r="AR298" s="170"/>
      <c r="AS298" s="170"/>
      <c r="AT298" s="170"/>
      <c r="AU298" s="170"/>
      <c r="AV298" s="170"/>
      <c r="AW298" s="170"/>
      <c r="AX298" s="170"/>
      <c r="AY298" s="170"/>
      <c r="AZ298" s="169" t="s">
        <v>59</v>
      </c>
      <c r="BA298" s="160">
        <f>(COUNTIF(AJ298:AL298,"*OK*")*3) + (COUNTIF(AM298:AO298,"*OK*")*2) + COUNTIF(AP298:AR298,"*OK*")+COUNTIF(AZ298:AZ298,"SI")*0.5</f>
        <v>0</v>
      </c>
      <c r="BB298" s="160" t="str">
        <f>IF(BA298&lt;0.6,"Demasiado Riesgo",IF(BA298&lt;=5,"Riesgo Medio",IF(BA298&lt;=11,"Riesgo Bajo","Cliente Blindado")))</f>
        <v>Demasiado Riesgo</v>
      </c>
      <c r="BC298" s="160"/>
      <c r="BD298" s="160"/>
      <c r="BE298" s="160">
        <v>0</v>
      </c>
      <c r="BF298" s="160"/>
      <c r="BG298" s="160"/>
      <c r="BH298" s="160"/>
      <c r="BI298" s="160"/>
      <c r="BJ298" s="160"/>
      <c r="BK298" s="160"/>
      <c r="BL298" s="160"/>
      <c r="BM298" s="160"/>
      <c r="BN298" s="160"/>
      <c r="BO298" s="160"/>
      <c r="BP298" s="160"/>
      <c r="BQ298" s="160"/>
      <c r="BR298" s="160"/>
      <c r="BS298" s="160"/>
      <c r="BT298" s="160"/>
      <c r="BU298" s="160"/>
      <c r="BV298" s="160"/>
      <c r="BW298" s="160"/>
      <c r="BX298" s="160"/>
      <c r="BY298" s="160"/>
      <c r="BZ298" s="160"/>
      <c r="CA298" s="160">
        <f>COUNTIF(AJ298:AX298,"*OK*")</f>
        <v>0</v>
      </c>
      <c r="CB298" s="160"/>
      <c r="CC298" s="160">
        <f>COUNTIF(AJ298:AX298,"*OP*")</f>
        <v>0</v>
      </c>
    </row>
    <row r="299" spans="1:81" ht="15" hidden="1" customHeight="1">
      <c r="A299" s="240">
        <v>30111</v>
      </c>
      <c r="B299" s="171"/>
      <c r="C299" s="468">
        <f>T299</f>
        <v>93.59</v>
      </c>
      <c r="D299" s="171">
        <f>COUNTIF(AJ299:AX299,"*OK*")</f>
        <v>0</v>
      </c>
      <c r="E299" s="171"/>
      <c r="F299" s="183" t="s">
        <v>924</v>
      </c>
      <c r="G299" s="183"/>
      <c r="H299" s="179"/>
      <c r="I299" s="179"/>
      <c r="J299" s="183"/>
      <c r="K299" s="183" t="s">
        <v>68</v>
      </c>
      <c r="L299" s="183" t="s">
        <v>733</v>
      </c>
      <c r="M299" s="183"/>
      <c r="N299" s="183"/>
      <c r="O299" s="172">
        <v>95.01</v>
      </c>
      <c r="P299" s="172">
        <v>94.92</v>
      </c>
      <c r="Q299" s="172">
        <v>90.46</v>
      </c>
      <c r="R299" s="193">
        <v>93.37</v>
      </c>
      <c r="S299" s="510">
        <v>94.629000000000005</v>
      </c>
      <c r="T299" s="550">
        <v>93.59</v>
      </c>
      <c r="U299" s="175"/>
      <c r="V299" s="176">
        <v>500</v>
      </c>
      <c r="W299" s="194"/>
      <c r="X299" s="205" t="s">
        <v>253</v>
      </c>
      <c r="Y299" s="177" t="s">
        <v>80</v>
      </c>
      <c r="Z299" s="178" t="s">
        <v>925</v>
      </c>
      <c r="AA299" s="176" t="s">
        <v>59</v>
      </c>
      <c r="AB299" s="178" t="s">
        <v>65</v>
      </c>
      <c r="AC299" s="179"/>
      <c r="AD299" s="171"/>
      <c r="AE299" s="171"/>
      <c r="AF299" s="171"/>
      <c r="AG299" s="171"/>
      <c r="AH299" s="171"/>
      <c r="AI299" s="174" t="s">
        <v>59</v>
      </c>
      <c r="AJ299" s="170"/>
      <c r="AK299" s="170"/>
      <c r="AL299" s="170"/>
      <c r="AM299" s="170"/>
      <c r="AN299" s="170"/>
      <c r="AO299" s="170"/>
      <c r="AP299" s="170"/>
      <c r="AQ299" s="170"/>
      <c r="AR299" s="170"/>
      <c r="AS299" s="170"/>
      <c r="AT299" s="170"/>
      <c r="AU299" s="170"/>
      <c r="AV299" s="170"/>
      <c r="AW299" s="170"/>
      <c r="AX299" s="170"/>
      <c r="AY299" s="170"/>
      <c r="AZ299" s="180" t="s">
        <v>59</v>
      </c>
      <c r="BA299" s="171">
        <f>(COUNTIF(AJ299:AL299,"*OK*")*3) + (COUNTIF(AM299:AO299,"*OK*")*2) + COUNTIF(AP299:AR299,"*OK*")+COUNTIF(AZ299:AZ299,"SI")*0.5</f>
        <v>0</v>
      </c>
      <c r="BB299" s="171" t="str">
        <f>IF(BA299&lt;0.6,"Demasiado Riesgo",IF(BA299&lt;=5,"Riesgo Medio",IF(BA299&lt;=11,"Riesgo Bajo","Cliente Blindado")))</f>
        <v>Demasiado Riesgo</v>
      </c>
      <c r="BC299" s="171"/>
      <c r="BD299" s="171"/>
      <c r="BE299" s="171">
        <v>0</v>
      </c>
      <c r="BF299" s="171"/>
      <c r="BG299" s="171"/>
      <c r="BH299" s="171"/>
      <c r="BI299" s="171"/>
      <c r="BJ299" s="171"/>
      <c r="BK299" s="171"/>
      <c r="BL299" s="171"/>
      <c r="BM299" s="171"/>
      <c r="BN299" s="171"/>
      <c r="BO299" s="171"/>
      <c r="BP299" s="171"/>
      <c r="BQ299" s="171"/>
      <c r="BR299" s="171"/>
      <c r="BS299" s="171"/>
      <c r="BT299" s="171"/>
      <c r="BU299" s="171"/>
      <c r="BV299" s="171"/>
      <c r="BW299" s="171"/>
      <c r="BX299" s="171"/>
      <c r="BY299" s="171"/>
      <c r="BZ299" s="171"/>
      <c r="CA299" s="171">
        <f>COUNTIF(AJ299:AX299,"*OK*")</f>
        <v>0</v>
      </c>
      <c r="CB299" s="171"/>
      <c r="CC299" s="171">
        <f>COUNTIF(AJ299:AX299,"*OP*")</f>
        <v>0</v>
      </c>
    </row>
    <row r="300" spans="1:81" ht="15" customHeight="1">
      <c r="A300" s="240">
        <v>34359</v>
      </c>
      <c r="B300" s="171"/>
      <c r="C300" s="468">
        <f>T300</f>
        <v>94.28</v>
      </c>
      <c r="D300" s="171">
        <f>COUNTIF(AJ300:AX300,"*OK*")</f>
        <v>0</v>
      </c>
      <c r="E300" s="171"/>
      <c r="F300" s="183" t="s">
        <v>926</v>
      </c>
      <c r="G300" s="183"/>
      <c r="H300" s="168" t="s">
        <v>455</v>
      </c>
      <c r="I300" s="179"/>
      <c r="J300" s="183"/>
      <c r="K300" s="192" t="s">
        <v>68</v>
      </c>
      <c r="L300" s="173" t="s">
        <v>456</v>
      </c>
      <c r="M300" s="183"/>
      <c r="N300" s="183"/>
      <c r="O300" s="172">
        <v>104.41</v>
      </c>
      <c r="P300" s="172">
        <v>108.66</v>
      </c>
      <c r="Q300" s="172">
        <v>99.41</v>
      </c>
      <c r="R300" s="193">
        <v>98.33</v>
      </c>
      <c r="S300" s="510">
        <v>108.3207</v>
      </c>
      <c r="T300" s="550">
        <v>94.28</v>
      </c>
      <c r="U300" s="175"/>
      <c r="V300" s="176">
        <v>200</v>
      </c>
      <c r="W300" s="194"/>
      <c r="X300" s="209" t="s">
        <v>70</v>
      </c>
      <c r="Y300" s="177" t="s">
        <v>89</v>
      </c>
      <c r="Z300" s="178" t="s">
        <v>927</v>
      </c>
      <c r="AA300" s="176" t="s">
        <v>71</v>
      </c>
      <c r="AB300" s="178" t="s">
        <v>159</v>
      </c>
      <c r="AC300" s="179"/>
      <c r="AD300" s="171"/>
      <c r="AE300" s="171"/>
      <c r="AF300" s="171"/>
      <c r="AG300" s="171"/>
      <c r="AH300" s="171"/>
      <c r="AI300" s="174" t="s">
        <v>59</v>
      </c>
      <c r="AJ300" s="170"/>
      <c r="AK300" s="170"/>
      <c r="AL300" s="170"/>
      <c r="AM300" s="170"/>
      <c r="AN300" s="170"/>
      <c r="AO300" s="170"/>
      <c r="AP300" s="170"/>
      <c r="AQ300" s="170"/>
      <c r="AR300" s="170"/>
      <c r="AS300" s="170"/>
      <c r="AT300" s="170"/>
      <c r="AU300" s="170"/>
      <c r="AV300" s="170"/>
      <c r="AW300" s="170"/>
      <c r="AX300" s="170"/>
      <c r="AY300" s="170"/>
      <c r="AZ300" s="180" t="s">
        <v>59</v>
      </c>
      <c r="BA300" s="171">
        <f>(COUNTIF(AJ300:AL300,"*OK*")*3) + (COUNTIF(AM300:AO300,"*OK*")*2) + COUNTIF(AP300:AR300,"*OK*")+COUNTIF(AZ300:AZ300,"SI")*0.5</f>
        <v>0</v>
      </c>
      <c r="BB300" s="171" t="str">
        <f>IF(BA300&lt;0.6,"Demasiado Riesgo",IF(BA300&lt;=5,"Riesgo Medio",IF(BA300&lt;=11,"Riesgo Bajo","Cliente Blindado")))</f>
        <v>Demasiado Riesgo</v>
      </c>
      <c r="BC300" s="171"/>
      <c r="BD300" s="171"/>
      <c r="BE300" s="171">
        <v>0</v>
      </c>
      <c r="BF300" s="171"/>
      <c r="BG300" s="171"/>
      <c r="BH300" s="171"/>
      <c r="BI300" s="171"/>
      <c r="BJ300" s="171"/>
      <c r="BK300" s="171"/>
      <c r="BL300" s="171"/>
      <c r="BM300" s="171"/>
      <c r="BN300" s="171"/>
      <c r="BO300" s="171"/>
      <c r="BP300" s="171"/>
      <c r="BQ300" s="171"/>
      <c r="BR300" s="171"/>
      <c r="BS300" s="171"/>
      <c r="BT300" s="171"/>
      <c r="BU300" s="171"/>
      <c r="BV300" s="171"/>
      <c r="BW300" s="171"/>
      <c r="BX300" s="171"/>
      <c r="BY300" s="171"/>
      <c r="BZ300" s="171"/>
      <c r="CA300" s="171">
        <f>COUNTIF(AJ300:AX300,"*OK*")</f>
        <v>0</v>
      </c>
      <c r="CB300" s="171"/>
      <c r="CC300" s="171">
        <f>COUNTIF(AJ300:AX300,"*OP*")</f>
        <v>0</v>
      </c>
    </row>
    <row r="301" spans="1:81" ht="15" customHeight="1">
      <c r="A301" s="241"/>
      <c r="B301" s="160"/>
      <c r="C301" s="468">
        <f>T301</f>
        <v>94.5</v>
      </c>
      <c r="D301" s="160">
        <f>COUNTIF(AJ301:AX301,"*OK*")</f>
        <v>0</v>
      </c>
      <c r="E301" s="160"/>
      <c r="F301" s="182" t="s">
        <v>928</v>
      </c>
      <c r="G301" s="182"/>
      <c r="H301" s="168" t="s">
        <v>455</v>
      </c>
      <c r="I301" s="168"/>
      <c r="J301" s="182"/>
      <c r="K301" s="182" t="s">
        <v>68</v>
      </c>
      <c r="L301" s="173" t="s">
        <v>456</v>
      </c>
      <c r="M301" s="182"/>
      <c r="N301" s="182"/>
      <c r="O301" s="161">
        <v>105.85</v>
      </c>
      <c r="P301" s="161">
        <v>109.06</v>
      </c>
      <c r="Q301" s="161">
        <v>100.79</v>
      </c>
      <c r="R301" s="186">
        <v>107.28</v>
      </c>
      <c r="S301" s="510">
        <v>125.19799999999999</v>
      </c>
      <c r="T301" s="551">
        <v>94.5</v>
      </c>
      <c r="U301" s="164"/>
      <c r="V301" s="165">
        <v>100</v>
      </c>
      <c r="W301" s="187"/>
      <c r="X301" s="208" t="s">
        <v>70</v>
      </c>
      <c r="Y301" s="166" t="s">
        <v>71</v>
      </c>
      <c r="Z301" s="167" t="s">
        <v>929</v>
      </c>
      <c r="AA301" s="165" t="s">
        <v>71</v>
      </c>
      <c r="AB301" s="167" t="s">
        <v>159</v>
      </c>
      <c r="AC301" s="168"/>
      <c r="AD301" s="160"/>
      <c r="AE301" s="160"/>
      <c r="AF301" s="160"/>
      <c r="AG301" s="160"/>
      <c r="AH301" s="160"/>
      <c r="AI301" s="163" t="s">
        <v>59</v>
      </c>
      <c r="AJ301" s="170"/>
      <c r="AK301" s="170"/>
      <c r="AL301" s="170"/>
      <c r="AM301" s="170"/>
      <c r="AN301" s="170"/>
      <c r="AO301" s="170"/>
      <c r="AP301" s="170"/>
      <c r="AQ301" s="170"/>
      <c r="AR301" s="170"/>
      <c r="AS301" s="170"/>
      <c r="AT301" s="170"/>
      <c r="AU301" s="170"/>
      <c r="AV301" s="170"/>
      <c r="AW301" s="170"/>
      <c r="AX301" s="170"/>
      <c r="AY301" s="170"/>
      <c r="AZ301" s="169" t="s">
        <v>59</v>
      </c>
      <c r="BA301" s="160">
        <f>(COUNTIF(AJ301:AL301,"*OK*")*3) + (COUNTIF(AM301:AO301,"*OK*")*2) + COUNTIF(AP301:AR301,"*OK*")+COUNTIF(AZ301:AZ301,"SI")*0.5</f>
        <v>0</v>
      </c>
      <c r="BB301" s="160" t="str">
        <f>IF(BA301&lt;0.6,"Demasiado Riesgo",IF(BA301&lt;=5,"Riesgo Medio",IF(BA301&lt;=11,"Riesgo Bajo","Cliente Blindado")))</f>
        <v>Demasiado Riesgo</v>
      </c>
      <c r="BC301" s="160"/>
      <c r="BD301" s="160"/>
      <c r="BE301" s="160">
        <v>0</v>
      </c>
      <c r="BF301" s="160"/>
      <c r="BG301" s="160"/>
      <c r="BH301" s="160"/>
      <c r="BI301" s="160"/>
      <c r="BJ301" s="160"/>
      <c r="BK301" s="160"/>
      <c r="BL301" s="160"/>
      <c r="BM301" s="160"/>
      <c r="BN301" s="160"/>
      <c r="BO301" s="160"/>
      <c r="BP301" s="160"/>
      <c r="BQ301" s="160"/>
      <c r="BR301" s="160"/>
      <c r="BS301" s="160"/>
      <c r="BT301" s="160"/>
      <c r="BU301" s="160"/>
      <c r="BV301" s="160"/>
      <c r="BW301" s="160"/>
      <c r="BX301" s="160"/>
      <c r="BY301" s="160"/>
      <c r="BZ301" s="160"/>
      <c r="CA301" s="160">
        <f>COUNTIF(AJ301:AX301,"*OK*")</f>
        <v>0</v>
      </c>
      <c r="CB301" s="160"/>
      <c r="CC301" s="160">
        <f>COUNTIF(AJ301:AX301,"*OP*")</f>
        <v>0</v>
      </c>
    </row>
    <row r="302" spans="1:81" ht="15" hidden="1" customHeight="1">
      <c r="A302" s="241"/>
      <c r="B302" s="160"/>
      <c r="C302" s="468">
        <f>T302</f>
        <v>97.24</v>
      </c>
      <c r="D302" s="160">
        <f>COUNTIF(AJ302:AX302,"*OK*")</f>
        <v>0</v>
      </c>
      <c r="E302" s="160"/>
      <c r="F302" s="182" t="s">
        <v>930</v>
      </c>
      <c r="G302" s="182"/>
      <c r="H302" s="168"/>
      <c r="I302" s="168"/>
      <c r="J302" s="182"/>
      <c r="K302" s="182" t="s">
        <v>68</v>
      </c>
      <c r="L302" s="182" t="s">
        <v>733</v>
      </c>
      <c r="M302" s="182"/>
      <c r="N302" s="182"/>
      <c r="O302" s="161">
        <v>82.26</v>
      </c>
      <c r="P302" s="161">
        <v>92.05</v>
      </c>
      <c r="Q302" s="161">
        <v>90.86</v>
      </c>
      <c r="R302" s="186">
        <v>93.78</v>
      </c>
      <c r="S302" s="510">
        <v>98.320599999999999</v>
      </c>
      <c r="T302" s="551">
        <v>97.24</v>
      </c>
      <c r="U302" s="164"/>
      <c r="V302" s="165">
        <v>100</v>
      </c>
      <c r="W302" s="187"/>
      <c r="X302" s="203" t="s">
        <v>247</v>
      </c>
      <c r="Y302" s="166" t="s">
        <v>162</v>
      </c>
      <c r="Z302" s="167" t="s">
        <v>931</v>
      </c>
      <c r="AA302" s="165" t="s">
        <v>162</v>
      </c>
      <c r="AB302" s="167" t="s">
        <v>240</v>
      </c>
      <c r="AC302" s="168"/>
      <c r="AD302" s="160"/>
      <c r="AE302" s="160"/>
      <c r="AF302" s="160"/>
      <c r="AG302" s="160"/>
      <c r="AH302" s="160"/>
      <c r="AI302" s="163" t="s">
        <v>59</v>
      </c>
      <c r="AJ302" s="170"/>
      <c r="AK302" s="170"/>
      <c r="AL302" s="170"/>
      <c r="AM302" s="170"/>
      <c r="AN302" s="170"/>
      <c r="AO302" s="170"/>
      <c r="AP302" s="170"/>
      <c r="AQ302" s="170"/>
      <c r="AR302" s="170"/>
      <c r="AS302" s="170"/>
      <c r="AT302" s="170"/>
      <c r="AU302" s="170"/>
      <c r="AV302" s="170"/>
      <c r="AW302" s="170"/>
      <c r="AX302" s="170"/>
      <c r="AY302" s="170"/>
      <c r="AZ302" s="169" t="s">
        <v>59</v>
      </c>
      <c r="BA302" s="160">
        <f>(COUNTIF(AJ302:AL302,"*OK*")*3) + (COUNTIF(AM302:AO302,"*OK*")*2) + COUNTIF(AP302:AR302,"*OK*")+COUNTIF(AZ302:AZ302,"SI")*0.5</f>
        <v>0</v>
      </c>
      <c r="BB302" s="160" t="str">
        <f>IF(BA302&lt;0.6,"Demasiado Riesgo",IF(BA302&lt;=5,"Riesgo Medio",IF(BA302&lt;=11,"Riesgo Bajo","Cliente Blindado")))</f>
        <v>Demasiado Riesgo</v>
      </c>
      <c r="BC302" s="160"/>
      <c r="BD302" s="160"/>
      <c r="BE302" s="160">
        <v>0</v>
      </c>
      <c r="BF302" s="160"/>
      <c r="BG302" s="160"/>
      <c r="BH302" s="160"/>
      <c r="BI302" s="160"/>
      <c r="BJ302" s="160"/>
      <c r="BK302" s="160"/>
      <c r="BL302" s="160"/>
      <c r="BM302" s="160"/>
      <c r="BN302" s="160"/>
      <c r="BO302" s="160"/>
      <c r="BP302" s="160"/>
      <c r="BQ302" s="160"/>
      <c r="BR302" s="160"/>
      <c r="BS302" s="160"/>
      <c r="BT302" s="160"/>
      <c r="BU302" s="160"/>
      <c r="BV302" s="160"/>
      <c r="BW302" s="160"/>
      <c r="BX302" s="160"/>
      <c r="BY302" s="160"/>
      <c r="BZ302" s="160"/>
      <c r="CA302" s="160">
        <f>COUNTIF(AJ302:AX302,"*OK*")</f>
        <v>0</v>
      </c>
      <c r="CB302" s="160"/>
      <c r="CC302" s="160">
        <f>COUNTIF(AJ302:AX302,"*OP*")</f>
        <v>0</v>
      </c>
    </row>
    <row r="303" spans="1:81" ht="15" customHeight="1">
      <c r="A303" s="241">
        <v>27835</v>
      </c>
      <c r="B303" s="160"/>
      <c r="C303" s="468">
        <f>T303</f>
        <v>99.53</v>
      </c>
      <c r="D303" s="160">
        <f>COUNTIF(AJ303:AX303,"*OK*")</f>
        <v>0</v>
      </c>
      <c r="E303" s="160"/>
      <c r="F303" s="182" t="s">
        <v>932</v>
      </c>
      <c r="G303" s="182"/>
      <c r="H303" s="168" t="s">
        <v>455</v>
      </c>
      <c r="I303" s="168"/>
      <c r="J303" s="182"/>
      <c r="K303" s="182" t="s">
        <v>68</v>
      </c>
      <c r="L303" s="173" t="s">
        <v>456</v>
      </c>
      <c r="M303" s="182"/>
      <c r="N303" s="182"/>
      <c r="O303" s="161">
        <v>109.46</v>
      </c>
      <c r="P303" s="161">
        <v>109.36</v>
      </c>
      <c r="Q303" s="161">
        <v>100.21</v>
      </c>
      <c r="R303" s="186">
        <v>103.43</v>
      </c>
      <c r="S303" s="510">
        <v>100.6326</v>
      </c>
      <c r="T303" s="551">
        <v>99.53</v>
      </c>
      <c r="U303" s="164"/>
      <c r="V303" s="165">
        <v>100</v>
      </c>
      <c r="W303" s="187"/>
      <c r="X303" s="203" t="s">
        <v>253</v>
      </c>
      <c r="Y303" s="166" t="s">
        <v>152</v>
      </c>
      <c r="Z303" s="167" t="s">
        <v>933</v>
      </c>
      <c r="AA303" s="165" t="s">
        <v>59</v>
      </c>
      <c r="AB303" s="167" t="s">
        <v>194</v>
      </c>
      <c r="AC303" s="168"/>
      <c r="AD303" s="160"/>
      <c r="AE303" s="160"/>
      <c r="AF303" s="160"/>
      <c r="AG303" s="160"/>
      <c r="AH303" s="160"/>
      <c r="AI303" s="163" t="s">
        <v>59</v>
      </c>
      <c r="AJ303" s="170"/>
      <c r="AK303" s="170"/>
      <c r="AL303" s="170"/>
      <c r="AM303" s="170"/>
      <c r="AN303" s="170"/>
      <c r="AO303" s="170"/>
      <c r="AP303" s="170"/>
      <c r="AQ303" s="170"/>
      <c r="AR303" s="170"/>
      <c r="AS303" s="170"/>
      <c r="AT303" s="170"/>
      <c r="AU303" s="170"/>
      <c r="AV303" s="170"/>
      <c r="AW303" s="170"/>
      <c r="AX303" s="170"/>
      <c r="AY303" s="170"/>
      <c r="AZ303" s="169" t="s">
        <v>59</v>
      </c>
      <c r="BA303" s="160">
        <f>(COUNTIF(AJ303:AL303,"*OK*")*3) + (COUNTIF(AM303:AO303,"*OK*")*2) + COUNTIF(AP303:AR303,"*OK*")+COUNTIF(AZ303:AZ303,"SI")*0.5</f>
        <v>0</v>
      </c>
      <c r="BB303" s="160" t="str">
        <f>IF(BA303&lt;0.6,"Demasiado Riesgo",IF(BA303&lt;=5,"Riesgo Medio",IF(BA303&lt;=11,"Riesgo Bajo","Cliente Blindado")))</f>
        <v>Demasiado Riesgo</v>
      </c>
      <c r="BC303" s="160"/>
      <c r="BD303" s="160"/>
      <c r="BE303" s="160">
        <v>0</v>
      </c>
      <c r="BF303" s="160"/>
      <c r="BG303" s="160"/>
      <c r="BH303" s="160"/>
      <c r="BI303" s="160"/>
      <c r="BJ303" s="160"/>
      <c r="BK303" s="160"/>
      <c r="BL303" s="160"/>
      <c r="BM303" s="160"/>
      <c r="BN303" s="160"/>
      <c r="BO303" s="160"/>
      <c r="BP303" s="160"/>
      <c r="BQ303" s="160"/>
      <c r="BR303" s="160"/>
      <c r="BS303" s="160"/>
      <c r="BT303" s="160"/>
      <c r="BU303" s="160"/>
      <c r="BV303" s="160"/>
      <c r="BW303" s="160"/>
      <c r="BX303" s="160"/>
      <c r="BY303" s="160"/>
      <c r="BZ303" s="160"/>
      <c r="CA303" s="160">
        <f>COUNTIF(AJ303:AX303,"*OK*")</f>
        <v>0</v>
      </c>
      <c r="CB303" s="160"/>
      <c r="CC303" s="160">
        <f>COUNTIF(AJ303:AX303,"*OP*")</f>
        <v>0</v>
      </c>
    </row>
    <row r="304" spans="1:81" ht="15" hidden="1" customHeight="1">
      <c r="A304" s="240">
        <v>1889</v>
      </c>
      <c r="B304" s="171"/>
      <c r="C304" s="468">
        <f>T304</f>
        <v>99.93</v>
      </c>
      <c r="D304" s="171">
        <f>COUNTIF(AJ304:AX304,"*OK*")</f>
        <v>0</v>
      </c>
      <c r="E304" s="171"/>
      <c r="F304" s="183" t="s">
        <v>934</v>
      </c>
      <c r="G304" s="183"/>
      <c r="H304" s="179"/>
      <c r="I304" s="179"/>
      <c r="J304" s="183"/>
      <c r="K304" s="183" t="s">
        <v>68</v>
      </c>
      <c r="L304" s="183" t="s">
        <v>733</v>
      </c>
      <c r="M304" s="183"/>
      <c r="N304" s="183"/>
      <c r="O304" s="172">
        <v>106.98</v>
      </c>
      <c r="P304" s="172">
        <v>106.88</v>
      </c>
      <c r="Q304" s="172">
        <v>100.1</v>
      </c>
      <c r="R304" s="193">
        <v>101.51</v>
      </c>
      <c r="S304" s="510">
        <v>0</v>
      </c>
      <c r="T304" s="550">
        <v>99.93</v>
      </c>
      <c r="U304" s="175"/>
      <c r="V304" s="176">
        <v>100</v>
      </c>
      <c r="W304" s="194"/>
      <c r="X304" s="209" t="s">
        <v>70</v>
      </c>
      <c r="Y304" s="177" t="s">
        <v>141</v>
      </c>
      <c r="Z304" s="178" t="s">
        <v>935</v>
      </c>
      <c r="AA304" s="176" t="s">
        <v>59</v>
      </c>
      <c r="AB304" s="195" t="s">
        <v>159</v>
      </c>
      <c r="AC304" s="179"/>
      <c r="AD304" s="171"/>
      <c r="AE304" s="171"/>
      <c r="AF304" s="171"/>
      <c r="AG304" s="171"/>
      <c r="AH304" s="171"/>
      <c r="AI304" s="174" t="s">
        <v>59</v>
      </c>
      <c r="AJ304" s="170"/>
      <c r="AK304" s="170"/>
      <c r="AL304" s="170"/>
      <c r="AM304" s="170"/>
      <c r="AN304" s="170"/>
      <c r="AO304" s="170"/>
      <c r="AP304" s="170"/>
      <c r="AQ304" s="170"/>
      <c r="AR304" s="170"/>
      <c r="AS304" s="170"/>
      <c r="AT304" s="170"/>
      <c r="AU304" s="170"/>
      <c r="AV304" s="170"/>
      <c r="AW304" s="170"/>
      <c r="AX304" s="170"/>
      <c r="AY304" s="170"/>
      <c r="AZ304" s="180" t="s">
        <v>59</v>
      </c>
      <c r="BA304" s="171">
        <f>(COUNTIF(AJ304:AL304,"*OK*")*3) + (COUNTIF(AM304:AO304,"*OK*")*2) + COUNTIF(AP304:AR304,"*OK*")+COUNTIF(AZ304:AZ304,"SI")*0.5</f>
        <v>0</v>
      </c>
      <c r="BB304" s="171" t="str">
        <f>IF(BA304&lt;0.6,"Demasiado Riesgo",IF(BA304&lt;=5,"Riesgo Medio",IF(BA304&lt;=11,"Riesgo Bajo","Cliente Blindado")))</f>
        <v>Demasiado Riesgo</v>
      </c>
      <c r="BC304" s="171"/>
      <c r="BD304" s="171"/>
      <c r="BE304" s="171">
        <v>0</v>
      </c>
      <c r="BF304" s="171"/>
      <c r="BG304" s="171"/>
      <c r="BH304" s="171"/>
      <c r="BI304" s="171"/>
      <c r="BJ304" s="171"/>
      <c r="BK304" s="171"/>
      <c r="BL304" s="171"/>
      <c r="BM304" s="171"/>
      <c r="BN304" s="171"/>
      <c r="BO304" s="171"/>
      <c r="BP304" s="171"/>
      <c r="BQ304" s="171"/>
      <c r="BR304" s="171"/>
      <c r="BS304" s="171"/>
      <c r="BT304" s="171"/>
      <c r="BU304" s="171"/>
      <c r="BV304" s="171"/>
      <c r="BW304" s="171"/>
      <c r="BX304" s="171"/>
      <c r="BY304" s="171"/>
      <c r="BZ304" s="171"/>
      <c r="CA304" s="171">
        <f>COUNTIF(AJ304:AX304,"*OK*")</f>
        <v>0</v>
      </c>
      <c r="CB304" s="171"/>
      <c r="CC304" s="171">
        <f>COUNTIF(AJ304:AX304,"*OP*")</f>
        <v>0</v>
      </c>
    </row>
    <row r="305" spans="1:81" ht="15" hidden="1" customHeight="1">
      <c r="A305" s="501">
        <v>5774</v>
      </c>
      <c r="B305" s="162"/>
      <c r="C305" s="468">
        <f>T305</f>
        <v>100.03</v>
      </c>
      <c r="D305" s="160">
        <f>COUNTIF(AJ305:AX305,"*OK*")</f>
        <v>0</v>
      </c>
      <c r="E305" s="160"/>
      <c r="F305" s="182" t="s">
        <v>936</v>
      </c>
      <c r="G305" s="182"/>
      <c r="H305" s="168"/>
      <c r="I305" s="168"/>
      <c r="J305" s="182"/>
      <c r="K305" s="213" t="s">
        <v>68</v>
      </c>
      <c r="L305" s="182" t="s">
        <v>733</v>
      </c>
      <c r="M305" s="182"/>
      <c r="N305" s="182"/>
      <c r="O305" s="161">
        <v>78.98</v>
      </c>
      <c r="P305" s="161">
        <v>93.94</v>
      </c>
      <c r="Q305" s="161">
        <v>93.1</v>
      </c>
      <c r="R305" s="186">
        <v>96.1</v>
      </c>
      <c r="S305" s="510">
        <v>97.392799999999994</v>
      </c>
      <c r="T305" s="553">
        <v>100.03</v>
      </c>
      <c r="U305" s="164"/>
      <c r="V305" s="165">
        <v>100</v>
      </c>
      <c r="W305" s="187"/>
      <c r="X305" s="207" t="s">
        <v>70</v>
      </c>
      <c r="Y305" s="166" t="s">
        <v>243</v>
      </c>
      <c r="Z305" s="167" t="s">
        <v>937</v>
      </c>
      <c r="AA305" s="165" t="s">
        <v>59</v>
      </c>
      <c r="AB305" s="167" t="s">
        <v>505</v>
      </c>
      <c r="AC305" s="168"/>
      <c r="AD305" s="160"/>
      <c r="AE305" s="160"/>
      <c r="AF305" s="160"/>
      <c r="AG305" s="160"/>
      <c r="AH305" s="160"/>
      <c r="AI305" s="163" t="s">
        <v>59</v>
      </c>
      <c r="AJ305" s="170"/>
      <c r="AK305" s="170"/>
      <c r="AL305" s="170"/>
      <c r="AM305" s="170"/>
      <c r="AN305" s="170"/>
      <c r="AO305" s="170"/>
      <c r="AP305" s="170"/>
      <c r="AQ305" s="170"/>
      <c r="AR305" s="170"/>
      <c r="AS305" s="170"/>
      <c r="AT305" s="170"/>
      <c r="AU305" s="170"/>
      <c r="AV305" s="170"/>
      <c r="AW305" s="170"/>
      <c r="AX305" s="170"/>
      <c r="AY305" s="170"/>
      <c r="AZ305" s="169" t="s">
        <v>59</v>
      </c>
      <c r="BA305" s="160">
        <f>(COUNTIF(AJ305:AL305,"*OK*")*3) + (COUNTIF(AM305:AO305,"*OK*")*2) + COUNTIF(AP305:AR305,"*OK*")+COUNTIF(AZ305:AZ305,"SI")*0.5</f>
        <v>0</v>
      </c>
      <c r="BB305" s="160" t="str">
        <f>IF(BA305&lt;0.6,"Demasiado Riesgo",IF(BA305&lt;=5,"Riesgo Medio",IF(BA305&lt;=11,"Riesgo Bajo","Cliente Blindado")))</f>
        <v>Demasiado Riesgo</v>
      </c>
      <c r="BC305" s="160"/>
      <c r="BD305" s="160"/>
      <c r="BE305" s="160">
        <v>0</v>
      </c>
      <c r="BF305" s="160"/>
      <c r="BG305" s="160"/>
      <c r="BH305" s="160"/>
      <c r="BI305" s="160"/>
      <c r="BJ305" s="160"/>
      <c r="BK305" s="160"/>
      <c r="BL305" s="160"/>
      <c r="BM305" s="160"/>
      <c r="BN305" s="160"/>
      <c r="BO305" s="160"/>
      <c r="BP305" s="160"/>
      <c r="BQ305" s="160"/>
      <c r="BR305" s="160"/>
      <c r="BS305" s="160"/>
      <c r="BT305" s="160"/>
      <c r="BU305" s="160"/>
      <c r="BV305" s="160"/>
      <c r="BW305" s="160"/>
      <c r="BX305" s="160"/>
      <c r="BY305" s="160"/>
      <c r="BZ305" s="160"/>
      <c r="CA305" s="160">
        <f>COUNTIF(AJ305:AX305,"*OK*")</f>
        <v>0</v>
      </c>
      <c r="CB305" s="160"/>
      <c r="CC305" s="160">
        <f>COUNTIF(AJ305:AX305,"*OP*")</f>
        <v>0</v>
      </c>
    </row>
    <row r="306" spans="1:81" ht="15" customHeight="1">
      <c r="A306" s="240"/>
      <c r="B306" s="171"/>
      <c r="C306" s="468">
        <f>T306</f>
        <v>101.27</v>
      </c>
      <c r="D306" s="171">
        <f>COUNTIF(AN306:AY306,"OK")</f>
        <v>0</v>
      </c>
      <c r="E306" s="171"/>
      <c r="F306" s="171" t="s">
        <v>938</v>
      </c>
      <c r="G306" s="171"/>
      <c r="H306" s="168" t="s">
        <v>455</v>
      </c>
      <c r="I306" s="179"/>
      <c r="J306" s="171"/>
      <c r="K306" s="236" t="s">
        <v>68</v>
      </c>
      <c r="L306" s="173" t="s">
        <v>456</v>
      </c>
      <c r="M306" s="171"/>
      <c r="N306" s="171"/>
      <c r="O306" s="161"/>
      <c r="P306" s="161"/>
      <c r="Q306" s="161"/>
      <c r="R306" s="186">
        <v>101.04</v>
      </c>
      <c r="S306" s="510">
        <v>102.39579999999999</v>
      </c>
      <c r="T306" s="552">
        <v>101.27</v>
      </c>
      <c r="U306" s="175"/>
      <c r="V306" s="176" t="s">
        <v>59</v>
      </c>
      <c r="W306" s="171"/>
      <c r="X306" s="177"/>
      <c r="Y306" s="177"/>
      <c r="Z306" s="178"/>
      <c r="AA306" s="174" t="s">
        <v>59</v>
      </c>
      <c r="AB306" s="178"/>
      <c r="AC306" s="179"/>
      <c r="AD306" s="171"/>
      <c r="AE306" s="171"/>
      <c r="AF306" s="171"/>
      <c r="AG306" s="171"/>
      <c r="AH306" s="171"/>
      <c r="AI306" s="174"/>
      <c r="AJ306" s="170"/>
      <c r="AK306" s="170"/>
      <c r="AL306" s="170"/>
      <c r="AM306" s="170"/>
      <c r="AN306" s="170"/>
      <c r="AO306" s="170"/>
      <c r="AP306" s="170"/>
      <c r="AQ306" s="170"/>
      <c r="AR306" s="170"/>
      <c r="AS306" s="170"/>
      <c r="AT306" s="170"/>
      <c r="AU306" s="170"/>
      <c r="AV306" s="170"/>
      <c r="AW306" s="170"/>
      <c r="AX306" s="170"/>
      <c r="AY306" s="170"/>
      <c r="AZ306" s="180" t="s">
        <v>59</v>
      </c>
      <c r="BA306" s="171">
        <f>(COUNTIF(AJ306:AL306,"*OK*")*3) + (COUNTIF(AM306:AO306,"*OK*")*2) + COUNTIF(AP306:AR306,"*OK*")+COUNTIF(AZ306:AZ306,"SI")*0.5</f>
        <v>0</v>
      </c>
      <c r="BB306" s="171" t="str">
        <f>IF(BA306&lt;0.6,"Demasiado Riesgo",IF(BA306&lt;=5,"Riesgo Medio",IF(BA306&lt;=11,"Riesgo Bajo","Cliente Blindado")))</f>
        <v>Demasiado Riesgo</v>
      </c>
      <c r="BC306" s="171"/>
      <c r="BD306" s="171"/>
      <c r="BE306" s="171"/>
      <c r="BF306" s="171"/>
      <c r="BG306" s="171"/>
      <c r="BH306" s="171"/>
      <c r="BI306" s="171"/>
      <c r="BJ306" s="171"/>
      <c r="BK306" s="171"/>
      <c r="BL306" s="171"/>
      <c r="BM306" s="171"/>
      <c r="BN306" s="171"/>
      <c r="BO306" s="171"/>
      <c r="BP306" s="171"/>
      <c r="BQ306" s="171"/>
      <c r="BR306" s="171"/>
      <c r="BS306" s="171"/>
      <c r="BT306" s="171"/>
      <c r="BU306" s="171"/>
      <c r="BV306" s="171"/>
      <c r="BW306" s="171"/>
      <c r="BX306" s="171"/>
      <c r="BY306" s="171"/>
      <c r="BZ306" s="171"/>
      <c r="CA306" s="171">
        <f>COUNTIF(AJ306:AX306,"*OK*")</f>
        <v>0</v>
      </c>
      <c r="CB306" s="171"/>
      <c r="CC306" s="171">
        <f>COUNTIF(AJ306:AX306,"*OP*")</f>
        <v>0</v>
      </c>
    </row>
    <row r="307" spans="1:81" ht="15" customHeight="1">
      <c r="A307" s="240">
        <v>26405</v>
      </c>
      <c r="B307" s="171"/>
      <c r="C307" s="468">
        <f>T307</f>
        <v>105.94</v>
      </c>
      <c r="D307" s="171">
        <f>COUNTIF(AJ307:AX307,"*OK*")</f>
        <v>0</v>
      </c>
      <c r="E307" s="171"/>
      <c r="F307" s="183" t="s">
        <v>939</v>
      </c>
      <c r="G307" s="183"/>
      <c r="H307" s="168" t="s">
        <v>455</v>
      </c>
      <c r="I307" s="179"/>
      <c r="J307" s="183"/>
      <c r="K307" s="183" t="s">
        <v>68</v>
      </c>
      <c r="L307" s="173" t="s">
        <v>456</v>
      </c>
      <c r="M307" s="183"/>
      <c r="N307" s="183"/>
      <c r="O307" s="172">
        <v>80.66</v>
      </c>
      <c r="P307" s="172">
        <v>97.68</v>
      </c>
      <c r="Q307" s="172">
        <v>102.4</v>
      </c>
      <c r="R307" s="193">
        <v>108.1</v>
      </c>
      <c r="S307" s="510">
        <v>107.1168</v>
      </c>
      <c r="T307" s="550">
        <v>105.94</v>
      </c>
      <c r="U307" s="175"/>
      <c r="V307" s="176">
        <v>300</v>
      </c>
      <c r="W307" s="194"/>
      <c r="X307" s="205" t="s">
        <v>253</v>
      </c>
      <c r="Y307" s="177" t="s">
        <v>80</v>
      </c>
      <c r="Z307" s="178" t="s">
        <v>940</v>
      </c>
      <c r="AA307" s="176" t="s">
        <v>59</v>
      </c>
      <c r="AB307" s="178" t="s">
        <v>104</v>
      </c>
      <c r="AC307" s="179"/>
      <c r="AD307" s="171"/>
      <c r="AE307" s="171"/>
      <c r="AF307" s="171"/>
      <c r="AG307" s="171"/>
      <c r="AH307" s="171"/>
      <c r="AI307" s="174" t="s">
        <v>59</v>
      </c>
      <c r="AJ307" s="170"/>
      <c r="AK307" s="170"/>
      <c r="AL307" s="170"/>
      <c r="AM307" s="170"/>
      <c r="AN307" s="170"/>
      <c r="AO307" s="170"/>
      <c r="AP307" s="170"/>
      <c r="AQ307" s="170"/>
      <c r="AR307" s="170"/>
      <c r="AS307" s="170"/>
      <c r="AT307" s="170"/>
      <c r="AU307" s="170"/>
      <c r="AV307" s="170"/>
      <c r="AW307" s="170"/>
      <c r="AX307" s="170"/>
      <c r="AY307" s="170"/>
      <c r="AZ307" s="180" t="s">
        <v>59</v>
      </c>
      <c r="BA307" s="171">
        <f>(COUNTIF(AJ307:AL307,"*OK*")*3) + (COUNTIF(AM307:AO307,"*OK*")*2) + COUNTIF(AP307:AR307,"*OK*")+COUNTIF(AZ307:AZ307,"SI")*0.5</f>
        <v>0</v>
      </c>
      <c r="BB307" s="171" t="str">
        <f>IF(BA307&lt;0.6,"Demasiado Riesgo",IF(BA307&lt;=5,"Riesgo Medio",IF(BA307&lt;=11,"Riesgo Bajo","Cliente Blindado")))</f>
        <v>Demasiado Riesgo</v>
      </c>
      <c r="BC307" s="171"/>
      <c r="BD307" s="171"/>
      <c r="BE307" s="171">
        <v>0</v>
      </c>
      <c r="BF307" s="171"/>
      <c r="BG307" s="171"/>
      <c r="BH307" s="171"/>
      <c r="BI307" s="171"/>
      <c r="BJ307" s="171"/>
      <c r="BK307" s="171"/>
      <c r="BL307" s="171"/>
      <c r="BM307" s="171"/>
      <c r="BN307" s="171"/>
      <c r="BO307" s="171"/>
      <c r="BP307" s="171"/>
      <c r="BQ307" s="171"/>
      <c r="BR307" s="171"/>
      <c r="BS307" s="171"/>
      <c r="BT307" s="171"/>
      <c r="BU307" s="171"/>
      <c r="BV307" s="171"/>
      <c r="BW307" s="171"/>
      <c r="BX307" s="171"/>
      <c r="BY307" s="171"/>
      <c r="BZ307" s="171"/>
      <c r="CA307" s="171">
        <f>COUNTIF(AJ307:AX307,"*OK*")</f>
        <v>0</v>
      </c>
      <c r="CB307" s="171"/>
      <c r="CC307" s="171">
        <f>COUNTIF(AJ307:AX307,"*OP*")</f>
        <v>0</v>
      </c>
    </row>
    <row r="308" spans="1:81" ht="15" customHeight="1">
      <c r="A308" s="241">
        <v>35970</v>
      </c>
      <c r="B308" s="160"/>
      <c r="C308" s="468">
        <f>T308</f>
        <v>106.05</v>
      </c>
      <c r="D308" s="160">
        <f>COUNTIF(AJ308:AX308,"*OK*")</f>
        <v>0</v>
      </c>
      <c r="E308" s="160"/>
      <c r="F308" s="182" t="s">
        <v>941</v>
      </c>
      <c r="G308" s="182"/>
      <c r="H308" s="168" t="s">
        <v>455</v>
      </c>
      <c r="I308" s="168"/>
      <c r="J308" s="182"/>
      <c r="K308" s="185" t="s">
        <v>68</v>
      </c>
      <c r="L308" s="173" t="s">
        <v>456</v>
      </c>
      <c r="M308" s="182"/>
      <c r="N308" s="182"/>
      <c r="O308" s="161"/>
      <c r="P308" s="161">
        <v>111.27</v>
      </c>
      <c r="Q308" s="161">
        <v>102.5</v>
      </c>
      <c r="R308" s="186">
        <v>105.8</v>
      </c>
      <c r="S308" s="510">
        <v>107.2231</v>
      </c>
      <c r="T308" s="550">
        <v>106.05</v>
      </c>
      <c r="U308" s="164"/>
      <c r="V308" s="165">
        <v>100</v>
      </c>
      <c r="W308" s="187"/>
      <c r="X308" s="208" t="s">
        <v>70</v>
      </c>
      <c r="Y308" s="166" t="s">
        <v>71</v>
      </c>
      <c r="Z308" s="167" t="s">
        <v>942</v>
      </c>
      <c r="AA308" s="165" t="s">
        <v>243</v>
      </c>
      <c r="AB308" s="167" t="s">
        <v>505</v>
      </c>
      <c r="AC308" s="168"/>
      <c r="AD308" s="160"/>
      <c r="AE308" s="160"/>
      <c r="AF308" s="160"/>
      <c r="AG308" s="160"/>
      <c r="AH308" s="160"/>
      <c r="AI308" s="163" t="s">
        <v>59</v>
      </c>
      <c r="AJ308" s="170"/>
      <c r="AK308" s="170"/>
      <c r="AL308" s="170"/>
      <c r="AM308" s="170"/>
      <c r="AN308" s="170"/>
      <c r="AO308" s="170"/>
      <c r="AP308" s="170"/>
      <c r="AQ308" s="170"/>
      <c r="AR308" s="170"/>
      <c r="AS308" s="170"/>
      <c r="AT308" s="170"/>
      <c r="AU308" s="170"/>
      <c r="AV308" s="170"/>
      <c r="AW308" s="170"/>
      <c r="AX308" s="170"/>
      <c r="AY308" s="170"/>
      <c r="AZ308" s="169" t="s">
        <v>59</v>
      </c>
      <c r="BA308" s="160">
        <f>(COUNTIF(AJ308:AL308,"*OK*")*3) + (COUNTIF(AM308:AO308,"*OK*")*2) + COUNTIF(AP308:AR308,"*OK*")+COUNTIF(AZ308:AZ308,"SI")*0.5</f>
        <v>0</v>
      </c>
      <c r="BB308" s="160" t="str">
        <f>IF(BA308&lt;0.6,"Demasiado Riesgo",IF(BA308&lt;=5,"Riesgo Medio",IF(BA308&lt;=11,"Riesgo Bajo","Cliente Blindado")))</f>
        <v>Demasiado Riesgo</v>
      </c>
      <c r="BC308" s="160"/>
      <c r="BD308" s="160"/>
      <c r="BE308" s="160">
        <v>0</v>
      </c>
      <c r="BF308" s="160"/>
      <c r="BG308" s="160"/>
      <c r="BH308" s="160"/>
      <c r="BI308" s="160"/>
      <c r="BJ308" s="160"/>
      <c r="BK308" s="160"/>
      <c r="BL308" s="160"/>
      <c r="BM308" s="160"/>
      <c r="BN308" s="160"/>
      <c r="BO308" s="160"/>
      <c r="BP308" s="160"/>
      <c r="BQ308" s="160"/>
      <c r="BR308" s="160"/>
      <c r="BS308" s="160"/>
      <c r="BT308" s="160"/>
      <c r="BU308" s="160"/>
      <c r="BV308" s="160"/>
      <c r="BW308" s="160"/>
      <c r="BX308" s="160"/>
      <c r="BY308" s="160"/>
      <c r="BZ308" s="160"/>
      <c r="CA308" s="160">
        <f>COUNTIF(AJ308:AX308,"*OK*")</f>
        <v>0</v>
      </c>
      <c r="CB308" s="160"/>
      <c r="CC308" s="160">
        <f>COUNTIF(AJ308:AX308,"*OP*")</f>
        <v>0</v>
      </c>
    </row>
    <row r="309" spans="1:81" ht="15" customHeight="1">
      <c r="A309" s="240"/>
      <c r="B309" s="171"/>
      <c r="C309" s="468">
        <f>T309</f>
        <v>107.02</v>
      </c>
      <c r="D309" s="171">
        <f>COUNTIF(AJ309:AX309,"*OK*")</f>
        <v>0</v>
      </c>
      <c r="E309" s="171"/>
      <c r="F309" s="183" t="s">
        <v>943</v>
      </c>
      <c r="G309" s="183"/>
      <c r="H309" s="168" t="s">
        <v>455</v>
      </c>
      <c r="I309" s="179"/>
      <c r="J309" s="183"/>
      <c r="K309" s="183" t="s">
        <v>68</v>
      </c>
      <c r="L309" s="173" t="s">
        <v>456</v>
      </c>
      <c r="M309" s="183"/>
      <c r="N309" s="183"/>
      <c r="O309" s="172">
        <v>112.66</v>
      </c>
      <c r="P309" s="172">
        <v>108.54</v>
      </c>
      <c r="Q309" s="172">
        <v>103.44</v>
      </c>
      <c r="R309" s="193">
        <v>106.77</v>
      </c>
      <c r="S309" s="510">
        <v>108.2046</v>
      </c>
      <c r="T309" s="551">
        <v>107.02</v>
      </c>
      <c r="U309" s="175"/>
      <c r="V309" s="176">
        <v>200</v>
      </c>
      <c r="W309" s="194"/>
      <c r="X309" s="211" t="s">
        <v>70</v>
      </c>
      <c r="Y309" s="177" t="s">
        <v>152</v>
      </c>
      <c r="Z309" s="178" t="s">
        <v>944</v>
      </c>
      <c r="AA309" s="176" t="s">
        <v>59</v>
      </c>
      <c r="AB309" s="178" t="s">
        <v>194</v>
      </c>
      <c r="AC309" s="179"/>
      <c r="AD309" s="171"/>
      <c r="AE309" s="171"/>
      <c r="AF309" s="171"/>
      <c r="AG309" s="171"/>
      <c r="AH309" s="171"/>
      <c r="AI309" s="174" t="s">
        <v>59</v>
      </c>
      <c r="AJ309" s="170"/>
      <c r="AK309" s="170"/>
      <c r="AL309" s="170"/>
      <c r="AM309" s="170"/>
      <c r="AN309" s="170"/>
      <c r="AO309" s="170"/>
      <c r="AP309" s="170"/>
      <c r="AQ309" s="170"/>
      <c r="AR309" s="170"/>
      <c r="AS309" s="170"/>
      <c r="AT309" s="170"/>
      <c r="AU309" s="170"/>
      <c r="AV309" s="170"/>
      <c r="AW309" s="170"/>
      <c r="AX309" s="170"/>
      <c r="AY309" s="170"/>
      <c r="AZ309" s="180" t="s">
        <v>59</v>
      </c>
      <c r="BA309" s="171">
        <f>(COUNTIF(AJ309:AL309,"*OK*")*3) + (COUNTIF(AM309:AO309,"*OK*")*2) + COUNTIF(AP309:AR309,"*OK*")+COUNTIF(AZ309:AZ309,"SI")*0.5</f>
        <v>0</v>
      </c>
      <c r="BB309" s="171" t="str">
        <f>IF(BA309&lt;0.6,"Demasiado Riesgo",IF(BA309&lt;=5,"Riesgo Medio",IF(BA309&lt;=11,"Riesgo Bajo","Cliente Blindado")))</f>
        <v>Demasiado Riesgo</v>
      </c>
      <c r="BC309" s="171"/>
      <c r="BD309" s="171"/>
      <c r="BE309" s="171">
        <v>0</v>
      </c>
      <c r="BF309" s="171"/>
      <c r="BG309" s="171"/>
      <c r="BH309" s="171"/>
      <c r="BI309" s="171"/>
      <c r="BJ309" s="171"/>
      <c r="BK309" s="171"/>
      <c r="BL309" s="171"/>
      <c r="BM309" s="171"/>
      <c r="BN309" s="171"/>
      <c r="BO309" s="171"/>
      <c r="BP309" s="171"/>
      <c r="BQ309" s="171"/>
      <c r="BR309" s="171"/>
      <c r="BS309" s="171"/>
      <c r="BT309" s="171"/>
      <c r="BU309" s="171"/>
      <c r="BV309" s="171"/>
      <c r="BW309" s="171"/>
      <c r="BX309" s="171"/>
      <c r="BY309" s="171"/>
      <c r="BZ309" s="171"/>
      <c r="CA309" s="171">
        <f>COUNTIF(AJ309:AX309,"*OK*")</f>
        <v>0</v>
      </c>
      <c r="CB309" s="171"/>
      <c r="CC309" s="171">
        <f>COUNTIF(AJ309:AX309,"*OP*")</f>
        <v>0</v>
      </c>
    </row>
    <row r="310" spans="1:81" ht="15" customHeight="1">
      <c r="A310" s="240">
        <v>27834</v>
      </c>
      <c r="B310" s="171"/>
      <c r="C310" s="468">
        <f>T310</f>
        <v>112.56</v>
      </c>
      <c r="D310" s="171">
        <f>COUNTIF(AJ310:AX310,"*OK*")</f>
        <v>0</v>
      </c>
      <c r="E310" s="171"/>
      <c r="F310" s="183" t="s">
        <v>945</v>
      </c>
      <c r="G310" s="183"/>
      <c r="H310" s="168" t="s">
        <v>455</v>
      </c>
      <c r="I310" s="179"/>
      <c r="J310" s="183"/>
      <c r="K310" s="183" t="s">
        <v>68</v>
      </c>
      <c r="L310" s="173" t="s">
        <v>456</v>
      </c>
      <c r="M310" s="183"/>
      <c r="N310" s="183"/>
      <c r="O310" s="172">
        <v>93.21</v>
      </c>
      <c r="P310" s="172">
        <v>123.17</v>
      </c>
      <c r="Q310" s="172">
        <v>114.52</v>
      </c>
      <c r="R310" s="193">
        <v>118.2</v>
      </c>
      <c r="S310" s="510">
        <v>119.7941</v>
      </c>
      <c r="T310" s="551">
        <v>112.56</v>
      </c>
      <c r="U310" s="175"/>
      <c r="V310" s="176">
        <v>100</v>
      </c>
      <c r="W310" s="194"/>
      <c r="X310" s="209" t="s">
        <v>70</v>
      </c>
      <c r="Y310" s="177" t="s">
        <v>243</v>
      </c>
      <c r="Z310" s="178" t="s">
        <v>946</v>
      </c>
      <c r="AA310" s="176" t="s">
        <v>59</v>
      </c>
      <c r="AB310" s="178" t="s">
        <v>505</v>
      </c>
      <c r="AC310" s="179"/>
      <c r="AD310" s="171"/>
      <c r="AE310" s="171"/>
      <c r="AF310" s="171"/>
      <c r="AG310" s="171"/>
      <c r="AH310" s="171"/>
      <c r="AI310" s="174" t="s">
        <v>59</v>
      </c>
      <c r="AJ310" s="170"/>
      <c r="AK310" s="170"/>
      <c r="AL310" s="170"/>
      <c r="AM310" s="170"/>
      <c r="AN310" s="170"/>
      <c r="AO310" s="170"/>
      <c r="AP310" s="170"/>
      <c r="AQ310" s="170"/>
      <c r="AR310" s="170"/>
      <c r="AS310" s="170"/>
      <c r="AT310" s="170"/>
      <c r="AU310" s="170"/>
      <c r="AV310" s="170"/>
      <c r="AW310" s="170"/>
      <c r="AX310" s="170"/>
      <c r="AY310" s="170"/>
      <c r="AZ310" s="180" t="s">
        <v>59</v>
      </c>
      <c r="BA310" s="171">
        <f>(COUNTIF(AJ310:AL310,"*OK*")*3) + (COUNTIF(AM310:AO310,"*OK*")*2) + COUNTIF(AP310:AR310,"*OK*")+COUNTIF(AZ310:AZ310,"SI")*0.5</f>
        <v>0</v>
      </c>
      <c r="BB310" s="171" t="str">
        <f>IF(BA310&lt;0.6,"Demasiado Riesgo",IF(BA310&lt;=5,"Riesgo Medio",IF(BA310&lt;=11,"Riesgo Bajo","Cliente Blindado")))</f>
        <v>Demasiado Riesgo</v>
      </c>
      <c r="BC310" s="171"/>
      <c r="BD310" s="171"/>
      <c r="BE310" s="171">
        <v>0</v>
      </c>
      <c r="BF310" s="171"/>
      <c r="BG310" s="171"/>
      <c r="BH310" s="171"/>
      <c r="BI310" s="171"/>
      <c r="BJ310" s="171"/>
      <c r="BK310" s="171"/>
      <c r="BL310" s="171"/>
      <c r="BM310" s="171"/>
      <c r="BN310" s="171"/>
      <c r="BO310" s="171"/>
      <c r="BP310" s="171"/>
      <c r="BQ310" s="171"/>
      <c r="BR310" s="171"/>
      <c r="BS310" s="171"/>
      <c r="BT310" s="171"/>
      <c r="BU310" s="171"/>
      <c r="BV310" s="171"/>
      <c r="BW310" s="171"/>
      <c r="BX310" s="171"/>
      <c r="BY310" s="171"/>
      <c r="BZ310" s="171"/>
      <c r="CA310" s="171">
        <f>COUNTIF(AJ310:AX310,"*OK*")</f>
        <v>0</v>
      </c>
      <c r="CB310" s="171"/>
      <c r="CC310" s="171">
        <f>COUNTIF(AJ310:AX310,"*OP*")</f>
        <v>0</v>
      </c>
    </row>
    <row r="311" spans="1:81" ht="15" customHeight="1">
      <c r="A311" s="240">
        <v>7146</v>
      </c>
      <c r="B311" s="171"/>
      <c r="C311" s="468">
        <f>T311</f>
        <v>114.95</v>
      </c>
      <c r="D311" s="171">
        <f>COUNTIF(AJ311:AX311,"*OK*")</f>
        <v>0</v>
      </c>
      <c r="E311" s="171"/>
      <c r="F311" s="183" t="s">
        <v>947</v>
      </c>
      <c r="G311" s="183"/>
      <c r="H311" s="168" t="s">
        <v>455</v>
      </c>
      <c r="I311" s="179"/>
      <c r="J311" s="183"/>
      <c r="K311" s="183" t="s">
        <v>68</v>
      </c>
      <c r="L311" s="173" t="s">
        <v>456</v>
      </c>
      <c r="M311" s="183"/>
      <c r="N311" s="183"/>
      <c r="O311" s="172">
        <v>144.85</v>
      </c>
      <c r="P311" s="172">
        <v>128.63999999999999</v>
      </c>
      <c r="Q311" s="172">
        <v>130.26</v>
      </c>
      <c r="R311" s="193">
        <v>130.49</v>
      </c>
      <c r="S311" s="510">
        <v>124.235</v>
      </c>
      <c r="T311" s="550">
        <v>114.95</v>
      </c>
      <c r="U311" s="175"/>
      <c r="V311" s="176">
        <v>200</v>
      </c>
      <c r="W311" s="194"/>
      <c r="X311" s="209" t="s">
        <v>70</v>
      </c>
      <c r="Y311" s="177" t="s">
        <v>71</v>
      </c>
      <c r="Z311" s="178" t="s">
        <v>948</v>
      </c>
      <c r="AA311" s="176" t="s">
        <v>59</v>
      </c>
      <c r="AB311" s="178" t="s">
        <v>65</v>
      </c>
      <c r="AC311" s="179"/>
      <c r="AD311" s="171"/>
      <c r="AE311" s="171"/>
      <c r="AF311" s="171"/>
      <c r="AG311" s="171"/>
      <c r="AH311" s="171"/>
      <c r="AI311" s="174" t="s">
        <v>59</v>
      </c>
      <c r="AJ311" s="170"/>
      <c r="AK311" s="170"/>
      <c r="AL311" s="170"/>
      <c r="AM311" s="170"/>
      <c r="AN311" s="170"/>
      <c r="AO311" s="170"/>
      <c r="AP311" s="170"/>
      <c r="AQ311" s="170"/>
      <c r="AR311" s="170"/>
      <c r="AS311" s="170"/>
      <c r="AT311" s="170"/>
      <c r="AU311" s="170"/>
      <c r="AV311" s="170"/>
      <c r="AW311" s="170"/>
      <c r="AX311" s="170"/>
      <c r="AY311" s="170"/>
      <c r="AZ311" s="180" t="s">
        <v>59</v>
      </c>
      <c r="BA311" s="171">
        <f>(COUNTIF(AJ311:AL311,"*OK*")*3) + (COUNTIF(AM311:AO311,"*OK*")*2) + COUNTIF(AP311:AR311,"*OK*")+COUNTIF(AZ311:AZ311,"SI")*0.5</f>
        <v>0</v>
      </c>
      <c r="BB311" s="171" t="str">
        <f>IF(BA311&lt;0.6,"Demasiado Riesgo",IF(BA311&lt;=5,"Riesgo Medio",IF(BA311&lt;=11,"Riesgo Bajo","Cliente Blindado")))</f>
        <v>Demasiado Riesgo</v>
      </c>
      <c r="BC311" s="171"/>
      <c r="BD311" s="171"/>
      <c r="BE311" s="171">
        <v>0</v>
      </c>
      <c r="BF311" s="171"/>
      <c r="BG311" s="171"/>
      <c r="BH311" s="171"/>
      <c r="BI311" s="171"/>
      <c r="BJ311" s="171"/>
      <c r="BK311" s="171"/>
      <c r="BL311" s="171"/>
      <c r="BM311" s="171"/>
      <c r="BN311" s="171"/>
      <c r="BO311" s="171"/>
      <c r="BP311" s="171"/>
      <c r="BQ311" s="171"/>
      <c r="BR311" s="171"/>
      <c r="BS311" s="171"/>
      <c r="BT311" s="171"/>
      <c r="BU311" s="171"/>
      <c r="BV311" s="171"/>
      <c r="BW311" s="171"/>
      <c r="BX311" s="171"/>
      <c r="BY311" s="171"/>
      <c r="BZ311" s="171"/>
      <c r="CA311" s="171">
        <f>COUNTIF(AJ311:AX311,"*OK*")</f>
        <v>0</v>
      </c>
      <c r="CB311" s="171"/>
      <c r="CC311" s="171">
        <f>COUNTIF(AJ311:AX311,"*OP*")</f>
        <v>0</v>
      </c>
    </row>
    <row r="312" spans="1:81" ht="15" customHeight="1">
      <c r="A312" s="241">
        <v>35476</v>
      </c>
      <c r="B312" s="160"/>
      <c r="C312" s="468">
        <f>T312</f>
        <v>117.13</v>
      </c>
      <c r="D312" s="160">
        <f>COUNTIF(AJ312:AX312,"*OK*")</f>
        <v>0</v>
      </c>
      <c r="E312" s="160"/>
      <c r="F312" s="182" t="s">
        <v>949</v>
      </c>
      <c r="G312" s="182"/>
      <c r="H312" s="168" t="s">
        <v>455</v>
      </c>
      <c r="I312" s="168"/>
      <c r="J312" s="182"/>
      <c r="K312" s="185" t="s">
        <v>68</v>
      </c>
      <c r="L312" s="173" t="s">
        <v>456</v>
      </c>
      <c r="M312" s="182"/>
      <c r="N312" s="182"/>
      <c r="O312" s="161">
        <v>110.21</v>
      </c>
      <c r="P312" s="161">
        <v>110.11</v>
      </c>
      <c r="Q312" s="161">
        <v>107.69</v>
      </c>
      <c r="R312" s="186">
        <v>111.16</v>
      </c>
      <c r="S312" s="510">
        <v>112.6536</v>
      </c>
      <c r="T312" s="554">
        <v>117.13</v>
      </c>
      <c r="U312" s="164"/>
      <c r="V312" s="165">
        <v>100</v>
      </c>
      <c r="W312" s="187"/>
      <c r="X312" s="208" t="s">
        <v>70</v>
      </c>
      <c r="Y312" s="166" t="s">
        <v>80</v>
      </c>
      <c r="Z312" s="167" t="s">
        <v>950</v>
      </c>
      <c r="AA312" s="165" t="s">
        <v>286</v>
      </c>
      <c r="AB312" s="167" t="s">
        <v>288</v>
      </c>
      <c r="AC312" s="168"/>
      <c r="AD312" s="160"/>
      <c r="AE312" s="160"/>
      <c r="AF312" s="160"/>
      <c r="AG312" s="160"/>
      <c r="AH312" s="160"/>
      <c r="AI312" s="163" t="s">
        <v>59</v>
      </c>
      <c r="AJ312" s="170"/>
      <c r="AK312" s="170"/>
      <c r="AL312" s="170"/>
      <c r="AM312" s="170"/>
      <c r="AN312" s="170"/>
      <c r="AO312" s="170"/>
      <c r="AP312" s="170"/>
      <c r="AQ312" s="170"/>
      <c r="AR312" s="170"/>
      <c r="AS312" s="170"/>
      <c r="AT312" s="170"/>
      <c r="AU312" s="170"/>
      <c r="AV312" s="170"/>
      <c r="AW312" s="170"/>
      <c r="AX312" s="170"/>
      <c r="AY312" s="170"/>
      <c r="AZ312" s="169" t="s">
        <v>59</v>
      </c>
      <c r="BA312" s="160">
        <f>(COUNTIF(AJ312:AL312,"*OK*")*3) + (COUNTIF(AM312:AO312,"*OK*")*2) + COUNTIF(AP312:AR312,"*OK*")+COUNTIF(AZ312:AZ312,"SI")*0.5</f>
        <v>0</v>
      </c>
      <c r="BB312" s="160" t="str">
        <f>IF(BA312&lt;0.6,"Demasiado Riesgo",IF(BA312&lt;=5,"Riesgo Medio",IF(BA312&lt;=11,"Riesgo Bajo","Cliente Blindado")))</f>
        <v>Demasiado Riesgo</v>
      </c>
      <c r="BC312" s="160"/>
      <c r="BD312" s="160"/>
      <c r="BE312" s="160">
        <v>0</v>
      </c>
      <c r="BF312" s="160"/>
      <c r="BG312" s="160"/>
      <c r="BH312" s="160"/>
      <c r="BI312" s="160"/>
      <c r="BJ312" s="160"/>
      <c r="BK312" s="160"/>
      <c r="BL312" s="160"/>
      <c r="BM312" s="160"/>
      <c r="BN312" s="160"/>
      <c r="BO312" s="160"/>
      <c r="BP312" s="160"/>
      <c r="BQ312" s="160"/>
      <c r="BR312" s="160"/>
      <c r="BS312" s="160"/>
      <c r="BT312" s="160"/>
      <c r="BU312" s="160"/>
      <c r="BV312" s="160"/>
      <c r="BW312" s="160"/>
      <c r="BX312" s="160"/>
      <c r="BY312" s="160"/>
      <c r="BZ312" s="160"/>
      <c r="CA312" s="160">
        <f>COUNTIF(AJ312:AX312,"*OK*")</f>
        <v>0</v>
      </c>
      <c r="CB312" s="160"/>
      <c r="CC312" s="160">
        <f>COUNTIF(AJ312:AX312,"*OP*")</f>
        <v>0</v>
      </c>
    </row>
    <row r="313" spans="1:81" ht="15" hidden="1" customHeight="1">
      <c r="A313" s="240"/>
      <c r="B313" s="171"/>
      <c r="C313" s="468">
        <f>T313</f>
        <v>119.99</v>
      </c>
      <c r="D313" s="171">
        <f>COUNTIF(AN313:AY313,"OK")</f>
        <v>0</v>
      </c>
      <c r="E313" s="171"/>
      <c r="F313" s="171" t="s">
        <v>951</v>
      </c>
      <c r="G313" s="171"/>
      <c r="H313" s="179"/>
      <c r="I313" s="179"/>
      <c r="J313" s="171"/>
      <c r="K313" s="236" t="s">
        <v>68</v>
      </c>
      <c r="L313" s="171" t="s">
        <v>768</v>
      </c>
      <c r="M313" s="171"/>
      <c r="N313" s="171"/>
      <c r="O313" s="161"/>
      <c r="P313" s="161"/>
      <c r="Q313" s="161"/>
      <c r="R313" s="186">
        <v>119.7086</v>
      </c>
      <c r="S313" s="510">
        <v>121.3193</v>
      </c>
      <c r="T313" s="549">
        <v>119.99</v>
      </c>
      <c r="U313" s="175"/>
      <c r="V313" s="176" t="s">
        <v>59</v>
      </c>
      <c r="W313" s="171"/>
      <c r="X313" s="205"/>
      <c r="Y313" s="177"/>
      <c r="Z313" s="178"/>
      <c r="AA313" s="174" t="s">
        <v>59</v>
      </c>
      <c r="AB313" s="178"/>
      <c r="AC313" s="179"/>
      <c r="AD313" s="171"/>
      <c r="AE313" s="171"/>
      <c r="AF313" s="171"/>
      <c r="AG313" s="171"/>
      <c r="AH313" s="171"/>
      <c r="AI313" s="540"/>
      <c r="AJ313" s="543"/>
      <c r="AK313" s="543"/>
      <c r="AL313" s="543"/>
      <c r="AM313" s="543"/>
      <c r="AN313" s="543"/>
      <c r="AO313" s="543"/>
      <c r="AP313" s="543"/>
      <c r="AQ313" s="543"/>
      <c r="AR313" s="543"/>
      <c r="AS313" s="543"/>
      <c r="AT313" s="543"/>
      <c r="AU313" s="543"/>
      <c r="AV313" s="543"/>
      <c r="AW313" s="543"/>
      <c r="AX313" s="543"/>
      <c r="AY313" s="543"/>
      <c r="AZ313" s="546"/>
      <c r="BA313" s="171">
        <f>(COUNTIF(AJ313:AL313,"*OK*")*3) + (COUNTIF(AM313:AO313,"*OK*")*2) + COUNTIF(AP313:AR313,"*OK*")+COUNTIF(AZ313:AZ313,"SI")*0.5</f>
        <v>0</v>
      </c>
      <c r="BB313" s="171" t="str">
        <f>IF(BA313&lt;0.6,"Demasiado Riesgo",IF(BA313&lt;=5,"Riesgo Medio",IF(BA313&lt;=11,"Riesgo Bajo","Cliente Blindado")))</f>
        <v>Demasiado Riesgo</v>
      </c>
      <c r="BC313" s="171"/>
      <c r="BD313" s="171"/>
      <c r="BE313" s="171"/>
      <c r="BF313" s="171"/>
      <c r="BG313" s="171"/>
      <c r="BH313" s="171"/>
      <c r="BI313" s="171"/>
      <c r="BJ313" s="171"/>
      <c r="BK313" s="171"/>
      <c r="BL313" s="171"/>
      <c r="BM313" s="171"/>
      <c r="BN313" s="171"/>
      <c r="BO313" s="171"/>
      <c r="BP313" s="171"/>
      <c r="BQ313" s="171"/>
      <c r="BR313" s="171"/>
      <c r="BS313" s="171"/>
      <c r="BT313" s="171"/>
      <c r="BU313" s="171"/>
      <c r="BV313" s="171"/>
      <c r="BW313" s="171"/>
      <c r="BX313" s="171"/>
      <c r="BY313" s="171"/>
      <c r="BZ313" s="171"/>
      <c r="CA313" s="171">
        <f>COUNTIF(AJ313:AX313,"*OK*")</f>
        <v>0</v>
      </c>
      <c r="CB313" s="171"/>
      <c r="CC313" s="171"/>
    </row>
    <row r="314" spans="1:81" ht="15" customHeight="1">
      <c r="A314" s="241">
        <v>28721</v>
      </c>
      <c r="B314" s="160"/>
      <c r="C314" s="468">
        <f>T314</f>
        <v>121.44</v>
      </c>
      <c r="D314" s="160">
        <f>COUNTIF(AJ314:AX314,"*OK*")</f>
        <v>0</v>
      </c>
      <c r="E314" s="160"/>
      <c r="F314" s="182" t="s">
        <v>952</v>
      </c>
      <c r="G314" s="182"/>
      <c r="H314" s="168" t="s">
        <v>455</v>
      </c>
      <c r="I314" s="168"/>
      <c r="J314" s="182"/>
      <c r="K314" s="182" t="s">
        <v>68</v>
      </c>
      <c r="L314" s="173" t="s">
        <v>456</v>
      </c>
      <c r="M314" s="182"/>
      <c r="N314" s="182"/>
      <c r="O314" s="161">
        <v>120.28</v>
      </c>
      <c r="P314" s="161">
        <v>132.18</v>
      </c>
      <c r="Q314" s="161">
        <v>123.11</v>
      </c>
      <c r="R314" s="186">
        <v>121.16</v>
      </c>
      <c r="S314" s="510">
        <v>122.789</v>
      </c>
      <c r="T314" s="550">
        <v>121.44</v>
      </c>
      <c r="U314" s="164"/>
      <c r="V314" s="165">
        <v>200</v>
      </c>
      <c r="W314" s="187"/>
      <c r="X314" s="166" t="s">
        <v>200</v>
      </c>
      <c r="Y314" s="166" t="s">
        <v>80</v>
      </c>
      <c r="Z314" s="167" t="s">
        <v>953</v>
      </c>
      <c r="AA314" s="165" t="s">
        <v>132</v>
      </c>
      <c r="AB314" s="167" t="s">
        <v>194</v>
      </c>
      <c r="AC314" s="168"/>
      <c r="AD314" s="160"/>
      <c r="AE314" s="160"/>
      <c r="AF314" s="160"/>
      <c r="AG314" s="160"/>
      <c r="AH314" s="160"/>
      <c r="AI314" s="163" t="s">
        <v>59</v>
      </c>
      <c r="AJ314" s="170"/>
      <c r="AK314" s="170"/>
      <c r="AL314" s="170"/>
      <c r="AM314" s="170"/>
      <c r="AN314" s="170"/>
      <c r="AO314" s="170"/>
      <c r="AP314" s="170"/>
      <c r="AQ314" s="170"/>
      <c r="AR314" s="170"/>
      <c r="AS314" s="170"/>
      <c r="AT314" s="170"/>
      <c r="AU314" s="170"/>
      <c r="AV314" s="170"/>
      <c r="AW314" s="170"/>
      <c r="AX314" s="170"/>
      <c r="AY314" s="170"/>
      <c r="AZ314" s="169" t="s">
        <v>59</v>
      </c>
      <c r="BA314" s="160">
        <f>(COUNTIF(AJ314:AL314,"*OK*")*3) + (COUNTIF(AM314:AO314,"*OK*")*2) + COUNTIF(AP314:AR314,"*OK*")+COUNTIF(AZ314:AZ314,"SI")*0.5</f>
        <v>0</v>
      </c>
      <c r="BB314" s="160" t="str">
        <f>IF(BA314&lt;0.6,"Demasiado Riesgo",IF(BA314&lt;=5,"Riesgo Medio",IF(BA314&lt;=11,"Riesgo Bajo","Cliente Blindado")))</f>
        <v>Demasiado Riesgo</v>
      </c>
      <c r="BC314" s="160"/>
      <c r="BD314" s="160"/>
      <c r="BE314" s="160">
        <v>0</v>
      </c>
      <c r="BF314" s="160"/>
      <c r="BG314" s="160"/>
      <c r="BH314" s="160"/>
      <c r="BI314" s="160"/>
      <c r="BJ314" s="160"/>
      <c r="BK314" s="160"/>
      <c r="BL314" s="160"/>
      <c r="BM314" s="160"/>
      <c r="BN314" s="160"/>
      <c r="BO314" s="160"/>
      <c r="BP314" s="160"/>
      <c r="BQ314" s="160"/>
      <c r="BR314" s="160"/>
      <c r="BS314" s="160"/>
      <c r="BT314" s="160"/>
      <c r="BU314" s="160"/>
      <c r="BV314" s="160"/>
      <c r="BW314" s="160"/>
      <c r="BX314" s="160"/>
      <c r="BY314" s="160"/>
      <c r="BZ314" s="160"/>
      <c r="CA314" s="160">
        <f>COUNTIF(AJ314:AX314,"*OK*")</f>
        <v>0</v>
      </c>
      <c r="CB314" s="160"/>
      <c r="CC314" s="160">
        <f>COUNTIF(AJ314:AX314,"*OP*")</f>
        <v>0</v>
      </c>
    </row>
    <row r="315" spans="1:81" ht="15" customHeight="1">
      <c r="A315" s="241"/>
      <c r="B315" s="160"/>
      <c r="C315" s="468">
        <f>T315</f>
        <v>121.99</v>
      </c>
      <c r="D315" s="160">
        <f>COUNTIF(AJ315:AX315,"*OK*")</f>
        <v>0</v>
      </c>
      <c r="E315" s="160"/>
      <c r="F315" s="182" t="s">
        <v>954</v>
      </c>
      <c r="G315" s="182"/>
      <c r="H315" s="168" t="s">
        <v>455</v>
      </c>
      <c r="I315" s="168"/>
      <c r="J315" s="182"/>
      <c r="K315" s="182" t="s">
        <v>68</v>
      </c>
      <c r="L315" s="173" t="s">
        <v>456</v>
      </c>
      <c r="M315" s="182"/>
      <c r="N315" s="182"/>
      <c r="O315" s="161">
        <v>112.23</v>
      </c>
      <c r="P315" s="161">
        <v>127.59</v>
      </c>
      <c r="Q315" s="161">
        <v>121.6</v>
      </c>
      <c r="R315" s="186">
        <v>125.51</v>
      </c>
      <c r="S315" s="510">
        <v>134.90700000000001</v>
      </c>
      <c r="T315" s="551">
        <v>121.99</v>
      </c>
      <c r="U315" s="164"/>
      <c r="V315" s="165">
        <v>50</v>
      </c>
      <c r="W315" s="187"/>
      <c r="X315" s="208" t="s">
        <v>70</v>
      </c>
      <c r="Y315" s="166" t="s">
        <v>71</v>
      </c>
      <c r="Z315" s="167" t="s">
        <v>955</v>
      </c>
      <c r="AA315" s="165" t="s">
        <v>59</v>
      </c>
      <c r="AB315" s="167" t="s">
        <v>65</v>
      </c>
      <c r="AC315" s="168"/>
      <c r="AD315" s="160"/>
      <c r="AE315" s="160"/>
      <c r="AF315" s="160"/>
      <c r="AG315" s="160"/>
      <c r="AH315" s="160"/>
      <c r="AI315" s="163" t="s">
        <v>59</v>
      </c>
      <c r="AJ315" s="170"/>
      <c r="AK315" s="170"/>
      <c r="AL315" s="170"/>
      <c r="AM315" s="170"/>
      <c r="AN315" s="170"/>
      <c r="AO315" s="170"/>
      <c r="AP315" s="170"/>
      <c r="AQ315" s="170"/>
      <c r="AR315" s="170"/>
      <c r="AS315" s="170"/>
      <c r="AT315" s="170"/>
      <c r="AU315" s="170"/>
      <c r="AV315" s="170"/>
      <c r="AW315" s="170"/>
      <c r="AX315" s="170"/>
      <c r="AY315" s="170"/>
      <c r="AZ315" s="169" t="s">
        <v>59</v>
      </c>
      <c r="BA315" s="160">
        <f>(COUNTIF(AJ315:AL315,"*OK*")*3) + (COUNTIF(AM315:AO315,"*OK*")*2) + COUNTIF(AP315:AR315,"*OK*")+COUNTIF(AZ315:AZ315,"SI")*0.5</f>
        <v>0</v>
      </c>
      <c r="BB315" s="160" t="str">
        <f>IF(BA315&lt;0.6,"Demasiado Riesgo",IF(BA315&lt;=5,"Riesgo Medio",IF(BA315&lt;=11,"Riesgo Bajo","Cliente Blindado")))</f>
        <v>Demasiado Riesgo</v>
      </c>
      <c r="BC315" s="160"/>
      <c r="BD315" s="160"/>
      <c r="BE315" s="160">
        <v>0</v>
      </c>
      <c r="BF315" s="160"/>
      <c r="BG315" s="160"/>
      <c r="BH315" s="160"/>
      <c r="BI315" s="160"/>
      <c r="BJ315" s="160"/>
      <c r="BK315" s="160"/>
      <c r="BL315" s="160"/>
      <c r="BM315" s="160"/>
      <c r="BN315" s="160"/>
      <c r="BO315" s="160"/>
      <c r="BP315" s="160"/>
      <c r="BQ315" s="160"/>
      <c r="BR315" s="160"/>
      <c r="BS315" s="160"/>
      <c r="BT315" s="160"/>
      <c r="BU315" s="160"/>
      <c r="BV315" s="160"/>
      <c r="BW315" s="160"/>
      <c r="BX315" s="160"/>
      <c r="BY315" s="160"/>
      <c r="BZ315" s="160"/>
      <c r="CA315" s="160">
        <f>COUNTIF(AJ315:AX315,"*OK*")</f>
        <v>0</v>
      </c>
      <c r="CB315" s="160"/>
      <c r="CC315" s="160">
        <f>COUNTIF(AJ315:AX315,"*OP*")</f>
        <v>0</v>
      </c>
    </row>
    <row r="316" spans="1:81" ht="15" customHeight="1">
      <c r="A316" s="240">
        <v>18819</v>
      </c>
      <c r="B316" s="171"/>
      <c r="C316" s="468">
        <f>T316</f>
        <v>122.87</v>
      </c>
      <c r="D316" s="171">
        <f>COUNTIF(AJ316:AX316,"*OK*")</f>
        <v>0</v>
      </c>
      <c r="E316" s="171"/>
      <c r="F316" s="183" t="s">
        <v>956</v>
      </c>
      <c r="G316" s="183"/>
      <c r="H316" s="168" t="s">
        <v>455</v>
      </c>
      <c r="I316" s="179"/>
      <c r="J316" s="183"/>
      <c r="K316" s="183" t="s">
        <v>68</v>
      </c>
      <c r="L316" s="173" t="s">
        <v>456</v>
      </c>
      <c r="M316" s="183"/>
      <c r="N316" s="183"/>
      <c r="O316" s="172">
        <v>120.71</v>
      </c>
      <c r="P316" s="172">
        <v>136.68</v>
      </c>
      <c r="Q316" s="172">
        <v>114.93</v>
      </c>
      <c r="R316" s="193">
        <v>122.59</v>
      </c>
      <c r="S316" s="510">
        <v>124.235</v>
      </c>
      <c r="T316" s="551">
        <v>122.87</v>
      </c>
      <c r="U316" s="175"/>
      <c r="V316" s="176">
        <v>100</v>
      </c>
      <c r="W316" s="194"/>
      <c r="X316" s="209" t="s">
        <v>70</v>
      </c>
      <c r="Y316" s="177" t="s">
        <v>302</v>
      </c>
      <c r="Z316" s="178" t="s">
        <v>957</v>
      </c>
      <c r="AA316" s="176" t="s">
        <v>222</v>
      </c>
      <c r="AB316" s="178" t="s">
        <v>104</v>
      </c>
      <c r="AC316" s="179"/>
      <c r="AD316" s="171"/>
      <c r="AE316" s="171"/>
      <c r="AF316" s="171"/>
      <c r="AG316" s="171"/>
      <c r="AH316" s="171"/>
      <c r="AI316" s="174" t="s">
        <v>59</v>
      </c>
      <c r="AJ316" s="170"/>
      <c r="AK316" s="170"/>
      <c r="AL316" s="545"/>
      <c r="AM316" s="170"/>
      <c r="AN316" s="170"/>
      <c r="AO316" s="170"/>
      <c r="AP316" s="170"/>
      <c r="AQ316" s="170"/>
      <c r="AR316" s="170"/>
      <c r="AS316" s="170"/>
      <c r="AT316" s="170"/>
      <c r="AU316" s="170"/>
      <c r="AV316" s="170"/>
      <c r="AW316" s="170"/>
      <c r="AX316" s="170"/>
      <c r="AY316" s="170"/>
      <c r="AZ316" s="180" t="s">
        <v>59</v>
      </c>
      <c r="BA316" s="171">
        <f>(COUNTIF(AJ316:AL316,"*OK*")*3) + (COUNTIF(AM316:AO316,"*OK*")*2) + COUNTIF(AP316:AR316,"*OK*")+COUNTIF(AZ316:AZ316,"SI")*0.5</f>
        <v>0</v>
      </c>
      <c r="BB316" s="171" t="str">
        <f>IF(BA316&lt;0.6,"Demasiado Riesgo",IF(BA316&lt;=5,"Riesgo Medio",IF(BA316&lt;=11,"Riesgo Bajo","Cliente Blindado")))</f>
        <v>Demasiado Riesgo</v>
      </c>
      <c r="BC316" s="171"/>
      <c r="BD316" s="171"/>
      <c r="BE316" s="171">
        <v>0</v>
      </c>
      <c r="BF316" s="171"/>
      <c r="BG316" s="171"/>
      <c r="BH316" s="171"/>
      <c r="BI316" s="171"/>
      <c r="BJ316" s="171"/>
      <c r="BK316" s="171"/>
      <c r="BL316" s="171"/>
      <c r="BM316" s="171"/>
      <c r="BN316" s="171"/>
      <c r="BO316" s="171"/>
      <c r="BP316" s="171"/>
      <c r="BQ316" s="171"/>
      <c r="BR316" s="171"/>
      <c r="BS316" s="171"/>
      <c r="BT316" s="171"/>
      <c r="BU316" s="171"/>
      <c r="BV316" s="171"/>
      <c r="BW316" s="171"/>
      <c r="BX316" s="171"/>
      <c r="BY316" s="171"/>
      <c r="BZ316" s="171"/>
      <c r="CA316" s="171">
        <f>COUNTIF(AJ316:AX316,"*OK*")</f>
        <v>0</v>
      </c>
      <c r="CB316" s="171"/>
      <c r="CC316" s="171">
        <f>COUNTIF(AJ316:AX316,"*OP*")</f>
        <v>0</v>
      </c>
    </row>
    <row r="317" spans="1:81" ht="15" customHeight="1">
      <c r="A317" s="240"/>
      <c r="B317" s="171"/>
      <c r="C317" s="468">
        <f>T317</f>
        <v>127.13</v>
      </c>
      <c r="D317" s="171">
        <f>COUNTIF(AJ317:AX317,"*OK*")</f>
        <v>0</v>
      </c>
      <c r="E317" s="171"/>
      <c r="F317" s="183" t="s">
        <v>958</v>
      </c>
      <c r="G317" s="183"/>
      <c r="H317" s="168" t="s">
        <v>455</v>
      </c>
      <c r="I317" s="179"/>
      <c r="J317" s="183"/>
      <c r="K317" s="183" t="s">
        <v>68</v>
      </c>
      <c r="L317" s="173" t="s">
        <v>456</v>
      </c>
      <c r="M317" s="183"/>
      <c r="N317" s="183"/>
      <c r="O317" s="172">
        <v>136.36000000000001</v>
      </c>
      <c r="P317" s="172">
        <v>136.24</v>
      </c>
      <c r="Q317" s="172">
        <v>125.19</v>
      </c>
      <c r="R317" s="193">
        <v>126.83</v>
      </c>
      <c r="S317" s="510">
        <v>130.96250000000001</v>
      </c>
      <c r="T317" s="550">
        <v>127.13</v>
      </c>
      <c r="U317" s="175"/>
      <c r="V317" s="176">
        <v>100</v>
      </c>
      <c r="W317" s="194"/>
      <c r="X317" s="209" t="s">
        <v>70</v>
      </c>
      <c r="Y317" s="177" t="s">
        <v>235</v>
      </c>
      <c r="Z317" s="178" t="s">
        <v>959</v>
      </c>
      <c r="AA317" s="176" t="s">
        <v>59</v>
      </c>
      <c r="AB317" s="178" t="s">
        <v>65</v>
      </c>
      <c r="AC317" s="179"/>
      <c r="AD317" s="171"/>
      <c r="AE317" s="171"/>
      <c r="AF317" s="171"/>
      <c r="AG317" s="171"/>
      <c r="AH317" s="171"/>
      <c r="AI317" s="174" t="s">
        <v>59</v>
      </c>
      <c r="AJ317" s="170"/>
      <c r="AK317" s="170"/>
      <c r="AL317" s="170"/>
      <c r="AM317" s="170"/>
      <c r="AN317" s="170"/>
      <c r="AO317" s="170"/>
      <c r="AP317" s="170"/>
      <c r="AQ317" s="170"/>
      <c r="AR317" s="170"/>
      <c r="AS317" s="170"/>
      <c r="AT317" s="170"/>
      <c r="AU317" s="170"/>
      <c r="AV317" s="170"/>
      <c r="AW317" s="170"/>
      <c r="AX317" s="170"/>
      <c r="AY317" s="170"/>
      <c r="AZ317" s="180" t="s">
        <v>59</v>
      </c>
      <c r="BA317" s="171">
        <f>(COUNTIF(AJ317:AL317,"*OK*")*3) + (COUNTIF(AM317:AO317,"*OK*")*2) + COUNTIF(AP317:AR317,"*OK*")+COUNTIF(AZ317:AZ317,"SI")*0.5</f>
        <v>0</v>
      </c>
      <c r="BB317" s="171" t="str">
        <f>IF(BA317&lt;0.6,"Demasiado Riesgo",IF(BA317&lt;=5,"Riesgo Medio",IF(BA317&lt;=11,"Riesgo Bajo","Cliente Blindado")))</f>
        <v>Demasiado Riesgo</v>
      </c>
      <c r="BC317" s="171"/>
      <c r="BD317" s="171"/>
      <c r="BE317" s="171">
        <v>0</v>
      </c>
      <c r="BF317" s="171"/>
      <c r="BG317" s="171"/>
      <c r="BH317" s="171"/>
      <c r="BI317" s="171"/>
      <c r="BJ317" s="171"/>
      <c r="BK317" s="171"/>
      <c r="BL317" s="171"/>
      <c r="BM317" s="171"/>
      <c r="BN317" s="171"/>
      <c r="BO317" s="171"/>
      <c r="BP317" s="171"/>
      <c r="BQ317" s="171"/>
      <c r="BR317" s="171"/>
      <c r="BS317" s="171"/>
      <c r="BT317" s="171"/>
      <c r="BU317" s="171"/>
      <c r="BV317" s="171"/>
      <c r="BW317" s="171"/>
      <c r="BX317" s="171"/>
      <c r="BY317" s="171"/>
      <c r="BZ317" s="171"/>
      <c r="CA317" s="171">
        <f>COUNTIF(AJ317:AX317,"*OK*")</f>
        <v>0</v>
      </c>
      <c r="CB317" s="171"/>
      <c r="CC317" s="171">
        <f>COUNTIF(AJ317:AX317,"*OP*")</f>
        <v>0</v>
      </c>
    </row>
    <row r="318" spans="1:81" ht="15" customHeight="1">
      <c r="A318" s="240">
        <v>35243</v>
      </c>
      <c r="B318" s="171"/>
      <c r="C318" s="468">
        <f>T318</f>
        <v>127.42</v>
      </c>
      <c r="D318" s="171">
        <f>COUNTIF(AJ318:AX318,"*OK*")</f>
        <v>0</v>
      </c>
      <c r="E318" s="171"/>
      <c r="F318" s="183" t="s">
        <v>960</v>
      </c>
      <c r="G318" s="183"/>
      <c r="H318" s="168" t="s">
        <v>455</v>
      </c>
      <c r="I318" s="179"/>
      <c r="J318" s="183"/>
      <c r="K318" s="192" t="s">
        <v>68</v>
      </c>
      <c r="L318" s="173" t="s">
        <v>456</v>
      </c>
      <c r="M318" s="183"/>
      <c r="N318" s="183"/>
      <c r="O318" s="172">
        <v>84.11</v>
      </c>
      <c r="P318" s="172">
        <v>132.71</v>
      </c>
      <c r="Q318" s="172">
        <v>129.78</v>
      </c>
      <c r="R318" s="193">
        <v>147.63999999999999</v>
      </c>
      <c r="S318" s="510">
        <v>135.7621</v>
      </c>
      <c r="T318" s="550">
        <v>127.42</v>
      </c>
      <c r="U318" s="175"/>
      <c r="V318" s="176">
        <v>200</v>
      </c>
      <c r="W318" s="194"/>
      <c r="X318" s="211" t="s">
        <v>70</v>
      </c>
      <c r="Y318" s="177" t="s">
        <v>89</v>
      </c>
      <c r="Z318" s="178" t="s">
        <v>961</v>
      </c>
      <c r="AA318" s="176" t="s">
        <v>59</v>
      </c>
      <c r="AB318" s="178" t="s">
        <v>65</v>
      </c>
      <c r="AC318" s="179"/>
      <c r="AD318" s="171"/>
      <c r="AE318" s="171"/>
      <c r="AF318" s="171"/>
      <c r="AG318" s="171"/>
      <c r="AH318" s="171"/>
      <c r="AI318" s="174" t="s">
        <v>59</v>
      </c>
      <c r="AJ318" s="170"/>
      <c r="AK318" s="170"/>
      <c r="AL318" s="170"/>
      <c r="AM318" s="170"/>
      <c r="AN318" s="170"/>
      <c r="AO318" s="170"/>
      <c r="AP318" s="170"/>
      <c r="AQ318" s="170"/>
      <c r="AR318" s="170"/>
      <c r="AS318" s="170"/>
      <c r="AT318" s="170"/>
      <c r="AU318" s="170"/>
      <c r="AV318" s="170"/>
      <c r="AW318" s="170"/>
      <c r="AX318" s="170"/>
      <c r="AY318" s="170"/>
      <c r="AZ318" s="180" t="s">
        <v>59</v>
      </c>
      <c r="BA318" s="171">
        <f>(COUNTIF(AJ318:AL318,"*OK*")*3) + (COUNTIF(AM318:AO318,"*OK*")*2) + COUNTIF(AP318:AR318,"*OK*")+COUNTIF(AZ318:AZ318,"SI")*0.5</f>
        <v>0</v>
      </c>
      <c r="BB318" s="171" t="str">
        <f>IF(BA318&lt;0.6,"Demasiado Riesgo",IF(BA318&lt;=5,"Riesgo Medio",IF(BA318&lt;=11,"Riesgo Bajo","Cliente Blindado")))</f>
        <v>Demasiado Riesgo</v>
      </c>
      <c r="BC318" s="171"/>
      <c r="BD318" s="171"/>
      <c r="BE318" s="171">
        <v>0</v>
      </c>
      <c r="BF318" s="171"/>
      <c r="BG318" s="171"/>
      <c r="BH318" s="171"/>
      <c r="BI318" s="171"/>
      <c r="BJ318" s="171"/>
      <c r="BK318" s="171"/>
      <c r="BL318" s="171"/>
      <c r="BM318" s="171"/>
      <c r="BN318" s="171"/>
      <c r="BO318" s="171"/>
      <c r="BP318" s="171"/>
      <c r="BQ318" s="171"/>
      <c r="BR318" s="171"/>
      <c r="BS318" s="171"/>
      <c r="BT318" s="171"/>
      <c r="BU318" s="171"/>
      <c r="BV318" s="171"/>
      <c r="BW318" s="171"/>
      <c r="BX318" s="171"/>
      <c r="BY318" s="171"/>
      <c r="BZ318" s="171"/>
      <c r="CA318" s="171">
        <f>COUNTIF(AJ318:AX318,"*OK*")</f>
        <v>0</v>
      </c>
      <c r="CB318" s="171"/>
      <c r="CC318" s="171">
        <f>COUNTIF(AJ318:AX318,"*OP*")</f>
        <v>0</v>
      </c>
    </row>
    <row r="319" spans="1:81" ht="15" customHeight="1">
      <c r="A319" s="241">
        <v>33934</v>
      </c>
      <c r="B319" s="160"/>
      <c r="C319" s="468">
        <f>T319</f>
        <v>139.99</v>
      </c>
      <c r="D319" s="160">
        <f>COUNTIF(AJ319:AX319,"*OK*")</f>
        <v>0</v>
      </c>
      <c r="E319" s="160"/>
      <c r="F319" s="182" t="s">
        <v>962</v>
      </c>
      <c r="G319" s="182"/>
      <c r="H319" s="168" t="s">
        <v>455</v>
      </c>
      <c r="I319" s="168"/>
      <c r="J319" s="182"/>
      <c r="K319" s="182" t="s">
        <v>68</v>
      </c>
      <c r="L319" s="173" t="s">
        <v>456</v>
      </c>
      <c r="M319" s="182"/>
      <c r="N319" s="182"/>
      <c r="O319" s="161">
        <v>124.71</v>
      </c>
      <c r="P319" s="161">
        <v>131.55000000000001</v>
      </c>
      <c r="Q319" s="161">
        <v>128.68</v>
      </c>
      <c r="R319" s="186">
        <v>132.82</v>
      </c>
      <c r="S319" s="510">
        <v>138.0729</v>
      </c>
      <c r="T319" s="554">
        <v>139.99</v>
      </c>
      <c r="U319" s="164"/>
      <c r="V319" s="165">
        <v>200</v>
      </c>
      <c r="W319" s="187"/>
      <c r="X319" s="208" t="s">
        <v>70</v>
      </c>
      <c r="Y319" s="166" t="s">
        <v>89</v>
      </c>
      <c r="Z319" s="167" t="s">
        <v>963</v>
      </c>
      <c r="AA319" s="165" t="s">
        <v>59</v>
      </c>
      <c r="AB319" s="167" t="s">
        <v>65</v>
      </c>
      <c r="AC319" s="168"/>
      <c r="AD319" s="160"/>
      <c r="AE319" s="160"/>
      <c r="AF319" s="160"/>
      <c r="AG319" s="160"/>
      <c r="AH319" s="160"/>
      <c r="AI319" s="163" t="s">
        <v>59</v>
      </c>
      <c r="AJ319" s="170"/>
      <c r="AK319" s="170"/>
      <c r="AL319" s="170"/>
      <c r="AM319" s="170"/>
      <c r="AN319" s="170"/>
      <c r="AO319" s="170"/>
      <c r="AP319" s="170"/>
      <c r="AQ319" s="170"/>
      <c r="AR319" s="170"/>
      <c r="AS319" s="170"/>
      <c r="AT319" s="170"/>
      <c r="AU319" s="170"/>
      <c r="AV319" s="170"/>
      <c r="AW319" s="170"/>
      <c r="AX319" s="170"/>
      <c r="AY319" s="170"/>
      <c r="AZ319" s="169" t="s">
        <v>59</v>
      </c>
      <c r="BA319" s="160">
        <f>(COUNTIF(AJ319:AL319,"*OK*")*3) + (COUNTIF(AM319:AO319,"*OK*")*2) + COUNTIF(AP319:AR319,"*OK*")+COUNTIF(AZ319:AZ319,"SI")*0.5</f>
        <v>0</v>
      </c>
      <c r="BB319" s="160" t="str">
        <f>IF(BA319&lt;0.6,"Demasiado Riesgo",IF(BA319&lt;=5,"Riesgo Medio",IF(BA319&lt;=11,"Riesgo Bajo","Cliente Blindado")))</f>
        <v>Demasiado Riesgo</v>
      </c>
      <c r="BC319" s="160"/>
      <c r="BD319" s="160"/>
      <c r="BE319" s="160">
        <v>0</v>
      </c>
      <c r="BF319" s="160"/>
      <c r="BG319" s="160"/>
      <c r="BH319" s="160"/>
      <c r="BI319" s="160"/>
      <c r="BJ319" s="160"/>
      <c r="BK319" s="160"/>
      <c r="BL319" s="160"/>
      <c r="BM319" s="160"/>
      <c r="BN319" s="160"/>
      <c r="BO319" s="160"/>
      <c r="BP319" s="160"/>
      <c r="BQ319" s="160"/>
      <c r="BR319" s="160"/>
      <c r="BS319" s="160"/>
      <c r="BT319" s="160"/>
      <c r="BU319" s="160"/>
      <c r="BV319" s="160"/>
      <c r="BW319" s="160"/>
      <c r="BX319" s="160"/>
      <c r="BY319" s="160"/>
      <c r="BZ319" s="160"/>
      <c r="CA319" s="160">
        <f>COUNTIF(AJ319:AX319,"*OK*")</f>
        <v>0</v>
      </c>
      <c r="CB319" s="160"/>
      <c r="CC319" s="160">
        <f>COUNTIF(AJ319:AX319,"*OP*")</f>
        <v>0</v>
      </c>
    </row>
    <row r="320" spans="1:81" ht="15" customHeight="1">
      <c r="A320" s="241">
        <v>36918</v>
      </c>
      <c r="B320" s="160"/>
      <c r="C320" s="468">
        <f>T320</f>
        <v>140.56</v>
      </c>
      <c r="D320" s="160">
        <f>COUNTIF(AJ320:AX320,"*OK*")</f>
        <v>0</v>
      </c>
      <c r="E320" s="160"/>
      <c r="F320" s="182" t="s">
        <v>964</v>
      </c>
      <c r="G320" s="182"/>
      <c r="H320" s="168" t="s">
        <v>455</v>
      </c>
      <c r="I320" s="168"/>
      <c r="J320" s="182"/>
      <c r="K320" s="185" t="s">
        <v>68</v>
      </c>
      <c r="L320" s="173" t="s">
        <v>456</v>
      </c>
      <c r="M320" s="182"/>
      <c r="N320" s="182"/>
      <c r="O320" s="161"/>
      <c r="P320" s="161"/>
      <c r="Q320" s="161">
        <v>146.9</v>
      </c>
      <c r="R320" s="186">
        <v>160.75</v>
      </c>
      <c r="S320" s="510">
        <v>160.6036</v>
      </c>
      <c r="T320" s="551">
        <v>140.56</v>
      </c>
      <c r="U320" s="164"/>
      <c r="V320" s="165">
        <v>200</v>
      </c>
      <c r="W320" s="187"/>
      <c r="X320" s="208" t="s">
        <v>70</v>
      </c>
      <c r="Y320" s="166" t="s">
        <v>89</v>
      </c>
      <c r="Z320" s="167" t="s">
        <v>965</v>
      </c>
      <c r="AA320" s="165" t="s">
        <v>59</v>
      </c>
      <c r="AB320" s="167" t="s">
        <v>65</v>
      </c>
      <c r="AC320" s="168"/>
      <c r="AD320" s="160"/>
      <c r="AE320" s="160"/>
      <c r="AF320" s="160"/>
      <c r="AG320" s="160"/>
      <c r="AH320" s="160"/>
      <c r="AI320" s="163" t="s">
        <v>59</v>
      </c>
      <c r="AJ320" s="170"/>
      <c r="AK320" s="170"/>
      <c r="AL320" s="170"/>
      <c r="AM320" s="170"/>
      <c r="AN320" s="170"/>
      <c r="AO320" s="170"/>
      <c r="AP320" s="170"/>
      <c r="AQ320" s="170"/>
      <c r="AR320" s="170"/>
      <c r="AS320" s="170"/>
      <c r="AT320" s="170"/>
      <c r="AU320" s="170"/>
      <c r="AV320" s="170"/>
      <c r="AW320" s="170"/>
      <c r="AX320" s="170"/>
      <c r="AY320" s="170"/>
      <c r="AZ320" s="169" t="s">
        <v>59</v>
      </c>
      <c r="BA320" s="160">
        <f>(COUNTIF(AJ320:AL320,"*OK*")*3) + (COUNTIF(AM320:AO320,"*OK*")*2) + COUNTIF(AP320:AR320,"*OK*")+COUNTIF(AZ320:AZ320,"SI")*0.5</f>
        <v>0</v>
      </c>
      <c r="BB320" s="160" t="str">
        <f>IF(BA320&lt;0.6,"Demasiado Riesgo",IF(BA320&lt;=5,"Riesgo Medio",IF(BA320&lt;=11,"Riesgo Bajo","Cliente Blindado")))</f>
        <v>Demasiado Riesgo</v>
      </c>
      <c r="BC320" s="160"/>
      <c r="BD320" s="160"/>
      <c r="BE320" s="160">
        <v>0</v>
      </c>
      <c r="BF320" s="160"/>
      <c r="BG320" s="160"/>
      <c r="BH320" s="160"/>
      <c r="BI320" s="160"/>
      <c r="BJ320" s="160"/>
      <c r="BK320" s="160"/>
      <c r="BL320" s="160"/>
      <c r="BM320" s="160"/>
      <c r="BN320" s="160"/>
      <c r="BO320" s="160"/>
      <c r="BP320" s="160"/>
      <c r="BQ320" s="160"/>
      <c r="BR320" s="160"/>
      <c r="BS320" s="160"/>
      <c r="BT320" s="160"/>
      <c r="BU320" s="160"/>
      <c r="BV320" s="160"/>
      <c r="BW320" s="160"/>
      <c r="BX320" s="160"/>
      <c r="BY320" s="160"/>
      <c r="BZ320" s="160"/>
      <c r="CA320" s="160">
        <f>COUNTIF(AJ320:AX320,"*OK*")</f>
        <v>0</v>
      </c>
      <c r="CB320" s="160"/>
      <c r="CC320" s="160">
        <f>COUNTIF(AJ320:AX320,"*OP*")</f>
        <v>0</v>
      </c>
    </row>
    <row r="321" spans="1:81" ht="15" customHeight="1">
      <c r="A321" s="240"/>
      <c r="B321" s="171"/>
      <c r="C321" s="468">
        <f>T321</f>
        <v>142.84</v>
      </c>
      <c r="D321" s="171">
        <f>COUNTIF(AJ321:AX321,"*OK*")</f>
        <v>0</v>
      </c>
      <c r="E321" s="171"/>
      <c r="F321" s="183" t="s">
        <v>966</v>
      </c>
      <c r="G321" s="183"/>
      <c r="H321" s="168" t="s">
        <v>455</v>
      </c>
      <c r="I321" s="179"/>
      <c r="J321" s="183"/>
      <c r="K321" s="192" t="s">
        <v>68</v>
      </c>
      <c r="L321" s="173" t="s">
        <v>456</v>
      </c>
      <c r="M321" s="183"/>
      <c r="N321" s="183"/>
      <c r="O321" s="172"/>
      <c r="P321" s="172">
        <v>137.05000000000001</v>
      </c>
      <c r="Q321" s="172">
        <v>130.61000000000001</v>
      </c>
      <c r="R321" s="193">
        <v>145.08000000000001</v>
      </c>
      <c r="S321" s="510">
        <v>136.62860000000001</v>
      </c>
      <c r="T321" s="553">
        <v>142.84</v>
      </c>
      <c r="U321" s="175"/>
      <c r="V321" s="176">
        <v>50</v>
      </c>
      <c r="W321" s="194"/>
      <c r="X321" s="209" t="s">
        <v>70</v>
      </c>
      <c r="Y321" s="177" t="s">
        <v>71</v>
      </c>
      <c r="Z321" s="178" t="s">
        <v>967</v>
      </c>
      <c r="AA321" s="176" t="s">
        <v>59</v>
      </c>
      <c r="AB321" s="178" t="s">
        <v>65</v>
      </c>
      <c r="AC321" s="179"/>
      <c r="AD321" s="171"/>
      <c r="AE321" s="171"/>
      <c r="AF321" s="171"/>
      <c r="AG321" s="171"/>
      <c r="AH321" s="171"/>
      <c r="AI321" s="174" t="s">
        <v>59</v>
      </c>
      <c r="AJ321" s="170"/>
      <c r="AK321" s="170"/>
      <c r="AL321" s="170"/>
      <c r="AM321" s="170"/>
      <c r="AN321" s="170"/>
      <c r="AO321" s="170"/>
      <c r="AP321" s="170"/>
      <c r="AQ321" s="170"/>
      <c r="AR321" s="170"/>
      <c r="AS321" s="170"/>
      <c r="AT321" s="170"/>
      <c r="AU321" s="170"/>
      <c r="AV321" s="170"/>
      <c r="AW321" s="170"/>
      <c r="AX321" s="170"/>
      <c r="AY321" s="170"/>
      <c r="AZ321" s="180" t="s">
        <v>59</v>
      </c>
      <c r="BA321" s="171">
        <f>(COUNTIF(AJ321:AL321,"*OK*")*3) + (COUNTIF(AM321:AO321,"*OK*")*2) + COUNTIF(AP321:AR321,"*OK*")+COUNTIF(AZ321:AZ321,"SI")*0.5</f>
        <v>0</v>
      </c>
      <c r="BB321" s="171" t="str">
        <f>IF(BA321&lt;0.6,"Demasiado Riesgo",IF(BA321&lt;=5,"Riesgo Medio",IF(BA321&lt;=11,"Riesgo Bajo","Cliente Blindado")))</f>
        <v>Demasiado Riesgo</v>
      </c>
      <c r="BC321" s="171"/>
      <c r="BD321" s="171"/>
      <c r="BE321" s="171">
        <v>0</v>
      </c>
      <c r="BF321" s="171"/>
      <c r="BG321" s="171"/>
      <c r="BH321" s="171"/>
      <c r="BI321" s="171"/>
      <c r="BJ321" s="171"/>
      <c r="BK321" s="171"/>
      <c r="BL321" s="171"/>
      <c r="BM321" s="171"/>
      <c r="BN321" s="171"/>
      <c r="BO321" s="171"/>
      <c r="BP321" s="171"/>
      <c r="BQ321" s="171"/>
      <c r="BR321" s="171"/>
      <c r="BS321" s="171"/>
      <c r="BT321" s="171"/>
      <c r="BU321" s="171"/>
      <c r="BV321" s="171"/>
      <c r="BW321" s="171"/>
      <c r="BX321" s="171"/>
      <c r="BY321" s="171"/>
      <c r="BZ321" s="171"/>
      <c r="CA321" s="171">
        <f>COUNTIF(AJ321:AX321,"*OK*")</f>
        <v>0</v>
      </c>
      <c r="CB321" s="171"/>
      <c r="CC321" s="171">
        <f>COUNTIF(AJ321:AX321,"*OP*")</f>
        <v>0</v>
      </c>
    </row>
    <row r="322" spans="1:81" ht="15" customHeight="1">
      <c r="A322" s="241"/>
      <c r="B322" s="160"/>
      <c r="C322" s="468">
        <f>T322</f>
        <v>145.93</v>
      </c>
      <c r="D322" s="160">
        <f>COUNTIF(AJ322:AX322,"*OK*")</f>
        <v>0</v>
      </c>
      <c r="E322" s="160"/>
      <c r="F322" s="182" t="s">
        <v>968</v>
      </c>
      <c r="G322" s="182"/>
      <c r="H322" s="168" t="s">
        <v>455</v>
      </c>
      <c r="I322" s="168"/>
      <c r="J322" s="182"/>
      <c r="K322" s="185" t="s">
        <v>68</v>
      </c>
      <c r="L322" s="173" t="s">
        <v>456</v>
      </c>
      <c r="M322" s="182"/>
      <c r="N322" s="182"/>
      <c r="O322" s="161">
        <v>148.13999999999999</v>
      </c>
      <c r="P322" s="161">
        <v>148</v>
      </c>
      <c r="Q322" s="161">
        <v>141.05000000000001</v>
      </c>
      <c r="R322" s="186">
        <v>145.59</v>
      </c>
      <c r="S322" s="510">
        <v>147.5444</v>
      </c>
      <c r="T322" s="550">
        <v>145.93</v>
      </c>
      <c r="U322" s="164"/>
      <c r="V322" s="165">
        <v>100</v>
      </c>
      <c r="W322" s="187"/>
      <c r="X322" s="208" t="s">
        <v>70</v>
      </c>
      <c r="Y322" s="166" t="s">
        <v>152</v>
      </c>
      <c r="Z322" s="167" t="s">
        <v>969</v>
      </c>
      <c r="AA322" s="165" t="s">
        <v>59</v>
      </c>
      <c r="AB322" s="167" t="s">
        <v>65</v>
      </c>
      <c r="AC322" s="168"/>
      <c r="AD322" s="160"/>
      <c r="AE322" s="160"/>
      <c r="AF322" s="160"/>
      <c r="AG322" s="160"/>
      <c r="AH322" s="160"/>
      <c r="AI322" s="163" t="s">
        <v>59</v>
      </c>
      <c r="AJ322" s="170"/>
      <c r="AK322" s="170"/>
      <c r="AL322" s="170"/>
      <c r="AM322" s="170"/>
      <c r="AN322" s="170"/>
      <c r="AO322" s="170"/>
      <c r="AP322" s="170"/>
      <c r="AQ322" s="170"/>
      <c r="AR322" s="170"/>
      <c r="AS322" s="170"/>
      <c r="AT322" s="170"/>
      <c r="AU322" s="170"/>
      <c r="AV322" s="170"/>
      <c r="AW322" s="170"/>
      <c r="AX322" s="170"/>
      <c r="AY322" s="170"/>
      <c r="AZ322" s="169" t="s">
        <v>59</v>
      </c>
      <c r="BA322" s="160">
        <f>(COUNTIF(AJ322:AL322,"*OK*")*3) + (COUNTIF(AM322:AO322,"*OK*")*2) + COUNTIF(AP322:AR322,"*OK*")+COUNTIF(AZ322:AZ322,"SI")*0.5</f>
        <v>0</v>
      </c>
      <c r="BB322" s="160" t="str">
        <f>IF(BA322&lt;0.6,"Demasiado Riesgo",IF(BA322&lt;=5,"Riesgo Medio",IF(BA322&lt;=11,"Riesgo Bajo","Cliente Blindado")))</f>
        <v>Demasiado Riesgo</v>
      </c>
      <c r="BC322" s="160"/>
      <c r="BD322" s="160"/>
      <c r="BE322" s="160">
        <v>0</v>
      </c>
      <c r="BF322" s="160"/>
      <c r="BG322" s="160"/>
      <c r="BH322" s="160"/>
      <c r="BI322" s="160"/>
      <c r="BJ322" s="160"/>
      <c r="BK322" s="160"/>
      <c r="BL322" s="160"/>
      <c r="BM322" s="160"/>
      <c r="BN322" s="160"/>
      <c r="BO322" s="160"/>
      <c r="BP322" s="160"/>
      <c r="BQ322" s="160"/>
      <c r="BR322" s="160"/>
      <c r="BS322" s="160"/>
      <c r="BT322" s="160"/>
      <c r="BU322" s="160"/>
      <c r="BV322" s="160"/>
      <c r="BW322" s="160"/>
      <c r="BX322" s="160"/>
      <c r="BY322" s="160"/>
      <c r="BZ322" s="160"/>
      <c r="CA322" s="160">
        <f>COUNTIF(AJ322:AX322,"*OK*")</f>
        <v>0</v>
      </c>
      <c r="CB322" s="160"/>
      <c r="CC322" s="160">
        <f>COUNTIF(AJ322:AX322,"*OP*")</f>
        <v>0</v>
      </c>
    </row>
    <row r="323" spans="1:81" ht="15" customHeight="1">
      <c r="A323" s="240">
        <v>36305</v>
      </c>
      <c r="B323" s="171"/>
      <c r="C323" s="468">
        <f>T323</f>
        <v>147.69999999999999</v>
      </c>
      <c r="D323" s="171">
        <f>COUNTIF(AJ323:AX323,"*OK*")</f>
        <v>0</v>
      </c>
      <c r="E323" s="171"/>
      <c r="F323" s="191" t="s">
        <v>970</v>
      </c>
      <c r="G323" s="183"/>
      <c r="H323" s="179" t="s">
        <v>455</v>
      </c>
      <c r="I323" s="179"/>
      <c r="J323" s="183"/>
      <c r="K323" s="192" t="s">
        <v>68</v>
      </c>
      <c r="L323" s="173" t="s">
        <v>456</v>
      </c>
      <c r="M323" s="183"/>
      <c r="N323" s="183"/>
      <c r="O323" s="172"/>
      <c r="P323" s="172"/>
      <c r="Q323" s="172">
        <v>69.86</v>
      </c>
      <c r="R323" s="193">
        <v>137.94999999999999</v>
      </c>
      <c r="S323" s="510">
        <v>635.48180000000002</v>
      </c>
      <c r="T323" s="550">
        <v>147.69999999999999</v>
      </c>
      <c r="U323" s="175"/>
      <c r="V323" s="176">
        <v>100</v>
      </c>
      <c r="W323" s="194"/>
      <c r="X323" s="209" t="s">
        <v>70</v>
      </c>
      <c r="Y323" s="177" t="s">
        <v>162</v>
      </c>
      <c r="Z323" s="178" t="s">
        <v>971</v>
      </c>
      <c r="AA323" s="176" t="s">
        <v>59</v>
      </c>
      <c r="AB323" s="178" t="s">
        <v>65</v>
      </c>
      <c r="AC323" s="179"/>
      <c r="AD323" s="171"/>
      <c r="AE323" s="171"/>
      <c r="AF323" s="171"/>
      <c r="AG323" s="171"/>
      <c r="AH323" s="171"/>
      <c r="AI323" s="174" t="s">
        <v>59</v>
      </c>
      <c r="AJ323" s="170"/>
      <c r="AK323" s="170"/>
      <c r="AL323" s="170"/>
      <c r="AM323" s="170"/>
      <c r="AN323" s="170"/>
      <c r="AO323" s="170"/>
      <c r="AP323" s="170"/>
      <c r="AQ323" s="170"/>
      <c r="AR323" s="170"/>
      <c r="AS323" s="170"/>
      <c r="AT323" s="170"/>
      <c r="AU323" s="170"/>
      <c r="AV323" s="170"/>
      <c r="AW323" s="170"/>
      <c r="AX323" s="170"/>
      <c r="AY323" s="170"/>
      <c r="AZ323" s="180" t="s">
        <v>59</v>
      </c>
      <c r="BA323" s="171">
        <f>(COUNTIF(AJ323:AL323,"*OK*")*3) + (COUNTIF(AM323:AO323,"*OK*")*2) + COUNTIF(AP323:AR323,"*OK*")+COUNTIF(AZ323:AZ323,"SI")*0.5</f>
        <v>0</v>
      </c>
      <c r="BB323" s="171" t="str">
        <f>IF(BA323&lt;0.6,"Demasiado Riesgo",IF(BA323&lt;=5,"Riesgo Medio",IF(BA323&lt;=11,"Riesgo Bajo","Cliente Blindado")))</f>
        <v>Demasiado Riesgo</v>
      </c>
      <c r="BC323" s="171"/>
      <c r="BD323" s="171"/>
      <c r="BE323" s="171">
        <v>0</v>
      </c>
      <c r="BF323" s="171"/>
      <c r="BG323" s="171"/>
      <c r="BH323" s="171"/>
      <c r="BI323" s="171"/>
      <c r="BJ323" s="171"/>
      <c r="BK323" s="171"/>
      <c r="BL323" s="171"/>
      <c r="BM323" s="171"/>
      <c r="BN323" s="171"/>
      <c r="BO323" s="171"/>
      <c r="BP323" s="171"/>
      <c r="BQ323" s="171"/>
      <c r="BR323" s="171"/>
      <c r="BS323" s="171"/>
      <c r="BT323" s="171"/>
      <c r="BU323" s="171"/>
      <c r="BV323" s="171"/>
      <c r="BW323" s="171"/>
      <c r="BX323" s="171"/>
      <c r="BY323" s="171"/>
      <c r="BZ323" s="171"/>
      <c r="CA323" s="171">
        <f>COUNTIF(AJ323:AX323,"*OK*")</f>
        <v>0</v>
      </c>
      <c r="CB323" s="171"/>
      <c r="CC323" s="171">
        <f>COUNTIF(AJ323:AX323,"*OP*")</f>
        <v>0</v>
      </c>
    </row>
    <row r="324" spans="1:81" ht="15" customHeight="1">
      <c r="A324" s="241"/>
      <c r="B324" s="160"/>
      <c r="C324" s="468">
        <f>T324</f>
        <v>150.94</v>
      </c>
      <c r="D324" s="160">
        <f>COUNTIF(AJ324:AX324,"*OK*")</f>
        <v>0</v>
      </c>
      <c r="E324" s="160"/>
      <c r="F324" s="182" t="s">
        <v>972</v>
      </c>
      <c r="G324" s="182"/>
      <c r="H324" s="168" t="s">
        <v>455</v>
      </c>
      <c r="I324" s="168"/>
      <c r="J324" s="182"/>
      <c r="K324" s="185" t="s">
        <v>68</v>
      </c>
      <c r="L324" s="173" t="s">
        <v>456</v>
      </c>
      <c r="M324" s="182"/>
      <c r="N324" s="182"/>
      <c r="O324" s="161">
        <v>134.71</v>
      </c>
      <c r="P324" s="161">
        <v>143</v>
      </c>
      <c r="Q324" s="161">
        <v>144.29</v>
      </c>
      <c r="R324" s="186">
        <v>148.93</v>
      </c>
      <c r="S324" s="510">
        <v>161.00110000000001</v>
      </c>
      <c r="T324" s="550">
        <v>150.94</v>
      </c>
      <c r="U324" s="164"/>
      <c r="V324" s="165">
        <v>100</v>
      </c>
      <c r="W324" s="187"/>
      <c r="X324" s="208" t="s">
        <v>70</v>
      </c>
      <c r="Y324" s="166" t="s">
        <v>141</v>
      </c>
      <c r="Z324" s="167" t="s">
        <v>973</v>
      </c>
      <c r="AA324" s="165" t="s">
        <v>59</v>
      </c>
      <c r="AB324" s="167" t="s">
        <v>65</v>
      </c>
      <c r="AC324" s="168"/>
      <c r="AD324" s="160"/>
      <c r="AE324" s="160"/>
      <c r="AF324" s="160"/>
      <c r="AG324" s="160"/>
      <c r="AH324" s="160"/>
      <c r="AI324" s="163" t="s">
        <v>59</v>
      </c>
      <c r="AJ324" s="170"/>
      <c r="AK324" s="170"/>
      <c r="AL324" s="170"/>
      <c r="AM324" s="170"/>
      <c r="AN324" s="170"/>
      <c r="AO324" s="170"/>
      <c r="AP324" s="170"/>
      <c r="AQ324" s="170"/>
      <c r="AR324" s="170"/>
      <c r="AS324" s="170"/>
      <c r="AT324" s="170"/>
      <c r="AU324" s="170"/>
      <c r="AV324" s="170"/>
      <c r="AW324" s="170"/>
      <c r="AX324" s="170"/>
      <c r="AY324" s="170"/>
      <c r="AZ324" s="169" t="s">
        <v>59</v>
      </c>
      <c r="BA324" s="160">
        <f>(COUNTIF(AJ324:AL324,"*OK*")*3) + (COUNTIF(AM324:AO324,"*OK*")*2) + COUNTIF(AP324:AR324,"*OK*")+COUNTIF(AZ324:AZ324,"SI")*0.5</f>
        <v>0</v>
      </c>
      <c r="BB324" s="160" t="str">
        <f>IF(BA324&lt;0.6,"Demasiado Riesgo",IF(BA324&lt;=5,"Riesgo Medio",IF(BA324&lt;=11,"Riesgo Bajo","Cliente Blindado")))</f>
        <v>Demasiado Riesgo</v>
      </c>
      <c r="BC324" s="160"/>
      <c r="BD324" s="160"/>
      <c r="BE324" s="160">
        <v>0</v>
      </c>
      <c r="BF324" s="160"/>
      <c r="BG324" s="160"/>
      <c r="BH324" s="160"/>
      <c r="BI324" s="160"/>
      <c r="BJ324" s="160"/>
      <c r="BK324" s="160"/>
      <c r="BL324" s="160"/>
      <c r="BM324" s="160"/>
      <c r="BN324" s="160"/>
      <c r="BO324" s="160"/>
      <c r="BP324" s="160"/>
      <c r="BQ324" s="160"/>
      <c r="BR324" s="160"/>
      <c r="BS324" s="160"/>
      <c r="BT324" s="160"/>
      <c r="BU324" s="160"/>
      <c r="BV324" s="160"/>
      <c r="BW324" s="160"/>
      <c r="BX324" s="160"/>
      <c r="BY324" s="160"/>
      <c r="BZ324" s="160"/>
      <c r="CA324" s="160">
        <f>COUNTIF(AJ324:AX324,"*OK*")</f>
        <v>0</v>
      </c>
      <c r="CB324" s="160"/>
      <c r="CC324" s="160">
        <f>COUNTIF(AJ324:AX324,"*OP*")</f>
        <v>0</v>
      </c>
    </row>
    <row r="325" spans="1:81" ht="15" customHeight="1">
      <c r="A325" s="240"/>
      <c r="B325" s="171"/>
      <c r="C325" s="468">
        <f>T325</f>
        <v>151.99</v>
      </c>
      <c r="D325" s="171">
        <f>COUNTIF(AN325:AY325,"OK")</f>
        <v>0</v>
      </c>
      <c r="E325" s="171"/>
      <c r="F325" s="171" t="s">
        <v>974</v>
      </c>
      <c r="G325" s="171"/>
      <c r="H325" s="168" t="s">
        <v>455</v>
      </c>
      <c r="I325" s="179"/>
      <c r="J325" s="171"/>
      <c r="K325" s="236" t="s">
        <v>68</v>
      </c>
      <c r="L325" s="173" t="s">
        <v>456</v>
      </c>
      <c r="M325" s="171"/>
      <c r="N325" s="171"/>
      <c r="O325" s="161"/>
      <c r="P325" s="161"/>
      <c r="Q325" s="161"/>
      <c r="R325" s="186"/>
      <c r="S325" s="510">
        <v>151.6491</v>
      </c>
      <c r="T325" s="558">
        <v>151.99</v>
      </c>
      <c r="U325" s="175"/>
      <c r="V325" s="176" t="s">
        <v>59</v>
      </c>
      <c r="W325" s="171"/>
      <c r="X325" s="205"/>
      <c r="Y325" s="177"/>
      <c r="Z325" s="178"/>
      <c r="AA325" s="174" t="s">
        <v>59</v>
      </c>
      <c r="AB325" s="178"/>
      <c r="AC325" s="179"/>
      <c r="AD325" s="171"/>
      <c r="AE325" s="171"/>
      <c r="AF325" s="171"/>
      <c r="AG325" s="171"/>
      <c r="AH325" s="171"/>
      <c r="AI325" s="540"/>
      <c r="AJ325" s="543"/>
      <c r="AK325" s="543"/>
      <c r="AL325" s="543"/>
      <c r="AM325" s="543"/>
      <c r="AN325" s="543"/>
      <c r="AO325" s="543"/>
      <c r="AP325" s="543"/>
      <c r="AQ325" s="543"/>
      <c r="AR325" s="543"/>
      <c r="AS325" s="543"/>
      <c r="AT325" s="543"/>
      <c r="AU325" s="543"/>
      <c r="AV325" s="543"/>
      <c r="AW325" s="543"/>
      <c r="AX325" s="543"/>
      <c r="AY325" s="543"/>
      <c r="AZ325" s="546"/>
      <c r="BA325" s="171">
        <f>(COUNTIF(AJ325:AL325,"*OK*")*3) + (COUNTIF(AM325:AO325,"*OK*")*2) + COUNTIF(AP325:AR325,"*OK*")+COUNTIF(AZ325:AZ325,"SI")*0.5</f>
        <v>0</v>
      </c>
      <c r="BB325" s="171" t="str">
        <f>IF(BA325&lt;0.6,"Demasiado Riesgo",IF(BA325&lt;=5,"Riesgo Medio",IF(BA325&lt;=11,"Riesgo Bajo","Cliente Blindado")))</f>
        <v>Demasiado Riesgo</v>
      </c>
      <c r="BC325" s="171"/>
      <c r="BD325" s="171"/>
      <c r="BE325" s="171"/>
      <c r="BF325" s="171"/>
      <c r="BG325" s="171"/>
      <c r="BH325" s="171"/>
      <c r="BI325" s="171"/>
      <c r="BJ325" s="171"/>
      <c r="BK325" s="171"/>
      <c r="BL325" s="171"/>
      <c r="BM325" s="171"/>
      <c r="BN325" s="171"/>
      <c r="BO325" s="171"/>
      <c r="BP325" s="171"/>
      <c r="BQ325" s="171"/>
      <c r="BR325" s="171"/>
      <c r="BS325" s="171"/>
      <c r="BT325" s="171"/>
      <c r="BU325" s="171"/>
      <c r="BV325" s="171"/>
      <c r="BW325" s="171"/>
      <c r="BX325" s="171"/>
      <c r="BY325" s="171"/>
      <c r="BZ325" s="171"/>
      <c r="CA325" s="171">
        <f>COUNTIF(AJ325:AX325,"*OK*")</f>
        <v>0</v>
      </c>
      <c r="CB325" s="171"/>
      <c r="CC325" s="171">
        <f>COUNTIF(AJ325:AX325,"*OP*")</f>
        <v>0</v>
      </c>
    </row>
    <row r="326" spans="1:81" ht="15" customHeight="1">
      <c r="A326" s="240">
        <v>21369</v>
      </c>
      <c r="B326" s="171"/>
      <c r="C326" s="468">
        <f>T326</f>
        <v>155.6</v>
      </c>
      <c r="D326" s="171">
        <f>COUNTIF(AJ326:AX326,"*OK*")</f>
        <v>0</v>
      </c>
      <c r="E326" s="171"/>
      <c r="F326" s="183" t="s">
        <v>975</v>
      </c>
      <c r="G326" s="183"/>
      <c r="H326" s="168" t="s">
        <v>455</v>
      </c>
      <c r="I326" s="179"/>
      <c r="J326" s="183"/>
      <c r="K326" s="183" t="s">
        <v>68</v>
      </c>
      <c r="L326" s="173" t="s">
        <v>456</v>
      </c>
      <c r="M326" s="183"/>
      <c r="N326" s="183" t="s">
        <v>136</v>
      </c>
      <c r="O326" s="172">
        <v>176.77</v>
      </c>
      <c r="P326" s="172">
        <v>172.85</v>
      </c>
      <c r="Q326" s="172">
        <v>157.56</v>
      </c>
      <c r="R326" s="193">
        <v>166.34</v>
      </c>
      <c r="S326" s="510"/>
      <c r="T326" s="554">
        <v>155.6</v>
      </c>
      <c r="U326" s="175"/>
      <c r="V326" s="176">
        <v>300</v>
      </c>
      <c r="W326" s="194"/>
      <c r="X326" s="209" t="s">
        <v>70</v>
      </c>
      <c r="Y326" s="177" t="s">
        <v>141</v>
      </c>
      <c r="Z326" s="178" t="s">
        <v>976</v>
      </c>
      <c r="AA326" s="176" t="s">
        <v>59</v>
      </c>
      <c r="AB326" s="195" t="s">
        <v>159</v>
      </c>
      <c r="AC326" s="179"/>
      <c r="AD326" s="171"/>
      <c r="AE326" s="171"/>
      <c r="AF326" s="171"/>
      <c r="AG326" s="171"/>
      <c r="AH326" s="171"/>
      <c r="AI326" s="174" t="s">
        <v>59</v>
      </c>
      <c r="AJ326" s="170"/>
      <c r="AK326" s="170"/>
      <c r="AL326" s="170"/>
      <c r="AM326" s="170"/>
      <c r="AN326" s="170"/>
      <c r="AO326" s="170"/>
      <c r="AP326" s="170"/>
      <c r="AQ326" s="170"/>
      <c r="AR326" s="170"/>
      <c r="AS326" s="170"/>
      <c r="AT326" s="170"/>
      <c r="AU326" s="170"/>
      <c r="AV326" s="170"/>
      <c r="AW326" s="170"/>
      <c r="AX326" s="170"/>
      <c r="AY326" s="170"/>
      <c r="AZ326" s="180" t="s">
        <v>59</v>
      </c>
      <c r="BA326" s="171">
        <f>(COUNTIF(AJ326:AL326,"*OK*")*3) + (COUNTIF(AM326:AO326,"*OK*")*2) + COUNTIF(AP326:AR326,"*OK*")+COUNTIF(AZ326:AZ326,"SI")*0.5</f>
        <v>0</v>
      </c>
      <c r="BB326" s="171" t="str">
        <f>IF(BA326&lt;0.6,"Demasiado Riesgo",IF(BA326&lt;=5,"Riesgo Medio",IF(BA326&lt;=11,"Riesgo Bajo","Cliente Blindado")))</f>
        <v>Demasiado Riesgo</v>
      </c>
      <c r="BC326" s="171"/>
      <c r="BD326" s="171"/>
      <c r="BE326" s="171">
        <v>0</v>
      </c>
      <c r="BF326" s="171"/>
      <c r="BG326" s="171"/>
      <c r="BH326" s="171"/>
      <c r="BI326" s="171"/>
      <c r="BJ326" s="171"/>
      <c r="BK326" s="171"/>
      <c r="BL326" s="171"/>
      <c r="BM326" s="171"/>
      <c r="BN326" s="171"/>
      <c r="BO326" s="171"/>
      <c r="BP326" s="171"/>
      <c r="BQ326" s="171"/>
      <c r="BR326" s="171"/>
      <c r="BS326" s="171"/>
      <c r="BT326" s="171"/>
      <c r="BU326" s="171"/>
      <c r="BV326" s="171"/>
      <c r="BW326" s="171"/>
      <c r="BX326" s="171"/>
      <c r="BY326" s="171"/>
      <c r="BZ326" s="171"/>
      <c r="CA326" s="171">
        <f>COUNTIF(AJ326:AX326,"*OK*")</f>
        <v>0</v>
      </c>
      <c r="CB326" s="171"/>
      <c r="CC326" s="171">
        <f>COUNTIF(AJ326:AX326,"*OP*")</f>
        <v>0</v>
      </c>
    </row>
    <row r="327" spans="1:81" ht="15" customHeight="1">
      <c r="A327" s="241">
        <v>6902</v>
      </c>
      <c r="B327" s="160"/>
      <c r="C327" s="468">
        <f>T327</f>
        <v>156.41999999999999</v>
      </c>
      <c r="D327" s="160">
        <f>COUNTIF(AJ327:AX327,"*OK*")</f>
        <v>0</v>
      </c>
      <c r="E327" s="160"/>
      <c r="F327" s="182" t="s">
        <v>977</v>
      </c>
      <c r="G327" s="182"/>
      <c r="H327" s="168" t="s">
        <v>455</v>
      </c>
      <c r="I327" s="168"/>
      <c r="J327" s="182"/>
      <c r="K327" s="182" t="s">
        <v>68</v>
      </c>
      <c r="L327" s="173" t="s">
        <v>456</v>
      </c>
      <c r="M327" s="182"/>
      <c r="N327" s="182"/>
      <c r="O327" s="161">
        <v>163.09</v>
      </c>
      <c r="P327" s="161">
        <v>158.65</v>
      </c>
      <c r="Q327" s="161">
        <v>147.1</v>
      </c>
      <c r="R327" s="186">
        <v>143.4</v>
      </c>
      <c r="S327" s="510">
        <v>141.05789999999999</v>
      </c>
      <c r="T327" s="553">
        <v>156.41999999999999</v>
      </c>
      <c r="U327" s="164"/>
      <c r="V327" s="165">
        <v>100</v>
      </c>
      <c r="W327" s="187"/>
      <c r="X327" s="208" t="s">
        <v>70</v>
      </c>
      <c r="Y327" s="166" t="s">
        <v>71</v>
      </c>
      <c r="Z327" s="167" t="s">
        <v>978</v>
      </c>
      <c r="AA327" s="165" t="s">
        <v>118</v>
      </c>
      <c r="AB327" s="167" t="s">
        <v>119</v>
      </c>
      <c r="AC327" s="168"/>
      <c r="AD327" s="160"/>
      <c r="AE327" s="160"/>
      <c r="AF327" s="160"/>
      <c r="AG327" s="160"/>
      <c r="AH327" s="160"/>
      <c r="AI327" s="163" t="s">
        <v>59</v>
      </c>
      <c r="AJ327" s="170"/>
      <c r="AK327" s="170"/>
      <c r="AL327" s="170"/>
      <c r="AM327" s="170"/>
      <c r="AN327" s="170"/>
      <c r="AO327" s="170"/>
      <c r="AP327" s="170"/>
      <c r="AQ327" s="170"/>
      <c r="AR327" s="170"/>
      <c r="AS327" s="170"/>
      <c r="AT327" s="170"/>
      <c r="AU327" s="170"/>
      <c r="AV327" s="170"/>
      <c r="AW327" s="170"/>
      <c r="AX327" s="170"/>
      <c r="AY327" s="170"/>
      <c r="AZ327" s="169" t="s">
        <v>59</v>
      </c>
      <c r="BA327" s="160">
        <f>(COUNTIF(AJ327:AL327,"*OK*")*3) + (COUNTIF(AM327:AO327,"*OK*")*2) + COUNTIF(AP327:AR327,"*OK*")+COUNTIF(AZ327:AZ327,"SI")*0.5</f>
        <v>0</v>
      </c>
      <c r="BB327" s="160" t="str">
        <f>IF(BA327&lt;0.6,"Demasiado Riesgo",IF(BA327&lt;=5,"Riesgo Medio",IF(BA327&lt;=11,"Riesgo Bajo","Cliente Blindado")))</f>
        <v>Demasiado Riesgo</v>
      </c>
      <c r="BC327" s="160"/>
      <c r="BD327" s="160"/>
      <c r="BE327" s="160">
        <v>0</v>
      </c>
      <c r="BF327" s="160"/>
      <c r="BG327" s="160"/>
      <c r="BH327" s="160"/>
      <c r="BI327" s="160"/>
      <c r="BJ327" s="160"/>
      <c r="BK327" s="160"/>
      <c r="BL327" s="160"/>
      <c r="BM327" s="160"/>
      <c r="BN327" s="160"/>
      <c r="BO327" s="160"/>
      <c r="BP327" s="160"/>
      <c r="BQ327" s="160"/>
      <c r="BR327" s="160"/>
      <c r="BS327" s="160"/>
      <c r="BT327" s="160"/>
      <c r="BU327" s="160"/>
      <c r="BV327" s="160"/>
      <c r="BW327" s="160"/>
      <c r="BX327" s="160"/>
      <c r="BY327" s="160"/>
      <c r="BZ327" s="160"/>
      <c r="CA327" s="160">
        <f>COUNTIF(AJ327:AX327,"*OK*")</f>
        <v>0</v>
      </c>
      <c r="CB327" s="160"/>
      <c r="CC327" s="160">
        <f>COUNTIF(AJ327:AX327,"*OP*")</f>
        <v>0</v>
      </c>
    </row>
    <row r="328" spans="1:81" ht="15" customHeight="1">
      <c r="A328" s="240"/>
      <c r="B328" s="171"/>
      <c r="C328" s="468">
        <f>T328</f>
        <v>159.62</v>
      </c>
      <c r="D328" s="171">
        <f>COUNTIF(AJ328:AX328,"*OK*")</f>
        <v>0</v>
      </c>
      <c r="E328" s="171"/>
      <c r="F328" s="183" t="s">
        <v>979</v>
      </c>
      <c r="G328" s="183"/>
      <c r="H328" s="168" t="s">
        <v>455</v>
      </c>
      <c r="I328" s="179"/>
      <c r="J328" s="183"/>
      <c r="K328" s="183" t="s">
        <v>68</v>
      </c>
      <c r="L328" s="173" t="s">
        <v>456</v>
      </c>
      <c r="M328" s="183"/>
      <c r="N328" s="183"/>
      <c r="O328" s="172">
        <v>141.36000000000001</v>
      </c>
      <c r="P328" s="172">
        <v>155.01</v>
      </c>
      <c r="Q328" s="172">
        <v>147.72</v>
      </c>
      <c r="R328" s="193">
        <v>159.25</v>
      </c>
      <c r="S328" s="510">
        <v>175.12960000000001</v>
      </c>
      <c r="T328" s="551">
        <v>159.62</v>
      </c>
      <c r="U328" s="175"/>
      <c r="V328" s="176">
        <v>50</v>
      </c>
      <c r="W328" s="194"/>
      <c r="X328" s="209" t="s">
        <v>70</v>
      </c>
      <c r="Y328" s="177" t="s">
        <v>71</v>
      </c>
      <c r="Z328" s="178" t="s">
        <v>980</v>
      </c>
      <c r="AA328" s="176" t="s">
        <v>59</v>
      </c>
      <c r="AB328" s="178" t="s">
        <v>104</v>
      </c>
      <c r="AC328" s="179"/>
      <c r="AD328" s="171"/>
      <c r="AE328" s="171"/>
      <c r="AF328" s="171"/>
      <c r="AG328" s="171"/>
      <c r="AH328" s="171"/>
      <c r="AI328" s="174" t="s">
        <v>59</v>
      </c>
      <c r="AJ328" s="170"/>
      <c r="AK328" s="170"/>
      <c r="AL328" s="170"/>
      <c r="AM328" s="170"/>
      <c r="AN328" s="170"/>
      <c r="AO328" s="170"/>
      <c r="AP328" s="170"/>
      <c r="AQ328" s="170"/>
      <c r="AR328" s="170"/>
      <c r="AS328" s="170"/>
      <c r="AT328" s="170"/>
      <c r="AU328" s="170"/>
      <c r="AV328" s="170"/>
      <c r="AW328" s="170"/>
      <c r="AX328" s="170"/>
      <c r="AY328" s="170"/>
      <c r="AZ328" s="180" t="s">
        <v>59</v>
      </c>
      <c r="BA328" s="171">
        <f>(COUNTIF(AJ328:AL328,"*OK*")*3) + (COUNTIF(AM328:AO328,"*OK*")*2) + COUNTIF(AP328:AR328,"*OK*")+COUNTIF(AZ328:AZ328,"SI")*0.5</f>
        <v>0</v>
      </c>
      <c r="BB328" s="171" t="str">
        <f>IF(BA328&lt;0.6,"Demasiado Riesgo",IF(BA328&lt;=5,"Riesgo Medio",IF(BA328&lt;=11,"Riesgo Bajo","Cliente Blindado")))</f>
        <v>Demasiado Riesgo</v>
      </c>
      <c r="BC328" s="171"/>
      <c r="BD328" s="171"/>
      <c r="BE328" s="171">
        <v>0</v>
      </c>
      <c r="BF328" s="171"/>
      <c r="BG328" s="171"/>
      <c r="BH328" s="171"/>
      <c r="BI328" s="171"/>
      <c r="BJ328" s="171"/>
      <c r="BK328" s="171"/>
      <c r="BL328" s="171"/>
      <c r="BM328" s="171"/>
      <c r="BN328" s="171"/>
      <c r="BO328" s="171"/>
      <c r="BP328" s="171"/>
      <c r="BQ328" s="171"/>
      <c r="BR328" s="171"/>
      <c r="BS328" s="171"/>
      <c r="BT328" s="171"/>
      <c r="BU328" s="171"/>
      <c r="BV328" s="171"/>
      <c r="BW328" s="171"/>
      <c r="BX328" s="171"/>
      <c r="BY328" s="171"/>
      <c r="BZ328" s="171"/>
      <c r="CA328" s="171">
        <f>COUNTIF(AJ328:AX328,"*OK*")</f>
        <v>0</v>
      </c>
      <c r="CB328" s="171"/>
      <c r="CC328" s="171">
        <f>COUNTIF(AJ328:AX328,"*OP*")</f>
        <v>0</v>
      </c>
    </row>
    <row r="329" spans="1:81" ht="15" customHeight="1">
      <c r="A329" s="241">
        <v>27671</v>
      </c>
      <c r="B329" s="160"/>
      <c r="C329" s="468">
        <f>T329</f>
        <v>159.99</v>
      </c>
      <c r="D329" s="160">
        <f>COUNTIF(AJ329:AX329,"*OK*")</f>
        <v>1</v>
      </c>
      <c r="E329" s="160"/>
      <c r="F329" s="182" t="s">
        <v>981</v>
      </c>
      <c r="G329" s="182"/>
      <c r="H329" s="168" t="s">
        <v>455</v>
      </c>
      <c r="I329" s="168"/>
      <c r="J329" s="182"/>
      <c r="K329" s="182" t="s">
        <v>68</v>
      </c>
      <c r="L329" s="173" t="s">
        <v>456</v>
      </c>
      <c r="M329" s="182"/>
      <c r="N329" s="182"/>
      <c r="O329" s="161">
        <v>162.41</v>
      </c>
      <c r="P329" s="161">
        <v>162.26</v>
      </c>
      <c r="Q329" s="161">
        <v>154.63</v>
      </c>
      <c r="R329" s="186">
        <v>159.61000000000001</v>
      </c>
      <c r="S329" s="510">
        <v>161.75899999999999</v>
      </c>
      <c r="T329" s="550">
        <v>159.99</v>
      </c>
      <c r="U329" s="164"/>
      <c r="V329" s="165">
        <v>300</v>
      </c>
      <c r="W329" s="187"/>
      <c r="X329" s="208" t="s">
        <v>70</v>
      </c>
      <c r="Y329" s="166" t="s">
        <v>71</v>
      </c>
      <c r="Z329" s="167" t="s">
        <v>982</v>
      </c>
      <c r="AA329" s="165" t="s">
        <v>71</v>
      </c>
      <c r="AB329" s="167" t="s">
        <v>159</v>
      </c>
      <c r="AC329" s="168"/>
      <c r="AD329" s="160"/>
      <c r="AE329" s="160"/>
      <c r="AF329" s="160"/>
      <c r="AG329" s="160"/>
      <c r="AH329" s="160"/>
      <c r="AI329" s="163" t="s">
        <v>59</v>
      </c>
      <c r="AJ329" s="170"/>
      <c r="AK329" s="170"/>
      <c r="AL329" s="189" t="s">
        <v>111</v>
      </c>
      <c r="AM329" s="170"/>
      <c r="AN329" s="170"/>
      <c r="AO329" s="170"/>
      <c r="AP329" s="170"/>
      <c r="AQ329" s="170"/>
      <c r="AR329" s="170"/>
      <c r="AS329" s="170"/>
      <c r="AT329" s="170"/>
      <c r="AU329" s="170"/>
      <c r="AV329" s="170"/>
      <c r="AW329" s="170"/>
      <c r="AX329" s="170"/>
      <c r="AY329" s="170"/>
      <c r="AZ329" s="169" t="s">
        <v>59</v>
      </c>
      <c r="BA329" s="160">
        <f>(COUNTIF(AJ329:AL329,"*OK*")*3) + (COUNTIF(AM329:AO329,"*OK*")*2) + COUNTIF(AP329:AR329,"*OK*")+COUNTIF(AZ329:AZ329,"SI")*0.5</f>
        <v>3</v>
      </c>
      <c r="BB329" s="160" t="str">
        <f>IF(BA329&lt;0.6,"Demasiado Riesgo",IF(BA329&lt;=5,"Riesgo Medio",IF(BA329&lt;=11,"Riesgo Bajo","Cliente Blindado")))</f>
        <v>Riesgo Medio</v>
      </c>
      <c r="BC329" s="160"/>
      <c r="BD329" s="160"/>
      <c r="BE329" s="160">
        <v>0</v>
      </c>
      <c r="BF329" s="160"/>
      <c r="BG329" s="160"/>
      <c r="BH329" s="160"/>
      <c r="BI329" s="160"/>
      <c r="BJ329" s="160"/>
      <c r="BK329" s="160"/>
      <c r="BL329" s="160"/>
      <c r="BM329" s="160"/>
      <c r="BN329" s="160"/>
      <c r="BO329" s="160"/>
      <c r="BP329" s="160"/>
      <c r="BQ329" s="160"/>
      <c r="BR329" s="160"/>
      <c r="BS329" s="160"/>
      <c r="BT329" s="160"/>
      <c r="BU329" s="160"/>
      <c r="BV329" s="160"/>
      <c r="BW329" s="160"/>
      <c r="BX329" s="160"/>
      <c r="BY329" s="160"/>
      <c r="BZ329" s="160"/>
      <c r="CA329" s="160">
        <f>COUNTIF(AJ329:AX329,"*OK*")</f>
        <v>1</v>
      </c>
      <c r="CB329" s="160"/>
      <c r="CC329" s="160">
        <f>COUNTIF(AJ329:AX329,"*OP*")</f>
        <v>0</v>
      </c>
    </row>
    <row r="330" spans="1:81" ht="15" customHeight="1">
      <c r="A330" s="240"/>
      <c r="B330" s="171"/>
      <c r="C330" s="468">
        <f>T330</f>
        <v>165</v>
      </c>
      <c r="D330" s="171">
        <f>COUNTIF(AJ330:AX330,"*OK*")</f>
        <v>0</v>
      </c>
      <c r="E330" s="171"/>
      <c r="F330" s="183" t="s">
        <v>983</v>
      </c>
      <c r="G330" s="183"/>
      <c r="H330" s="168" t="s">
        <v>455</v>
      </c>
      <c r="I330" s="179"/>
      <c r="J330" s="183"/>
      <c r="K330" s="183" t="s">
        <v>68</v>
      </c>
      <c r="L330" s="173" t="s">
        <v>456</v>
      </c>
      <c r="M330" s="183"/>
      <c r="N330" s="183"/>
      <c r="O330" s="172">
        <v>165</v>
      </c>
      <c r="P330" s="172">
        <v>165</v>
      </c>
      <c r="Q330" s="172">
        <v>165</v>
      </c>
      <c r="R330" s="193">
        <v>165</v>
      </c>
      <c r="S330" s="510">
        <v>165</v>
      </c>
      <c r="T330" s="551">
        <v>165</v>
      </c>
      <c r="U330" s="175"/>
      <c r="V330" s="176">
        <v>200</v>
      </c>
      <c r="W330" s="194"/>
      <c r="X330" s="209" t="s">
        <v>70</v>
      </c>
      <c r="Y330" s="177" t="s">
        <v>71</v>
      </c>
      <c r="Z330" s="178" t="s">
        <v>984</v>
      </c>
      <c r="AA330" s="176" t="s">
        <v>59</v>
      </c>
      <c r="AB330" s="195" t="s">
        <v>65</v>
      </c>
      <c r="AC330" s="179"/>
      <c r="AD330" s="171"/>
      <c r="AE330" s="171"/>
      <c r="AF330" s="171"/>
      <c r="AG330" s="171"/>
      <c r="AH330" s="171"/>
      <c r="AI330" s="174" t="s">
        <v>59</v>
      </c>
      <c r="AJ330" s="170"/>
      <c r="AK330" s="170"/>
      <c r="AL330" s="170"/>
      <c r="AM330" s="170"/>
      <c r="AN330" s="170"/>
      <c r="AO330" s="170"/>
      <c r="AP330" s="170"/>
      <c r="AQ330" s="170"/>
      <c r="AR330" s="170"/>
      <c r="AS330" s="170"/>
      <c r="AT330" s="170"/>
      <c r="AU330" s="170"/>
      <c r="AV330" s="170"/>
      <c r="AW330" s="170"/>
      <c r="AX330" s="170"/>
      <c r="AY330" s="170"/>
      <c r="AZ330" s="180" t="s">
        <v>59</v>
      </c>
      <c r="BA330" s="171">
        <f>(COUNTIF(AJ330:AL330,"*OK*")*3) + (COUNTIF(AM330:AO330,"*OK*")*2) + COUNTIF(AP330:AR330,"*OK*")+COUNTIF(AZ330:AZ330,"SI")*0.5</f>
        <v>0</v>
      </c>
      <c r="BB330" s="171" t="str">
        <f>IF(BA330&lt;0.6,"Demasiado Riesgo",IF(BA330&lt;=5,"Riesgo Medio",IF(BA330&lt;=11,"Riesgo Bajo","Cliente Blindado")))</f>
        <v>Demasiado Riesgo</v>
      </c>
      <c r="BC330" s="171"/>
      <c r="BD330" s="171"/>
      <c r="BE330" s="171">
        <v>0</v>
      </c>
      <c r="BF330" s="171"/>
      <c r="BG330" s="171"/>
      <c r="BH330" s="171"/>
      <c r="BI330" s="171"/>
      <c r="BJ330" s="171"/>
      <c r="BK330" s="171"/>
      <c r="BL330" s="171"/>
      <c r="BM330" s="171"/>
      <c r="BN330" s="171"/>
      <c r="BO330" s="171"/>
      <c r="BP330" s="171"/>
      <c r="BQ330" s="171"/>
      <c r="BR330" s="171"/>
      <c r="BS330" s="171"/>
      <c r="BT330" s="171"/>
      <c r="BU330" s="171"/>
      <c r="BV330" s="171"/>
      <c r="BW330" s="171"/>
      <c r="BX330" s="171"/>
      <c r="BY330" s="171"/>
      <c r="BZ330" s="171"/>
      <c r="CA330" s="171">
        <f>COUNTIF(AJ330:AX330,"*OK*")</f>
        <v>0</v>
      </c>
      <c r="CB330" s="171"/>
      <c r="CC330" s="171">
        <f>COUNTIF(AJ330:AX330,"*OP*")</f>
        <v>0</v>
      </c>
    </row>
    <row r="331" spans="1:81" ht="15" customHeight="1">
      <c r="A331" s="241">
        <v>32684</v>
      </c>
      <c r="B331" s="160"/>
      <c r="C331" s="468">
        <f>T331</f>
        <v>165.9</v>
      </c>
      <c r="D331" s="160">
        <f>COUNTIF(AJ331:AX331,"*OK*")</f>
        <v>0</v>
      </c>
      <c r="E331" s="160"/>
      <c r="F331" s="182" t="s">
        <v>985</v>
      </c>
      <c r="G331" s="182"/>
      <c r="H331" s="168" t="s">
        <v>455</v>
      </c>
      <c r="I331" s="168"/>
      <c r="J331" s="182"/>
      <c r="K331" s="182" t="s">
        <v>68</v>
      </c>
      <c r="L331" s="173" t="s">
        <v>456</v>
      </c>
      <c r="M331" s="182"/>
      <c r="N331" s="182"/>
      <c r="O331" s="161">
        <v>171.78</v>
      </c>
      <c r="P331" s="161">
        <v>168.26</v>
      </c>
      <c r="Q331" s="161">
        <v>166.76</v>
      </c>
      <c r="R331" s="186">
        <v>165.51</v>
      </c>
      <c r="S331" s="510">
        <v>161.02879999999999</v>
      </c>
      <c r="T331" s="553">
        <v>165.9</v>
      </c>
      <c r="U331" s="164"/>
      <c r="V331" s="165">
        <v>100</v>
      </c>
      <c r="W331" s="187"/>
      <c r="X331" s="207" t="s">
        <v>70</v>
      </c>
      <c r="Y331" s="166" t="s">
        <v>291</v>
      </c>
      <c r="Z331" s="167" t="s">
        <v>986</v>
      </c>
      <c r="AA331" s="165" t="s">
        <v>59</v>
      </c>
      <c r="AB331" s="188" t="s">
        <v>65</v>
      </c>
      <c r="AC331" s="168"/>
      <c r="AD331" s="160"/>
      <c r="AE331" s="160"/>
      <c r="AF331" s="160"/>
      <c r="AG331" s="160"/>
      <c r="AH331" s="160"/>
      <c r="AI331" s="163" t="s">
        <v>59</v>
      </c>
      <c r="AJ331" s="170"/>
      <c r="AK331" s="170"/>
      <c r="AL331" s="170"/>
      <c r="AM331" s="170"/>
      <c r="AN331" s="170"/>
      <c r="AO331" s="170"/>
      <c r="AP331" s="170"/>
      <c r="AQ331" s="170"/>
      <c r="AR331" s="170"/>
      <c r="AS331" s="170"/>
      <c r="AT331" s="170"/>
      <c r="AU331" s="170"/>
      <c r="AV331" s="170"/>
      <c r="AW331" s="170"/>
      <c r="AX331" s="170"/>
      <c r="AY331" s="170"/>
      <c r="AZ331" s="169" t="s">
        <v>59</v>
      </c>
      <c r="BA331" s="160">
        <f>(COUNTIF(AJ331:AL331,"*OK*")*3) + (COUNTIF(AM331:AO331,"*OK*")*2) + COUNTIF(AP331:AR331,"*OK*")+COUNTIF(AZ331:AZ331,"SI")*0.5</f>
        <v>0</v>
      </c>
      <c r="BB331" s="160" t="str">
        <f>IF(BA331&lt;0.6,"Demasiado Riesgo",IF(BA331&lt;=5,"Riesgo Medio",IF(BA331&lt;=11,"Riesgo Bajo","Cliente Blindado")))</f>
        <v>Demasiado Riesgo</v>
      </c>
      <c r="BC331" s="160"/>
      <c r="BD331" s="160"/>
      <c r="BE331" s="160">
        <v>0</v>
      </c>
      <c r="BF331" s="160"/>
      <c r="BG331" s="160"/>
      <c r="BH331" s="160"/>
      <c r="BI331" s="160"/>
      <c r="BJ331" s="160"/>
      <c r="BK331" s="160"/>
      <c r="BL331" s="160"/>
      <c r="BM331" s="160"/>
      <c r="BN331" s="160"/>
      <c r="BO331" s="160"/>
      <c r="BP331" s="160"/>
      <c r="BQ331" s="160"/>
      <c r="BR331" s="160"/>
      <c r="BS331" s="160"/>
      <c r="BT331" s="160"/>
      <c r="BU331" s="160"/>
      <c r="BV331" s="160"/>
      <c r="BW331" s="160"/>
      <c r="BX331" s="160"/>
      <c r="BY331" s="160"/>
      <c r="BZ331" s="160"/>
      <c r="CA331" s="160">
        <f>COUNTIF(AJ331:AX331,"*OK*")</f>
        <v>0</v>
      </c>
      <c r="CB331" s="160"/>
      <c r="CC331" s="160">
        <f>COUNTIF(AJ331:AX331,"*OP*")</f>
        <v>0</v>
      </c>
    </row>
    <row r="332" spans="1:81" ht="15" customHeight="1">
      <c r="A332" s="241"/>
      <c r="B332" s="160"/>
      <c r="C332" s="468">
        <f>T332</f>
        <v>167.98</v>
      </c>
      <c r="D332" s="160">
        <f>COUNTIF(AJ332:AX332,"*OK*")</f>
        <v>0</v>
      </c>
      <c r="E332" s="160"/>
      <c r="F332" s="182" t="s">
        <v>987</v>
      </c>
      <c r="G332" s="182"/>
      <c r="H332" s="168" t="s">
        <v>455</v>
      </c>
      <c r="I332" s="168"/>
      <c r="J332" s="182"/>
      <c r="K332" s="185" t="s">
        <v>68</v>
      </c>
      <c r="L332" s="173" t="s">
        <v>456</v>
      </c>
      <c r="M332" s="182"/>
      <c r="N332" s="182"/>
      <c r="O332" s="161"/>
      <c r="P332" s="161"/>
      <c r="Q332" s="161">
        <v>199.48</v>
      </c>
      <c r="R332" s="186">
        <v>177.17</v>
      </c>
      <c r="S332" s="510">
        <v>174.69970000000001</v>
      </c>
      <c r="T332" s="551">
        <v>167.98</v>
      </c>
      <c r="U332" s="164"/>
      <c r="V332" s="165">
        <v>200</v>
      </c>
      <c r="W332" s="187"/>
      <c r="X332" s="203" t="s">
        <v>988</v>
      </c>
      <c r="Y332" s="166" t="s">
        <v>80</v>
      </c>
      <c r="Z332" s="167" t="s">
        <v>989</v>
      </c>
      <c r="AA332" s="165" t="s">
        <v>59</v>
      </c>
      <c r="AB332" s="188" t="s">
        <v>104</v>
      </c>
      <c r="AC332" s="168"/>
      <c r="AD332" s="160"/>
      <c r="AE332" s="160"/>
      <c r="AF332" s="160"/>
      <c r="AG332" s="160"/>
      <c r="AH332" s="160"/>
      <c r="AI332" s="163" t="s">
        <v>59</v>
      </c>
      <c r="AJ332" s="170"/>
      <c r="AK332" s="170"/>
      <c r="AL332" s="170"/>
      <c r="AM332" s="170"/>
      <c r="AN332" s="170"/>
      <c r="AO332" s="170"/>
      <c r="AP332" s="170"/>
      <c r="AQ332" s="170"/>
      <c r="AR332" s="170"/>
      <c r="AS332" s="170"/>
      <c r="AT332" s="170"/>
      <c r="AU332" s="170"/>
      <c r="AV332" s="170"/>
      <c r="AW332" s="170"/>
      <c r="AX332" s="170"/>
      <c r="AY332" s="170"/>
      <c r="AZ332" s="169" t="s">
        <v>59</v>
      </c>
      <c r="BA332" s="160">
        <f>(COUNTIF(AJ332:AL332,"*OK*")*3) + (COUNTIF(AM332:AO332,"*OK*")*2) + COUNTIF(AP332:AR332,"*OK*")+COUNTIF(AZ332:AZ332,"SI")*0.5</f>
        <v>0</v>
      </c>
      <c r="BB332" s="160" t="str">
        <f>IF(BA332&lt;0.6,"Demasiado Riesgo",IF(BA332&lt;=5,"Riesgo Medio",IF(BA332&lt;=11,"Riesgo Bajo","Cliente Blindado")))</f>
        <v>Demasiado Riesgo</v>
      </c>
      <c r="BC332" s="160"/>
      <c r="BD332" s="160"/>
      <c r="BE332" s="160">
        <v>0</v>
      </c>
      <c r="BF332" s="160"/>
      <c r="BG332" s="160"/>
      <c r="BH332" s="160"/>
      <c r="BI332" s="160"/>
      <c r="BJ332" s="160"/>
      <c r="BK332" s="160"/>
      <c r="BL332" s="160"/>
      <c r="BM332" s="160"/>
      <c r="BN332" s="160"/>
      <c r="BO332" s="160"/>
      <c r="BP332" s="160"/>
      <c r="BQ332" s="160"/>
      <c r="BR332" s="160"/>
      <c r="BS332" s="160"/>
      <c r="BT332" s="160"/>
      <c r="BU332" s="160"/>
      <c r="BV332" s="160"/>
      <c r="BW332" s="160"/>
      <c r="BX332" s="160"/>
      <c r="BY332" s="160"/>
      <c r="BZ332" s="160"/>
      <c r="CA332" s="160">
        <f>COUNTIF(AJ332:AX332,"*OK*")</f>
        <v>0</v>
      </c>
      <c r="CB332" s="160"/>
      <c r="CC332" s="160">
        <f>COUNTIF(AJ332:AX332,"*OP*")</f>
        <v>0</v>
      </c>
    </row>
    <row r="333" spans="1:81" ht="15" customHeight="1">
      <c r="A333" s="241">
        <v>18457</v>
      </c>
      <c r="B333" s="160" t="s">
        <v>990</v>
      </c>
      <c r="C333" s="468">
        <f>T333</f>
        <v>178.04</v>
      </c>
      <c r="D333" s="160">
        <f>COUNTIF(AJ333:AX333,"*OK*")</f>
        <v>0</v>
      </c>
      <c r="E333" s="160"/>
      <c r="F333" s="182" t="s">
        <v>991</v>
      </c>
      <c r="G333" s="182"/>
      <c r="H333" s="168" t="s">
        <v>455</v>
      </c>
      <c r="I333" s="168"/>
      <c r="J333" s="182"/>
      <c r="K333" s="182" t="s">
        <v>68</v>
      </c>
      <c r="L333" s="173" t="s">
        <v>456</v>
      </c>
      <c r="M333" s="182"/>
      <c r="N333" s="182"/>
      <c r="O333" s="161">
        <v>178.36</v>
      </c>
      <c r="P333" s="161">
        <v>175.82</v>
      </c>
      <c r="Q333" s="161">
        <v>169.82</v>
      </c>
      <c r="R333" s="186">
        <v>156.59</v>
      </c>
      <c r="S333" s="510">
        <v>180.0147</v>
      </c>
      <c r="T333" s="550">
        <v>178.04</v>
      </c>
      <c r="U333" s="164"/>
      <c r="V333" s="165">
        <v>150</v>
      </c>
      <c r="W333" s="187"/>
      <c r="X333" s="208" t="s">
        <v>70</v>
      </c>
      <c r="Y333" s="166" t="s">
        <v>80</v>
      </c>
      <c r="Z333" s="167" t="s">
        <v>992</v>
      </c>
      <c r="AA333" s="165" t="s">
        <v>91</v>
      </c>
      <c r="AB333" s="167" t="s">
        <v>61</v>
      </c>
      <c r="AC333" s="168"/>
      <c r="AD333" s="160"/>
      <c r="AE333" s="160"/>
      <c r="AF333" s="160"/>
      <c r="AG333" s="160"/>
      <c r="AH333" s="160"/>
      <c r="AI333" s="163" t="s">
        <v>127</v>
      </c>
      <c r="AJ333" s="170"/>
      <c r="AK333" s="170"/>
      <c r="AL333" s="170"/>
      <c r="AM333" s="170"/>
      <c r="AN333" s="170"/>
      <c r="AO333" s="170"/>
      <c r="AP333" s="170"/>
      <c r="AQ333" s="170"/>
      <c r="AR333" s="170"/>
      <c r="AS333" s="170"/>
      <c r="AT333" s="170"/>
      <c r="AU333" s="170"/>
      <c r="AV333" s="170"/>
      <c r="AW333" s="170"/>
      <c r="AX333" s="170"/>
      <c r="AY333" s="170"/>
      <c r="AZ333" s="169" t="s">
        <v>178</v>
      </c>
      <c r="BA333" s="160">
        <f>(COUNTIF(AJ333:AL333,"*OK*")*3) + (COUNTIF(AM333:AO333,"*OK*")*2) + COUNTIF(AP333:AR333,"*OK*")+COUNTIF(AZ333:AZ333,"SI")*0.5</f>
        <v>0</v>
      </c>
      <c r="BB333" s="160" t="str">
        <f>IF(BA333&lt;0.6,"Demasiado Riesgo",IF(BA333&lt;=5,"Riesgo Medio",IF(BA333&lt;=11,"Riesgo Bajo","Cliente Blindado")))</f>
        <v>Demasiado Riesgo</v>
      </c>
      <c r="BC333" s="160"/>
      <c r="BD333" s="160"/>
      <c r="BE333" s="160">
        <v>0</v>
      </c>
      <c r="BF333" s="160"/>
      <c r="BG333" s="160"/>
      <c r="BH333" s="160"/>
      <c r="BI333" s="160"/>
      <c r="BJ333" s="160"/>
      <c r="BK333" s="160"/>
      <c r="BL333" s="160"/>
      <c r="BM333" s="160"/>
      <c r="BN333" s="160"/>
      <c r="BO333" s="160"/>
      <c r="BP333" s="160"/>
      <c r="BQ333" s="160"/>
      <c r="BR333" s="160"/>
      <c r="BS333" s="160"/>
      <c r="BT333" s="160"/>
      <c r="BU333" s="160"/>
      <c r="BV333" s="160"/>
      <c r="BW333" s="160"/>
      <c r="BX333" s="160"/>
      <c r="BY333" s="160"/>
      <c r="BZ333" s="160"/>
      <c r="CA333" s="160">
        <f>COUNTIF(AJ333:AX333,"*OK*")</f>
        <v>0</v>
      </c>
      <c r="CB333" s="160"/>
      <c r="CC333" s="160">
        <f>COUNTIF(AJ333:AX333,"*OP*")</f>
        <v>0</v>
      </c>
    </row>
    <row r="334" spans="1:81" ht="15" customHeight="1">
      <c r="A334" s="241">
        <v>36944</v>
      </c>
      <c r="B334" s="160"/>
      <c r="C334" s="468">
        <f>T334</f>
        <v>179.41</v>
      </c>
      <c r="D334" s="160">
        <f>COUNTIF(AJ334:AX334,"*OK*")</f>
        <v>0</v>
      </c>
      <c r="E334" s="160"/>
      <c r="F334" s="182" t="s">
        <v>993</v>
      </c>
      <c r="G334" s="182"/>
      <c r="H334" s="168" t="s">
        <v>455</v>
      </c>
      <c r="I334" s="168"/>
      <c r="J334" s="182"/>
      <c r="K334" s="185" t="s">
        <v>68</v>
      </c>
      <c r="L334" s="173" t="s">
        <v>456</v>
      </c>
      <c r="M334" s="182"/>
      <c r="N334" s="182"/>
      <c r="O334" s="161"/>
      <c r="P334" s="161"/>
      <c r="Q334" s="161">
        <v>237.47</v>
      </c>
      <c r="R334" s="186">
        <v>128.83000000000001</v>
      </c>
      <c r="S334" s="510">
        <v>183.71199999999999</v>
      </c>
      <c r="T334" s="550">
        <v>179.41</v>
      </c>
      <c r="U334" s="164"/>
      <c r="V334" s="165">
        <v>100</v>
      </c>
      <c r="W334" s="187"/>
      <c r="X334" s="207" t="s">
        <v>70</v>
      </c>
      <c r="Y334" s="166" t="s">
        <v>89</v>
      </c>
      <c r="Z334" s="167" t="s">
        <v>994</v>
      </c>
      <c r="AA334" s="165" t="s">
        <v>91</v>
      </c>
      <c r="AB334" s="167" t="s">
        <v>61</v>
      </c>
      <c r="AC334" s="168"/>
      <c r="AD334" s="160"/>
      <c r="AE334" s="160"/>
      <c r="AF334" s="160"/>
      <c r="AG334" s="160"/>
      <c r="AH334" s="160"/>
      <c r="AI334" s="163" t="s">
        <v>59</v>
      </c>
      <c r="AJ334" s="170"/>
      <c r="AK334" s="170"/>
      <c r="AL334" s="170"/>
      <c r="AM334" s="170"/>
      <c r="AN334" s="170"/>
      <c r="AO334" s="170"/>
      <c r="AP334" s="170"/>
      <c r="AQ334" s="170"/>
      <c r="AR334" s="170"/>
      <c r="AS334" s="170"/>
      <c r="AT334" s="170"/>
      <c r="AU334" s="170"/>
      <c r="AV334" s="170"/>
      <c r="AW334" s="170"/>
      <c r="AX334" s="170"/>
      <c r="AY334" s="170"/>
      <c r="AZ334" s="169" t="s">
        <v>59</v>
      </c>
      <c r="BA334" s="160">
        <f>(COUNTIF(AJ334:AL334,"*OK*")*3) + (COUNTIF(AM334:AO334,"*OK*")*2) + COUNTIF(AP334:AR334,"*OK*")+COUNTIF(AZ334:AZ334,"SI")*0.5</f>
        <v>0</v>
      </c>
      <c r="BB334" s="160" t="str">
        <f>IF(BA334&lt;0.6,"Demasiado Riesgo",IF(BA334&lt;=5,"Riesgo Medio",IF(BA334&lt;=11,"Riesgo Bajo","Cliente Blindado")))</f>
        <v>Demasiado Riesgo</v>
      </c>
      <c r="BC334" s="160"/>
      <c r="BD334" s="160"/>
      <c r="BE334" s="160">
        <v>0</v>
      </c>
      <c r="BF334" s="160"/>
      <c r="BG334" s="160"/>
      <c r="BH334" s="160"/>
      <c r="BI334" s="160"/>
      <c r="BJ334" s="160"/>
      <c r="BK334" s="160"/>
      <c r="BL334" s="160"/>
      <c r="BM334" s="160"/>
      <c r="BN334" s="160"/>
      <c r="BO334" s="160"/>
      <c r="BP334" s="160"/>
      <c r="BQ334" s="160"/>
      <c r="BR334" s="160"/>
      <c r="BS334" s="160"/>
      <c r="BT334" s="160"/>
      <c r="BU334" s="160"/>
      <c r="BV334" s="160"/>
      <c r="BW334" s="160"/>
      <c r="BX334" s="160"/>
      <c r="BY334" s="160"/>
      <c r="BZ334" s="160"/>
      <c r="CA334" s="160">
        <f>COUNTIF(AJ334:AX334,"*OK*")</f>
        <v>0</v>
      </c>
      <c r="CB334" s="160"/>
      <c r="CC334" s="160">
        <f>COUNTIF(AJ334:AX334,"*OP*")</f>
        <v>0</v>
      </c>
    </row>
    <row r="335" spans="1:81" ht="15" customHeight="1">
      <c r="A335" s="240">
        <v>36857</v>
      </c>
      <c r="B335" s="171"/>
      <c r="C335" s="468">
        <f>T335</f>
        <v>182.84</v>
      </c>
      <c r="D335" s="171">
        <f>COUNTIF(AJ335:AX335,"*OK*")</f>
        <v>0</v>
      </c>
      <c r="E335" s="171"/>
      <c r="F335" s="183" t="s">
        <v>995</v>
      </c>
      <c r="G335" s="183"/>
      <c r="H335" s="168" t="s">
        <v>455</v>
      </c>
      <c r="I335" s="179"/>
      <c r="J335" s="183"/>
      <c r="K335" s="183" t="s">
        <v>68</v>
      </c>
      <c r="L335" s="173" t="s">
        <v>456</v>
      </c>
      <c r="M335" s="183"/>
      <c r="N335" s="183"/>
      <c r="O335" s="172">
        <v>297.14999999999998</v>
      </c>
      <c r="P335" s="172">
        <v>280.54000000000002</v>
      </c>
      <c r="Q335" s="172">
        <v>308.88</v>
      </c>
      <c r="R335" s="193">
        <v>321.5</v>
      </c>
      <c r="S335" s="510">
        <v>190.6446</v>
      </c>
      <c r="T335" s="551">
        <v>182.84</v>
      </c>
      <c r="U335" s="175"/>
      <c r="V335" s="176">
        <v>500</v>
      </c>
      <c r="W335" s="194"/>
      <c r="X335" s="205" t="s">
        <v>70</v>
      </c>
      <c r="Y335" s="177" t="s">
        <v>108</v>
      </c>
      <c r="Z335" s="178" t="s">
        <v>996</v>
      </c>
      <c r="AA335" s="176" t="s">
        <v>59</v>
      </c>
      <c r="AB335" s="195" t="s">
        <v>65</v>
      </c>
      <c r="AC335" s="179"/>
      <c r="AD335" s="171"/>
      <c r="AE335" s="171"/>
      <c r="AF335" s="171"/>
      <c r="AG335" s="171"/>
      <c r="AH335" s="171"/>
      <c r="AI335" s="174" t="s">
        <v>59</v>
      </c>
      <c r="AJ335" s="170"/>
      <c r="AK335" s="170"/>
      <c r="AL335" s="170"/>
      <c r="AM335" s="170"/>
      <c r="AN335" s="170"/>
      <c r="AO335" s="170"/>
      <c r="AP335" s="170"/>
      <c r="AQ335" s="170"/>
      <c r="AR335" s="170"/>
      <c r="AS335" s="170"/>
      <c r="AT335" s="170"/>
      <c r="AU335" s="170"/>
      <c r="AV335" s="170"/>
      <c r="AW335" s="170"/>
      <c r="AX335" s="170"/>
      <c r="AY335" s="170"/>
      <c r="AZ335" s="180" t="s">
        <v>59</v>
      </c>
      <c r="BA335" s="171">
        <f>(COUNTIF(AJ335:AL335,"*OK*")*3) + (COUNTIF(AM335:AO335,"*OK*")*2) + COUNTIF(AP335:AR335,"*OK*")+COUNTIF(AZ335:AZ335,"SI")*0.5</f>
        <v>0</v>
      </c>
      <c r="BB335" s="171" t="str">
        <f>IF(BA335&lt;0.6,"Demasiado Riesgo",IF(BA335&lt;=5,"Riesgo Medio",IF(BA335&lt;=11,"Riesgo Bajo","Cliente Blindado")))</f>
        <v>Demasiado Riesgo</v>
      </c>
      <c r="BC335" s="171"/>
      <c r="BD335" s="171"/>
      <c r="BE335" s="171">
        <v>0</v>
      </c>
      <c r="BF335" s="171"/>
      <c r="BG335" s="171"/>
      <c r="BH335" s="171"/>
      <c r="BI335" s="171"/>
      <c r="BJ335" s="171"/>
      <c r="BK335" s="171"/>
      <c r="BL335" s="171"/>
      <c r="BM335" s="171"/>
      <c r="BN335" s="171"/>
      <c r="BO335" s="171"/>
      <c r="BP335" s="171"/>
      <c r="BQ335" s="171"/>
      <c r="BR335" s="171"/>
      <c r="BS335" s="171"/>
      <c r="BT335" s="171"/>
      <c r="BU335" s="171"/>
      <c r="BV335" s="171"/>
      <c r="BW335" s="171"/>
      <c r="BX335" s="171"/>
      <c r="BY335" s="171"/>
      <c r="BZ335" s="171"/>
      <c r="CA335" s="171">
        <f>COUNTIF(AJ335:AX335,"*OK*")</f>
        <v>0</v>
      </c>
      <c r="CB335" s="171"/>
      <c r="CC335" s="171">
        <f>COUNTIF(AJ335:AX335,"*OP*")</f>
        <v>0</v>
      </c>
    </row>
    <row r="336" spans="1:81" ht="15" customHeight="1">
      <c r="A336" s="241">
        <v>36857</v>
      </c>
      <c r="B336" s="160"/>
      <c r="C336" s="468">
        <f>T336</f>
        <v>182.84</v>
      </c>
      <c r="D336" s="160">
        <f>COUNTIF(AJ336:AX336,"*OK*")</f>
        <v>0</v>
      </c>
      <c r="E336" s="160"/>
      <c r="F336" s="182" t="s">
        <v>995</v>
      </c>
      <c r="G336" s="182"/>
      <c r="H336" s="168" t="s">
        <v>455</v>
      </c>
      <c r="I336" s="168"/>
      <c r="J336" s="182"/>
      <c r="K336" s="185" t="s">
        <v>68</v>
      </c>
      <c r="L336" s="173" t="s">
        <v>456</v>
      </c>
      <c r="M336" s="182"/>
      <c r="N336" s="182"/>
      <c r="O336" s="161"/>
      <c r="P336" s="161"/>
      <c r="Q336" s="161">
        <v>171.2</v>
      </c>
      <c r="R336" s="186">
        <v>185.26</v>
      </c>
      <c r="S336" s="510"/>
      <c r="T336" s="550">
        <v>182.84</v>
      </c>
      <c r="U336" s="164"/>
      <c r="V336" s="165">
        <v>100</v>
      </c>
      <c r="W336" s="187"/>
      <c r="X336" s="208" t="s">
        <v>70</v>
      </c>
      <c r="Y336" s="166" t="s">
        <v>71</v>
      </c>
      <c r="Z336" s="167" t="s">
        <v>997</v>
      </c>
      <c r="AA336" s="165" t="s">
        <v>59</v>
      </c>
      <c r="AB336" s="188" t="s">
        <v>65</v>
      </c>
      <c r="AC336" s="168"/>
      <c r="AD336" s="160"/>
      <c r="AE336" s="160"/>
      <c r="AF336" s="160"/>
      <c r="AG336" s="160"/>
      <c r="AH336" s="160"/>
      <c r="AI336" s="163" t="s">
        <v>59</v>
      </c>
      <c r="AJ336" s="170"/>
      <c r="AK336" s="170"/>
      <c r="AL336" s="170"/>
      <c r="AM336" s="170"/>
      <c r="AN336" s="170"/>
      <c r="AO336" s="170"/>
      <c r="AP336" s="170"/>
      <c r="AQ336" s="170"/>
      <c r="AR336" s="170"/>
      <c r="AS336" s="170"/>
      <c r="AT336" s="170"/>
      <c r="AU336" s="170"/>
      <c r="AV336" s="170"/>
      <c r="AW336" s="170"/>
      <c r="AX336" s="170"/>
      <c r="AY336" s="170"/>
      <c r="AZ336" s="169" t="s">
        <v>59</v>
      </c>
      <c r="BA336" s="160">
        <f>(COUNTIF(AJ336:AL336,"*OK*")*3) + (COUNTIF(AM336:AO336,"*OK*")*2) + COUNTIF(AP336:AR336,"*OK*")+COUNTIF(AZ336:AZ336,"SI")*0.5</f>
        <v>0</v>
      </c>
      <c r="BB336" s="160" t="str">
        <f>IF(BA336&lt;0.6,"Demasiado Riesgo",IF(BA336&lt;=5,"Riesgo Medio",IF(BA336&lt;=11,"Riesgo Bajo","Cliente Blindado")))</f>
        <v>Demasiado Riesgo</v>
      </c>
      <c r="BC336" s="160"/>
      <c r="BD336" s="160"/>
      <c r="BE336" s="160">
        <v>0</v>
      </c>
      <c r="BF336" s="160"/>
      <c r="BG336" s="160"/>
      <c r="BH336" s="160"/>
      <c r="BI336" s="160"/>
      <c r="BJ336" s="160"/>
      <c r="BK336" s="160"/>
      <c r="BL336" s="160"/>
      <c r="BM336" s="160"/>
      <c r="BN336" s="160"/>
      <c r="BO336" s="160"/>
      <c r="BP336" s="160"/>
      <c r="BQ336" s="160"/>
      <c r="BR336" s="160"/>
      <c r="BS336" s="160"/>
      <c r="BT336" s="160"/>
      <c r="BU336" s="160"/>
      <c r="BV336" s="160"/>
      <c r="BW336" s="160"/>
      <c r="BX336" s="160"/>
      <c r="BY336" s="160"/>
      <c r="BZ336" s="160"/>
      <c r="CA336" s="160">
        <f>COUNTIF(AJ336:AX336,"*OK*")</f>
        <v>0</v>
      </c>
      <c r="CB336" s="160"/>
      <c r="CC336" s="160">
        <f>COUNTIF(AJ336:AX336,"*OP*")</f>
        <v>0</v>
      </c>
    </row>
    <row r="337" spans="1:81" ht="15" customHeight="1">
      <c r="A337" s="240"/>
      <c r="B337" s="171"/>
      <c r="C337" s="468">
        <f>T337</f>
        <v>184.61</v>
      </c>
      <c r="D337" s="171">
        <f>COUNTIF(AJ337:AX337,"*OK*")</f>
        <v>0</v>
      </c>
      <c r="E337" s="171"/>
      <c r="F337" s="183" t="s">
        <v>998</v>
      </c>
      <c r="G337" s="183"/>
      <c r="H337" s="168" t="s">
        <v>455</v>
      </c>
      <c r="I337" s="179"/>
      <c r="J337" s="183"/>
      <c r="K337" s="183" t="s">
        <v>68</v>
      </c>
      <c r="L337" s="173" t="s">
        <v>456</v>
      </c>
      <c r="M337" s="183"/>
      <c r="N337" s="183"/>
      <c r="O337" s="172">
        <v>150.75</v>
      </c>
      <c r="P337" s="172">
        <v>170.96</v>
      </c>
      <c r="Q337" s="172">
        <v>151.28</v>
      </c>
      <c r="R337" s="193">
        <v>160.16</v>
      </c>
      <c r="S337" s="510">
        <v>174.4871</v>
      </c>
      <c r="T337" s="554">
        <v>184.61</v>
      </c>
      <c r="U337" s="175"/>
      <c r="V337" s="176">
        <v>50</v>
      </c>
      <c r="W337" s="194"/>
      <c r="X337" s="209" t="s">
        <v>70</v>
      </c>
      <c r="Y337" s="177" t="s">
        <v>71</v>
      </c>
      <c r="Z337" s="178" t="s">
        <v>999</v>
      </c>
      <c r="AA337" s="176" t="s">
        <v>59</v>
      </c>
      <c r="AB337" s="178" t="s">
        <v>65</v>
      </c>
      <c r="AC337" s="179"/>
      <c r="AD337" s="171"/>
      <c r="AE337" s="171"/>
      <c r="AF337" s="171"/>
      <c r="AG337" s="171"/>
      <c r="AH337" s="171"/>
      <c r="AI337" s="174" t="s">
        <v>59</v>
      </c>
      <c r="AJ337" s="170"/>
      <c r="AK337" s="170"/>
      <c r="AL337" s="170"/>
      <c r="AM337" s="170"/>
      <c r="AN337" s="170"/>
      <c r="AO337" s="170"/>
      <c r="AP337" s="170"/>
      <c r="AQ337" s="170"/>
      <c r="AR337" s="170"/>
      <c r="AS337" s="170"/>
      <c r="AT337" s="170"/>
      <c r="AU337" s="170"/>
      <c r="AV337" s="170"/>
      <c r="AW337" s="170"/>
      <c r="AX337" s="170"/>
      <c r="AY337" s="170"/>
      <c r="AZ337" s="180" t="s">
        <v>59</v>
      </c>
      <c r="BA337" s="171">
        <f>(COUNTIF(AJ337:AL337,"*OK*")*3) + (COUNTIF(AM337:AO337,"*OK*")*2) + COUNTIF(AP337:AR337,"*OK*")+COUNTIF(AZ337:AZ337,"SI")*0.5</f>
        <v>0</v>
      </c>
      <c r="BB337" s="171" t="str">
        <f>IF(BA337&lt;0.6,"Demasiado Riesgo",IF(BA337&lt;=5,"Riesgo Medio",IF(BA337&lt;=11,"Riesgo Bajo","Cliente Blindado")))</f>
        <v>Demasiado Riesgo</v>
      </c>
      <c r="BC337" s="171"/>
      <c r="BD337" s="171"/>
      <c r="BE337" s="171">
        <v>0</v>
      </c>
      <c r="BF337" s="171"/>
      <c r="BG337" s="171"/>
      <c r="BH337" s="171"/>
      <c r="BI337" s="171"/>
      <c r="BJ337" s="171"/>
      <c r="BK337" s="171"/>
      <c r="BL337" s="171"/>
      <c r="BM337" s="171"/>
      <c r="BN337" s="171"/>
      <c r="BO337" s="171"/>
      <c r="BP337" s="171"/>
      <c r="BQ337" s="171"/>
      <c r="BR337" s="171"/>
      <c r="BS337" s="171"/>
      <c r="BT337" s="171"/>
      <c r="BU337" s="171"/>
      <c r="BV337" s="171"/>
      <c r="BW337" s="171"/>
      <c r="BX337" s="171"/>
      <c r="BY337" s="171"/>
      <c r="BZ337" s="171"/>
      <c r="CA337" s="171">
        <f>COUNTIF(AJ337:AX337,"*OK*")</f>
        <v>0</v>
      </c>
      <c r="CB337" s="171"/>
      <c r="CC337" s="171">
        <f>COUNTIF(AJ337:AX337,"*OP*")</f>
        <v>0</v>
      </c>
    </row>
    <row r="338" spans="1:81" ht="15" customHeight="1">
      <c r="A338" s="240">
        <v>36723</v>
      </c>
      <c r="B338" s="171"/>
      <c r="C338" s="468">
        <f>T338</f>
        <v>186.55</v>
      </c>
      <c r="D338" s="171">
        <f>COUNTIF(AJ338:AX338,"*OK*")</f>
        <v>0</v>
      </c>
      <c r="E338" s="171"/>
      <c r="F338" s="183" t="s">
        <v>1000</v>
      </c>
      <c r="G338" s="183"/>
      <c r="H338" s="168" t="s">
        <v>455</v>
      </c>
      <c r="I338" s="179"/>
      <c r="J338" s="183"/>
      <c r="K338" s="192" t="s">
        <v>68</v>
      </c>
      <c r="L338" s="173" t="s">
        <v>456</v>
      </c>
      <c r="M338" s="183"/>
      <c r="N338" s="183"/>
      <c r="O338" s="172"/>
      <c r="P338" s="172"/>
      <c r="Q338" s="172">
        <v>70.41</v>
      </c>
      <c r="R338" s="193">
        <v>76.39</v>
      </c>
      <c r="S338" s="510">
        <v>114.9644</v>
      </c>
      <c r="T338" s="553">
        <v>186.55</v>
      </c>
      <c r="U338" s="175"/>
      <c r="V338" s="176">
        <v>200</v>
      </c>
      <c r="W338" s="194"/>
      <c r="X338" s="209" t="s">
        <v>70</v>
      </c>
      <c r="Y338" s="177" t="s">
        <v>363</v>
      </c>
      <c r="Z338" s="178" t="s">
        <v>1001</v>
      </c>
      <c r="AA338" s="176" t="s">
        <v>71</v>
      </c>
      <c r="AB338" s="178" t="s">
        <v>159</v>
      </c>
      <c r="AC338" s="179"/>
      <c r="AD338" s="171"/>
      <c r="AE338" s="171"/>
      <c r="AF338" s="171"/>
      <c r="AG338" s="171"/>
      <c r="AH338" s="171"/>
      <c r="AI338" s="174" t="s">
        <v>59</v>
      </c>
      <c r="AJ338" s="170"/>
      <c r="AK338" s="170"/>
      <c r="AL338" s="170"/>
      <c r="AM338" s="170"/>
      <c r="AN338" s="170"/>
      <c r="AO338" s="170"/>
      <c r="AP338" s="170"/>
      <c r="AQ338" s="170"/>
      <c r="AR338" s="170"/>
      <c r="AS338" s="170"/>
      <c r="AT338" s="170"/>
      <c r="AU338" s="170"/>
      <c r="AV338" s="170"/>
      <c r="AW338" s="170"/>
      <c r="AX338" s="170"/>
      <c r="AY338" s="170"/>
      <c r="AZ338" s="180" t="s">
        <v>59</v>
      </c>
      <c r="BA338" s="171">
        <f>(COUNTIF(AJ338:AL338,"*OK*")*3) + (COUNTIF(AM338:AO338,"*OK*")*2) + COUNTIF(AP338:AR338,"*OK*")+COUNTIF(AZ338:AZ338,"SI")*0.5</f>
        <v>0</v>
      </c>
      <c r="BB338" s="171" t="str">
        <f>IF(BA338&lt;0.6,"Demasiado Riesgo",IF(BA338&lt;=5,"Riesgo Medio",IF(BA338&lt;=11,"Riesgo Bajo","Cliente Blindado")))</f>
        <v>Demasiado Riesgo</v>
      </c>
      <c r="BC338" s="171"/>
      <c r="BD338" s="171"/>
      <c r="BE338" s="171">
        <v>0</v>
      </c>
      <c r="BF338" s="171"/>
      <c r="BG338" s="171"/>
      <c r="BH338" s="171"/>
      <c r="BI338" s="171"/>
      <c r="BJ338" s="171"/>
      <c r="BK338" s="171"/>
      <c r="BL338" s="171"/>
      <c r="BM338" s="171"/>
      <c r="BN338" s="171"/>
      <c r="BO338" s="171"/>
      <c r="BP338" s="171"/>
      <c r="BQ338" s="171"/>
      <c r="BR338" s="171"/>
      <c r="BS338" s="171"/>
      <c r="BT338" s="171"/>
      <c r="BU338" s="171"/>
      <c r="BV338" s="171"/>
      <c r="BW338" s="171"/>
      <c r="BX338" s="171"/>
      <c r="BY338" s="171"/>
      <c r="BZ338" s="171"/>
      <c r="CA338" s="171">
        <f>COUNTIF(AJ338:AX338,"*OK*")</f>
        <v>0</v>
      </c>
      <c r="CB338" s="171"/>
      <c r="CC338" s="171">
        <f>COUNTIF(AJ338:AX338,"*OP*")</f>
        <v>0</v>
      </c>
    </row>
    <row r="339" spans="1:81" ht="15" customHeight="1">
      <c r="A339" s="241"/>
      <c r="B339" s="160"/>
      <c r="C339" s="468">
        <f>T339</f>
        <v>187.7</v>
      </c>
      <c r="D339" s="160">
        <f>COUNTIF(AN339:AY339,"OK")</f>
        <v>0</v>
      </c>
      <c r="E339" s="160"/>
      <c r="F339" s="160" t="s">
        <v>1002</v>
      </c>
      <c r="G339" s="160"/>
      <c r="H339" s="168" t="s">
        <v>455</v>
      </c>
      <c r="I339" s="168"/>
      <c r="J339" s="160"/>
      <c r="K339" s="220" t="s">
        <v>68</v>
      </c>
      <c r="L339" s="173" t="s">
        <v>456</v>
      </c>
      <c r="M339" s="160"/>
      <c r="N339" s="160"/>
      <c r="O339" s="161"/>
      <c r="P339" s="161"/>
      <c r="Q339" s="161"/>
      <c r="R339" s="186"/>
      <c r="S339" s="510">
        <v>449.74779999999998</v>
      </c>
      <c r="T339" s="552">
        <v>187.7</v>
      </c>
      <c r="U339" s="164"/>
      <c r="V339" s="165" t="s">
        <v>59</v>
      </c>
      <c r="W339" s="160"/>
      <c r="X339" s="203"/>
      <c r="Y339" s="166"/>
      <c r="Z339" s="167"/>
      <c r="AA339" s="163" t="s">
        <v>59</v>
      </c>
      <c r="AB339" s="167"/>
      <c r="AC339" s="168"/>
      <c r="AD339" s="160"/>
      <c r="AE339" s="160"/>
      <c r="AF339" s="160"/>
      <c r="AG339" s="160"/>
      <c r="AH339" s="160"/>
      <c r="AI339" s="542"/>
      <c r="AJ339" s="543"/>
      <c r="AK339" s="543"/>
      <c r="AL339" s="543"/>
      <c r="AM339" s="543"/>
      <c r="AN339" s="543"/>
      <c r="AO339" s="543"/>
      <c r="AP339" s="543"/>
      <c r="AQ339" s="543"/>
      <c r="AR339" s="543"/>
      <c r="AS339" s="543"/>
      <c r="AT339" s="543"/>
      <c r="AU339" s="543"/>
      <c r="AV339" s="543"/>
      <c r="AW339" s="543"/>
      <c r="AX339" s="543"/>
      <c r="AY339" s="543"/>
      <c r="AZ339" s="547"/>
      <c r="BA339" s="160">
        <f>(COUNTIF(AJ339:AL339,"*OK*")*3) + (COUNTIF(AM339:AO339,"*OK*")*2) + COUNTIF(AP339:AR339,"*OK*")+COUNTIF(AZ339:AZ339,"SI")*0.5</f>
        <v>0</v>
      </c>
      <c r="BB339" s="160" t="str">
        <f>IF(BA339&lt;0.6,"Demasiado Riesgo",IF(BA339&lt;=5,"Riesgo Medio",IF(BA339&lt;=11,"Riesgo Bajo","Cliente Blindado")))</f>
        <v>Demasiado Riesgo</v>
      </c>
      <c r="BC339" s="160"/>
      <c r="BD339" s="160"/>
      <c r="BE339" s="160"/>
      <c r="BF339" s="160"/>
      <c r="BG339" s="160"/>
      <c r="BH339" s="160"/>
      <c r="BI339" s="160"/>
      <c r="BJ339" s="160"/>
      <c r="BK339" s="160"/>
      <c r="BL339" s="160"/>
      <c r="BM339" s="160"/>
      <c r="BN339" s="160"/>
      <c r="BO339" s="160"/>
      <c r="BP339" s="160"/>
      <c r="BQ339" s="160"/>
      <c r="BR339" s="160"/>
      <c r="BS339" s="160"/>
      <c r="BT339" s="160"/>
      <c r="BU339" s="160"/>
      <c r="BV339" s="160"/>
      <c r="BW339" s="160"/>
      <c r="BX339" s="160"/>
      <c r="BY339" s="160"/>
      <c r="BZ339" s="160"/>
      <c r="CA339" s="160">
        <f>COUNTIF(AJ339:AX339,"*OK*")</f>
        <v>0</v>
      </c>
      <c r="CB339" s="160"/>
      <c r="CC339" s="160">
        <f>COUNTIF(AJ339:AX339,"*OP*")</f>
        <v>0</v>
      </c>
    </row>
    <row r="340" spans="1:81" ht="15" customHeight="1">
      <c r="A340" s="240">
        <v>35509</v>
      </c>
      <c r="B340" s="171"/>
      <c r="C340" s="468">
        <f>T340</f>
        <v>189.41</v>
      </c>
      <c r="D340" s="171">
        <f>COUNTIF(AJ340:AX340,"*OK*")</f>
        <v>0</v>
      </c>
      <c r="E340" s="171"/>
      <c r="F340" s="183" t="s">
        <v>1003</v>
      </c>
      <c r="G340" s="183"/>
      <c r="H340" s="168" t="s">
        <v>455</v>
      </c>
      <c r="I340" s="179"/>
      <c r="J340" s="183"/>
      <c r="K340" s="192" t="s">
        <v>68</v>
      </c>
      <c r="L340" s="173" t="s">
        <v>456</v>
      </c>
      <c r="M340" s="183"/>
      <c r="N340" s="183"/>
      <c r="O340" s="172">
        <v>226.22</v>
      </c>
      <c r="P340" s="172">
        <v>195.87</v>
      </c>
      <c r="Q340" s="172">
        <v>193.84</v>
      </c>
      <c r="R340" s="193">
        <v>214.91</v>
      </c>
      <c r="S340" s="510">
        <v>206.5316</v>
      </c>
      <c r="T340" s="551">
        <v>189.41</v>
      </c>
      <c r="U340" s="175"/>
      <c r="V340" s="176">
        <v>100</v>
      </c>
      <c r="W340" s="194"/>
      <c r="X340" s="209" t="s">
        <v>70</v>
      </c>
      <c r="Y340" s="177" t="s">
        <v>71</v>
      </c>
      <c r="Z340" s="178" t="s">
        <v>1004</v>
      </c>
      <c r="AA340" s="176" t="s">
        <v>59</v>
      </c>
      <c r="AB340" s="195" t="s">
        <v>65</v>
      </c>
      <c r="AC340" s="179"/>
      <c r="AD340" s="171"/>
      <c r="AE340" s="171"/>
      <c r="AF340" s="171"/>
      <c r="AG340" s="171"/>
      <c r="AH340" s="171"/>
      <c r="AI340" s="174" t="s">
        <v>59</v>
      </c>
      <c r="AJ340" s="170"/>
      <c r="AK340" s="170"/>
      <c r="AL340" s="170"/>
      <c r="AM340" s="170"/>
      <c r="AN340" s="170"/>
      <c r="AO340" s="170"/>
      <c r="AP340" s="170"/>
      <c r="AQ340" s="170"/>
      <c r="AR340" s="170"/>
      <c r="AS340" s="170"/>
      <c r="AT340" s="170"/>
      <c r="AU340" s="170"/>
      <c r="AV340" s="170"/>
      <c r="AW340" s="170"/>
      <c r="AX340" s="170"/>
      <c r="AY340" s="170"/>
      <c r="AZ340" s="180" t="s">
        <v>59</v>
      </c>
      <c r="BA340" s="171">
        <f>(COUNTIF(AJ340:AL340,"*OK*")*3) + (COUNTIF(AM340:AO340,"*OK*")*2) + COUNTIF(AP340:AR340,"*OK*")+COUNTIF(AZ340:AZ340,"SI")*0.5</f>
        <v>0</v>
      </c>
      <c r="BB340" s="171" t="str">
        <f>IF(BA340&lt;0.6,"Demasiado Riesgo",IF(BA340&lt;=5,"Riesgo Medio",IF(BA340&lt;=11,"Riesgo Bajo","Cliente Blindado")))</f>
        <v>Demasiado Riesgo</v>
      </c>
      <c r="BC340" s="171"/>
      <c r="BD340" s="171"/>
      <c r="BE340" s="171">
        <v>0</v>
      </c>
      <c r="BF340" s="171"/>
      <c r="BG340" s="171"/>
      <c r="BH340" s="171"/>
      <c r="BI340" s="171"/>
      <c r="BJ340" s="171"/>
      <c r="BK340" s="171"/>
      <c r="BL340" s="171"/>
      <c r="BM340" s="171"/>
      <c r="BN340" s="171"/>
      <c r="BO340" s="171"/>
      <c r="BP340" s="171"/>
      <c r="BQ340" s="171"/>
      <c r="BR340" s="171"/>
      <c r="BS340" s="171"/>
      <c r="BT340" s="171"/>
      <c r="BU340" s="171"/>
      <c r="BV340" s="171"/>
      <c r="BW340" s="171"/>
      <c r="BX340" s="171"/>
      <c r="BY340" s="171"/>
      <c r="BZ340" s="171"/>
      <c r="CA340" s="171">
        <f>COUNTIF(AJ340:AX340,"*OK*")</f>
        <v>0</v>
      </c>
      <c r="CB340" s="171"/>
      <c r="CC340" s="171">
        <f>COUNTIF(AJ340:AX340,"*OP*")</f>
        <v>0</v>
      </c>
    </row>
    <row r="341" spans="1:81" ht="15" customHeight="1">
      <c r="A341" s="240">
        <v>37191</v>
      </c>
      <c r="B341" s="171"/>
      <c r="C341" s="468">
        <f>T341</f>
        <v>190.4</v>
      </c>
      <c r="D341" s="171">
        <f>COUNTIF(AJ341:AX341,"*OK*")</f>
        <v>0</v>
      </c>
      <c r="E341" s="171"/>
      <c r="F341" s="183" t="s">
        <v>1005</v>
      </c>
      <c r="G341" s="183"/>
      <c r="H341" s="168" t="s">
        <v>455</v>
      </c>
      <c r="I341" s="179"/>
      <c r="J341" s="183"/>
      <c r="K341" s="192" t="s">
        <v>68</v>
      </c>
      <c r="L341" s="173" t="s">
        <v>456</v>
      </c>
      <c r="M341" s="183"/>
      <c r="N341" s="183"/>
      <c r="O341" s="172"/>
      <c r="P341" s="172"/>
      <c r="Q341" s="172">
        <v>176.82</v>
      </c>
      <c r="R341" s="193">
        <v>186.23</v>
      </c>
      <c r="S341" s="510">
        <v>188.7381</v>
      </c>
      <c r="T341" s="554">
        <v>190.4</v>
      </c>
      <c r="U341" s="175"/>
      <c r="V341" s="176">
        <v>300</v>
      </c>
      <c r="W341" s="194"/>
      <c r="X341" s="205" t="s">
        <v>253</v>
      </c>
      <c r="Y341" s="177" t="s">
        <v>108</v>
      </c>
      <c r="Z341" s="178" t="s">
        <v>1006</v>
      </c>
      <c r="AA341" s="176" t="s">
        <v>59</v>
      </c>
      <c r="AB341" s="195" t="s">
        <v>138</v>
      </c>
      <c r="AC341" s="179"/>
      <c r="AD341" s="171"/>
      <c r="AE341" s="171"/>
      <c r="AF341" s="171"/>
      <c r="AG341" s="171"/>
      <c r="AH341" s="171"/>
      <c r="AI341" s="174" t="s">
        <v>59</v>
      </c>
      <c r="AJ341" s="170"/>
      <c r="AK341" s="170"/>
      <c r="AL341" s="170"/>
      <c r="AM341" s="170"/>
      <c r="AN341" s="170"/>
      <c r="AO341" s="170"/>
      <c r="AP341" s="170"/>
      <c r="AQ341" s="170"/>
      <c r="AR341" s="170"/>
      <c r="AS341" s="170"/>
      <c r="AT341" s="170"/>
      <c r="AU341" s="170"/>
      <c r="AV341" s="170"/>
      <c r="AW341" s="170"/>
      <c r="AX341" s="170"/>
      <c r="AY341" s="170"/>
      <c r="AZ341" s="180" t="s">
        <v>59</v>
      </c>
      <c r="BA341" s="171">
        <f>(COUNTIF(AJ341:AL341,"*OK*")*3) + (COUNTIF(AM341:AO341,"*OK*")*2) + COUNTIF(AP341:AR341,"*OK*")+COUNTIF(AZ341:AZ341,"SI")*0.5</f>
        <v>0</v>
      </c>
      <c r="BB341" s="171" t="str">
        <f>IF(BA341&lt;0.6,"Demasiado Riesgo",IF(BA341&lt;=5,"Riesgo Medio",IF(BA341&lt;=11,"Riesgo Bajo","Cliente Blindado")))</f>
        <v>Demasiado Riesgo</v>
      </c>
      <c r="BC341" s="171"/>
      <c r="BD341" s="171"/>
      <c r="BE341" s="171">
        <v>0</v>
      </c>
      <c r="BF341" s="171"/>
      <c r="BG341" s="171"/>
      <c r="BH341" s="171"/>
      <c r="BI341" s="171"/>
      <c r="BJ341" s="171"/>
      <c r="BK341" s="171"/>
      <c r="BL341" s="171"/>
      <c r="BM341" s="171"/>
      <c r="BN341" s="171"/>
      <c r="BO341" s="171"/>
      <c r="BP341" s="171"/>
      <c r="BQ341" s="171"/>
      <c r="BR341" s="171"/>
      <c r="BS341" s="171"/>
      <c r="BT341" s="171"/>
      <c r="BU341" s="171"/>
      <c r="BV341" s="171"/>
      <c r="BW341" s="171"/>
      <c r="BX341" s="171"/>
      <c r="BY341" s="171"/>
      <c r="BZ341" s="171"/>
      <c r="CA341" s="171">
        <f>COUNTIF(AJ341:AX341,"*OK*")</f>
        <v>0</v>
      </c>
      <c r="CB341" s="171"/>
      <c r="CC341" s="171">
        <f>COUNTIF(AJ341:AX341,"*OP*")</f>
        <v>0</v>
      </c>
    </row>
    <row r="342" spans="1:81" ht="15" customHeight="1">
      <c r="A342" s="241"/>
      <c r="B342" s="160"/>
      <c r="C342" s="468">
        <f>T342</f>
        <v>193.24</v>
      </c>
      <c r="D342" s="160">
        <f>COUNTIF(AJ342:AX342,"*OK*")</f>
        <v>0</v>
      </c>
      <c r="E342" s="160"/>
      <c r="F342" s="182" t="s">
        <v>1007</v>
      </c>
      <c r="G342" s="182"/>
      <c r="H342" s="168" t="s">
        <v>455</v>
      </c>
      <c r="I342" s="168"/>
      <c r="J342" s="182" t="s">
        <v>1007</v>
      </c>
      <c r="K342" s="196" t="s">
        <v>68</v>
      </c>
      <c r="L342" s="173" t="s">
        <v>456</v>
      </c>
      <c r="M342" s="182"/>
      <c r="N342" s="182"/>
      <c r="O342" s="161">
        <v>140.02000000000001</v>
      </c>
      <c r="P342" s="161">
        <v>183.7</v>
      </c>
      <c r="Q342" s="161">
        <v>185.12</v>
      </c>
      <c r="R342" s="186">
        <v>186.29</v>
      </c>
      <c r="S342" s="510">
        <v>186.83160000000001</v>
      </c>
      <c r="T342" s="553">
        <v>193.24</v>
      </c>
      <c r="U342" s="164"/>
      <c r="V342" s="165">
        <v>150</v>
      </c>
      <c r="W342" s="187"/>
      <c r="X342" s="208" t="s">
        <v>70</v>
      </c>
      <c r="Y342" s="166" t="s">
        <v>141</v>
      </c>
      <c r="Z342" s="167" t="s">
        <v>1008</v>
      </c>
      <c r="AA342" s="165" t="s">
        <v>59</v>
      </c>
      <c r="AB342" s="188" t="s">
        <v>65</v>
      </c>
      <c r="AC342" s="168" t="s">
        <v>84</v>
      </c>
      <c r="AD342" s="160"/>
      <c r="AE342" s="160"/>
      <c r="AF342" s="160"/>
      <c r="AG342" s="160"/>
      <c r="AH342" s="160"/>
      <c r="AI342" s="163" t="s">
        <v>59</v>
      </c>
      <c r="AJ342" s="170"/>
      <c r="AK342" s="170"/>
      <c r="AL342" s="170"/>
      <c r="AM342" s="170"/>
      <c r="AN342" s="170"/>
      <c r="AO342" s="170"/>
      <c r="AP342" s="170"/>
      <c r="AQ342" s="170"/>
      <c r="AR342" s="170"/>
      <c r="AS342" s="170"/>
      <c r="AT342" s="170"/>
      <c r="AU342" s="170"/>
      <c r="AV342" s="170"/>
      <c r="AW342" s="170"/>
      <c r="AX342" s="170"/>
      <c r="AY342" s="170"/>
      <c r="AZ342" s="169" t="s">
        <v>59</v>
      </c>
      <c r="BA342" s="160">
        <f>(COUNTIF(AJ342:AL342,"*OK*")*3) + (COUNTIF(AM342:AO342,"*OK*")*2) + COUNTIF(AP342:AR342,"*OK*")+COUNTIF(AZ342:AZ342,"SI")*0.5</f>
        <v>0</v>
      </c>
      <c r="BB342" s="160" t="str">
        <f>IF(BA342&lt;0.6,"Demasiado Riesgo",IF(BA342&lt;=5,"Riesgo Medio",IF(BA342&lt;=11,"Riesgo Bajo","Cliente Blindado")))</f>
        <v>Demasiado Riesgo</v>
      </c>
      <c r="BC342" s="160"/>
      <c r="BD342" s="160"/>
      <c r="BE342" s="160">
        <v>0</v>
      </c>
      <c r="BF342" s="160"/>
      <c r="BG342" s="160"/>
      <c r="BH342" s="160"/>
      <c r="BI342" s="160"/>
      <c r="BJ342" s="160"/>
      <c r="BK342" s="160"/>
      <c r="BL342" s="160"/>
      <c r="BM342" s="160"/>
      <c r="BN342" s="160"/>
      <c r="BO342" s="160"/>
      <c r="BP342" s="160"/>
      <c r="BQ342" s="160"/>
      <c r="BR342" s="160"/>
      <c r="BS342" s="160"/>
      <c r="BT342" s="160"/>
      <c r="BU342" s="160"/>
      <c r="BV342" s="160"/>
      <c r="BW342" s="160"/>
      <c r="BX342" s="160"/>
      <c r="BY342" s="160"/>
      <c r="BZ342" s="160"/>
      <c r="CA342" s="160">
        <f>COUNTIF(AJ342:AX342,"*OK*")</f>
        <v>0</v>
      </c>
      <c r="CB342" s="160"/>
      <c r="CC342" s="160">
        <f>COUNTIF(AJ342:AX342,"*OP*")</f>
        <v>0</v>
      </c>
    </row>
    <row r="343" spans="1:81" ht="15" customHeight="1">
      <c r="A343" s="241">
        <v>27131</v>
      </c>
      <c r="B343" s="160"/>
      <c r="C343" s="468">
        <f>T343</f>
        <v>195.5</v>
      </c>
      <c r="D343" s="160">
        <f>COUNTIF(AJ343:AX343,"*OK*")</f>
        <v>0</v>
      </c>
      <c r="E343" s="160"/>
      <c r="F343" s="182" t="s">
        <v>1009</v>
      </c>
      <c r="G343" s="182"/>
      <c r="H343" s="168" t="s">
        <v>455</v>
      </c>
      <c r="I343" s="168"/>
      <c r="J343" s="182"/>
      <c r="K343" s="182" t="s">
        <v>68</v>
      </c>
      <c r="L343" s="173" t="s">
        <v>456</v>
      </c>
      <c r="M343" s="182"/>
      <c r="N343" s="182"/>
      <c r="O343" s="161">
        <v>216.51</v>
      </c>
      <c r="P343" s="161">
        <v>194.68</v>
      </c>
      <c r="Q343" s="161">
        <v>171.78</v>
      </c>
      <c r="R343" s="186">
        <v>173.76</v>
      </c>
      <c r="S343" s="510">
        <v>183.29089999999999</v>
      </c>
      <c r="T343" s="553">
        <v>195.5</v>
      </c>
      <c r="U343" s="164"/>
      <c r="V343" s="165">
        <v>200</v>
      </c>
      <c r="W343" s="187"/>
      <c r="X343" s="208" t="s">
        <v>70</v>
      </c>
      <c r="Y343" s="166" t="s">
        <v>89</v>
      </c>
      <c r="Z343" s="167" t="s">
        <v>1010</v>
      </c>
      <c r="AA343" s="165" t="s">
        <v>365</v>
      </c>
      <c r="AB343" s="188" t="s">
        <v>493</v>
      </c>
      <c r="AC343" s="168"/>
      <c r="AD343" s="160"/>
      <c r="AE343" s="160"/>
      <c r="AF343" s="160"/>
      <c r="AG343" s="160"/>
      <c r="AH343" s="160"/>
      <c r="AI343" s="163" t="s">
        <v>59</v>
      </c>
      <c r="AJ343" s="170"/>
      <c r="AK343" s="170"/>
      <c r="AL343" s="170"/>
      <c r="AM343" s="170"/>
      <c r="AN343" s="170"/>
      <c r="AO343" s="170"/>
      <c r="AP343" s="170"/>
      <c r="AQ343" s="170"/>
      <c r="AR343" s="170"/>
      <c r="AS343" s="170"/>
      <c r="AT343" s="170"/>
      <c r="AU343" s="170"/>
      <c r="AV343" s="170"/>
      <c r="AW343" s="170"/>
      <c r="AX343" s="170"/>
      <c r="AY343" s="170"/>
      <c r="AZ343" s="169" t="s">
        <v>59</v>
      </c>
      <c r="BA343" s="160">
        <f>(COUNTIF(AJ343:AL343,"*OK*")*3) + (COUNTIF(AM343:AO343,"*OK*")*2) + COUNTIF(AP343:AR343,"*OK*")+COUNTIF(AZ343:AZ343,"SI")*0.5</f>
        <v>0</v>
      </c>
      <c r="BB343" s="160" t="str">
        <f>IF(BA343&lt;0.6,"Demasiado Riesgo",IF(BA343&lt;=5,"Riesgo Medio",IF(BA343&lt;=11,"Riesgo Bajo","Cliente Blindado")))</f>
        <v>Demasiado Riesgo</v>
      </c>
      <c r="BC343" s="160"/>
      <c r="BD343" s="160"/>
      <c r="BE343" s="160">
        <v>0</v>
      </c>
      <c r="BF343" s="160"/>
      <c r="BG343" s="160"/>
      <c r="BH343" s="160"/>
      <c r="BI343" s="160"/>
      <c r="BJ343" s="160"/>
      <c r="BK343" s="160"/>
      <c r="BL343" s="160"/>
      <c r="BM343" s="160"/>
      <c r="BN343" s="160"/>
      <c r="BO343" s="160"/>
      <c r="BP343" s="160"/>
      <c r="BQ343" s="160"/>
      <c r="BR343" s="160"/>
      <c r="BS343" s="160"/>
      <c r="BT343" s="160"/>
      <c r="BU343" s="160"/>
      <c r="BV343" s="160"/>
      <c r="BW343" s="160"/>
      <c r="BX343" s="160"/>
      <c r="BY343" s="160"/>
      <c r="BZ343" s="160"/>
      <c r="CA343" s="160">
        <f>COUNTIF(AJ343:AX343,"*OK*")</f>
        <v>0</v>
      </c>
      <c r="CB343" s="160"/>
      <c r="CC343" s="160">
        <f>COUNTIF(AJ343:AX343,"*OP*")</f>
        <v>0</v>
      </c>
    </row>
    <row r="344" spans="1:81" ht="15" customHeight="1">
      <c r="A344" s="240">
        <v>36821</v>
      </c>
      <c r="B344" s="171"/>
      <c r="C344" s="468">
        <f>T344</f>
        <v>196.98480000000001</v>
      </c>
      <c r="D344" s="171">
        <f>COUNTIF(AN344:AY344,"OK")</f>
        <v>0</v>
      </c>
      <c r="E344" s="171"/>
      <c r="F344" s="173" t="s">
        <v>1011</v>
      </c>
      <c r="G344" s="173" t="s">
        <v>59</v>
      </c>
      <c r="H344" s="179" t="s">
        <v>455</v>
      </c>
      <c r="I344" s="179"/>
      <c r="J344" s="173" t="s">
        <v>59</v>
      </c>
      <c r="K344" s="173" t="s">
        <v>59</v>
      </c>
      <c r="L344" s="173" t="s">
        <v>456</v>
      </c>
      <c r="M344" s="173" t="s">
        <v>59</v>
      </c>
      <c r="N344" s="173" t="s">
        <v>59</v>
      </c>
      <c r="O344" s="466">
        <v>172.61</v>
      </c>
      <c r="P344" s="466">
        <v>182.96</v>
      </c>
      <c r="Q344" s="466">
        <v>182.38</v>
      </c>
      <c r="R344" s="467">
        <v>179.98</v>
      </c>
      <c r="S344" s="509">
        <v>203.36170000000001</v>
      </c>
      <c r="T344" s="549">
        <v>196.98480000000001</v>
      </c>
      <c r="U344" s="175"/>
      <c r="V344" s="176" t="s">
        <v>59</v>
      </c>
      <c r="W344" s="171"/>
      <c r="X344" s="205"/>
      <c r="Y344" s="177"/>
      <c r="Z344" s="178"/>
      <c r="AA344" s="174" t="s">
        <v>59</v>
      </c>
      <c r="AB344" s="178" t="s">
        <v>65</v>
      </c>
      <c r="AC344" s="179"/>
      <c r="AD344" s="171"/>
      <c r="AE344" s="171"/>
      <c r="AF344" s="171"/>
      <c r="AG344" s="171"/>
      <c r="AH344" s="171"/>
      <c r="AI344" s="174" t="s">
        <v>59</v>
      </c>
      <c r="AJ344" s="170"/>
      <c r="AK344" s="170"/>
      <c r="AL344" s="170"/>
      <c r="AM344" s="170"/>
      <c r="AN344" s="170"/>
      <c r="AO344" s="170"/>
      <c r="AP344" s="170"/>
      <c r="AQ344" s="170"/>
      <c r="AR344" s="170"/>
      <c r="AS344" s="170"/>
      <c r="AT344" s="170"/>
      <c r="AU344" s="170"/>
      <c r="AV344" s="170"/>
      <c r="AW344" s="170"/>
      <c r="AX344" s="170"/>
      <c r="AY344" s="170"/>
      <c r="AZ344" s="180" t="s">
        <v>59</v>
      </c>
      <c r="BA344" s="171">
        <f>(COUNTIF(AJ344:AL344,"*OK*")*3) + (COUNTIF(AM344:AO344,"*OK*")*2) + COUNTIF(AP344:AR344,"*OK*")+COUNTIF(AZ344:AZ344,"SI")*0.5</f>
        <v>0</v>
      </c>
      <c r="BB344" s="171" t="str">
        <f>IF(BA344&lt;0.6,"Demasiado Riesgo",IF(BA344&lt;=5,"Riesgo Medio",IF(BA344&lt;=11,"Riesgo Bajo","Cliente Blindado")))</f>
        <v>Demasiado Riesgo</v>
      </c>
      <c r="BC344" s="171"/>
      <c r="BD344" s="171"/>
      <c r="BE344" s="171">
        <v>0</v>
      </c>
      <c r="BF344" s="171"/>
      <c r="BG344" s="171"/>
      <c r="BH344" s="171"/>
      <c r="BI344" s="171"/>
      <c r="BJ344" s="171"/>
      <c r="BK344" s="171"/>
      <c r="BL344" s="171"/>
      <c r="BM344" s="171"/>
      <c r="BN344" s="171"/>
      <c r="BO344" s="171"/>
      <c r="BP344" s="171"/>
      <c r="BQ344" s="171"/>
      <c r="BR344" s="171"/>
      <c r="BS344" s="171"/>
      <c r="BT344" s="171"/>
      <c r="BU344" s="171"/>
      <c r="BV344" s="171"/>
      <c r="BW344" s="171"/>
      <c r="BX344" s="171"/>
      <c r="BY344" s="171"/>
      <c r="BZ344" s="171"/>
      <c r="CA344" s="171">
        <f>COUNTIF(AJ344:AX344,"*OK*")</f>
        <v>0</v>
      </c>
      <c r="CB344" s="171"/>
      <c r="CC344" s="171">
        <f>COUNTIF(AJ344:AX344,"*OP*")</f>
        <v>0</v>
      </c>
    </row>
    <row r="345" spans="1:81" ht="15" customHeight="1">
      <c r="A345" s="240"/>
      <c r="B345" s="171"/>
      <c r="C345" s="468">
        <f>T345</f>
        <v>217.76</v>
      </c>
      <c r="D345" s="171">
        <f>COUNTIF(AN345:AY345,"OK")</f>
        <v>0</v>
      </c>
      <c r="E345" s="171"/>
      <c r="F345" s="171" t="s">
        <v>1012</v>
      </c>
      <c r="G345" s="171"/>
      <c r="H345" s="168" t="s">
        <v>455</v>
      </c>
      <c r="I345" s="179"/>
      <c r="J345" s="171"/>
      <c r="K345" s="236" t="s">
        <v>68</v>
      </c>
      <c r="L345" s="173" t="s">
        <v>456</v>
      </c>
      <c r="M345" s="171"/>
      <c r="N345" s="171"/>
      <c r="O345" s="161"/>
      <c r="P345" s="161"/>
      <c r="Q345" s="161"/>
      <c r="R345" s="186"/>
      <c r="S345" s="510">
        <v>259.03390000000002</v>
      </c>
      <c r="T345" s="552">
        <v>217.76</v>
      </c>
      <c r="U345" s="175"/>
      <c r="V345" s="176" t="s">
        <v>59</v>
      </c>
      <c r="W345" s="171"/>
      <c r="X345" s="205"/>
      <c r="Y345" s="177"/>
      <c r="Z345" s="178"/>
      <c r="AA345" s="174" t="s">
        <v>59</v>
      </c>
      <c r="AB345" s="178"/>
      <c r="AC345" s="179"/>
      <c r="AD345" s="171"/>
      <c r="AE345" s="171"/>
      <c r="AF345" s="171"/>
      <c r="AG345" s="171"/>
      <c r="AH345" s="171"/>
      <c r="AI345" s="174"/>
      <c r="AJ345" s="170"/>
      <c r="AK345" s="170"/>
      <c r="AL345" s="170"/>
      <c r="AM345" s="170"/>
      <c r="AN345" s="170"/>
      <c r="AO345" s="170"/>
      <c r="AP345" s="170"/>
      <c r="AQ345" s="170"/>
      <c r="AR345" s="170"/>
      <c r="AS345" s="170"/>
      <c r="AT345" s="170"/>
      <c r="AU345" s="170"/>
      <c r="AV345" s="170"/>
      <c r="AW345" s="170"/>
      <c r="AX345" s="170"/>
      <c r="AY345" s="170"/>
      <c r="AZ345" s="180" t="s">
        <v>59</v>
      </c>
      <c r="BA345" s="171">
        <f>(COUNTIF(AJ345:AL345,"*OK*")*3) + (COUNTIF(AM345:AO345,"*OK*")*2) + COUNTIF(AP345:AR345,"*OK*")+COUNTIF(AZ345:AZ345,"SI")*0.5</f>
        <v>0</v>
      </c>
      <c r="BB345" s="171" t="str">
        <f>IF(BA345&lt;0.6,"Demasiado Riesgo",IF(BA345&lt;=5,"Riesgo Medio",IF(BA345&lt;=11,"Riesgo Bajo","Cliente Blindado")))</f>
        <v>Demasiado Riesgo</v>
      </c>
      <c r="BC345" s="171"/>
      <c r="BD345" s="171"/>
      <c r="BE345" s="171"/>
      <c r="BF345" s="171"/>
      <c r="BG345" s="171"/>
      <c r="BH345" s="171"/>
      <c r="BI345" s="171"/>
      <c r="BJ345" s="171"/>
      <c r="BK345" s="171"/>
      <c r="BL345" s="171"/>
      <c r="BM345" s="171"/>
      <c r="BN345" s="171"/>
      <c r="BO345" s="171"/>
      <c r="BP345" s="171"/>
      <c r="BQ345" s="171"/>
      <c r="BR345" s="171"/>
      <c r="BS345" s="171"/>
      <c r="BT345" s="171"/>
      <c r="BU345" s="171"/>
      <c r="BV345" s="171"/>
      <c r="BW345" s="171"/>
      <c r="BX345" s="171"/>
      <c r="BY345" s="171"/>
      <c r="BZ345" s="171"/>
      <c r="CA345" s="171">
        <f>COUNTIF(AJ345:AX345,"*OK*")</f>
        <v>0</v>
      </c>
      <c r="CB345" s="171"/>
      <c r="CC345" s="171">
        <f>COUNTIF(AJ345:AX345,"*OP*")</f>
        <v>0</v>
      </c>
    </row>
    <row r="346" spans="1:81" ht="15" customHeight="1">
      <c r="A346" s="241"/>
      <c r="B346" s="160"/>
      <c r="C346" s="468">
        <f>T346</f>
        <v>222.3</v>
      </c>
      <c r="D346" s="160">
        <f>COUNTIF(AJ346:AX346,"*OK*")</f>
        <v>0</v>
      </c>
      <c r="E346" s="160"/>
      <c r="F346" s="182" t="s">
        <v>1013</v>
      </c>
      <c r="G346" s="182"/>
      <c r="H346" s="168" t="s">
        <v>455</v>
      </c>
      <c r="I346" s="168"/>
      <c r="J346" s="182"/>
      <c r="K346" s="182" t="s">
        <v>68</v>
      </c>
      <c r="L346" s="173" t="s">
        <v>456</v>
      </c>
      <c r="M346" s="182"/>
      <c r="N346" s="182"/>
      <c r="O346" s="161">
        <v>185.26</v>
      </c>
      <c r="P346" s="161">
        <v>185.09</v>
      </c>
      <c r="Q346" s="161">
        <v>192.42</v>
      </c>
      <c r="R346" s="186">
        <v>208.54</v>
      </c>
      <c r="S346" s="510">
        <v>224.76929999999999</v>
      </c>
      <c r="T346" s="550">
        <v>222.3</v>
      </c>
      <c r="U346" s="164"/>
      <c r="V346" s="165">
        <v>100</v>
      </c>
      <c r="W346" s="187"/>
      <c r="X346" s="208" t="s">
        <v>70</v>
      </c>
      <c r="Y346" s="166" t="s">
        <v>152</v>
      </c>
      <c r="Z346" s="167" t="s">
        <v>1014</v>
      </c>
      <c r="AA346" s="165" t="s">
        <v>59</v>
      </c>
      <c r="AB346" s="188" t="s">
        <v>65</v>
      </c>
      <c r="AC346" s="168"/>
      <c r="AD346" s="160"/>
      <c r="AE346" s="160"/>
      <c r="AF346" s="160"/>
      <c r="AG346" s="160"/>
      <c r="AH346" s="160"/>
      <c r="AI346" s="163" t="s">
        <v>59</v>
      </c>
      <c r="AJ346" s="170"/>
      <c r="AK346" s="170"/>
      <c r="AL346" s="170"/>
      <c r="AM346" s="170"/>
      <c r="AN346" s="170"/>
      <c r="AO346" s="170"/>
      <c r="AP346" s="170"/>
      <c r="AQ346" s="170"/>
      <c r="AR346" s="170"/>
      <c r="AS346" s="170"/>
      <c r="AT346" s="170"/>
      <c r="AU346" s="170"/>
      <c r="AV346" s="170"/>
      <c r="AW346" s="170"/>
      <c r="AX346" s="170"/>
      <c r="AY346" s="170"/>
      <c r="AZ346" s="169" t="s">
        <v>59</v>
      </c>
      <c r="BA346" s="160">
        <f>(COUNTIF(AJ346:AL346,"*OK*")*3) + (COUNTIF(AM346:AO346,"*OK*")*2) + COUNTIF(AP346:AR346,"*OK*")+COUNTIF(AZ346:AZ346,"SI")*0.5</f>
        <v>0</v>
      </c>
      <c r="BB346" s="160" t="str">
        <f>IF(BA346&lt;0.6,"Demasiado Riesgo",IF(BA346&lt;=5,"Riesgo Medio",IF(BA346&lt;=11,"Riesgo Bajo","Cliente Blindado")))</f>
        <v>Demasiado Riesgo</v>
      </c>
      <c r="BC346" s="160"/>
      <c r="BD346" s="160"/>
      <c r="BE346" s="160">
        <v>0</v>
      </c>
      <c r="BF346" s="160"/>
      <c r="BG346" s="160"/>
      <c r="BH346" s="160"/>
      <c r="BI346" s="160"/>
      <c r="BJ346" s="160"/>
      <c r="BK346" s="160"/>
      <c r="BL346" s="160"/>
      <c r="BM346" s="160"/>
      <c r="BN346" s="160"/>
      <c r="BO346" s="160"/>
      <c r="BP346" s="160"/>
      <c r="BQ346" s="160"/>
      <c r="BR346" s="160"/>
      <c r="BS346" s="160"/>
      <c r="BT346" s="160"/>
      <c r="BU346" s="160"/>
      <c r="BV346" s="160"/>
      <c r="BW346" s="160"/>
      <c r="BX346" s="160"/>
      <c r="BY346" s="160"/>
      <c r="BZ346" s="160"/>
      <c r="CA346" s="160">
        <f>COUNTIF(AJ346:AX346,"*OK*")</f>
        <v>0</v>
      </c>
      <c r="CB346" s="160"/>
      <c r="CC346" s="160">
        <f>COUNTIF(AJ346:AX346,"*OP*")</f>
        <v>0</v>
      </c>
    </row>
    <row r="347" spans="1:81" ht="15" customHeight="1">
      <c r="A347" s="241">
        <v>37083</v>
      </c>
      <c r="B347" s="160"/>
      <c r="C347" s="468">
        <f>T347</f>
        <v>222.84</v>
      </c>
      <c r="D347" s="160">
        <f>COUNTIF(AJ347:AX347,"*OK*")</f>
        <v>0</v>
      </c>
      <c r="E347" s="160"/>
      <c r="F347" s="182" t="s">
        <v>1015</v>
      </c>
      <c r="G347" s="182"/>
      <c r="H347" s="168" t="s">
        <v>455</v>
      </c>
      <c r="I347" s="168"/>
      <c r="J347" s="182"/>
      <c r="K347" s="185" t="s">
        <v>68</v>
      </c>
      <c r="L347" s="173" t="s">
        <v>456</v>
      </c>
      <c r="M347" s="182"/>
      <c r="N347" s="182"/>
      <c r="O347" s="161"/>
      <c r="P347" s="161"/>
      <c r="Q347" s="161">
        <v>215.38</v>
      </c>
      <c r="R347" s="186">
        <v>228.02</v>
      </c>
      <c r="S347" s="510">
        <v>254.19280000000001</v>
      </c>
      <c r="T347" s="551">
        <v>222.84</v>
      </c>
      <c r="U347" s="164"/>
      <c r="V347" s="165">
        <v>200</v>
      </c>
      <c r="W347" s="187"/>
      <c r="X347" s="208" t="s">
        <v>70</v>
      </c>
      <c r="Y347" s="166" t="s">
        <v>80</v>
      </c>
      <c r="Z347" s="167" t="s">
        <v>1016</v>
      </c>
      <c r="AA347" s="165" t="s">
        <v>59</v>
      </c>
      <c r="AB347" s="188" t="s">
        <v>159</v>
      </c>
      <c r="AC347" s="168"/>
      <c r="AD347" s="160"/>
      <c r="AE347" s="160"/>
      <c r="AF347" s="160"/>
      <c r="AG347" s="160"/>
      <c r="AH347" s="160"/>
      <c r="AI347" s="163" t="s">
        <v>59</v>
      </c>
      <c r="AJ347" s="170"/>
      <c r="AK347" s="170"/>
      <c r="AL347" s="170"/>
      <c r="AM347" s="170"/>
      <c r="AN347" s="170"/>
      <c r="AO347" s="170"/>
      <c r="AP347" s="170"/>
      <c r="AQ347" s="170"/>
      <c r="AR347" s="170"/>
      <c r="AS347" s="170"/>
      <c r="AT347" s="170"/>
      <c r="AU347" s="170"/>
      <c r="AV347" s="170"/>
      <c r="AW347" s="170"/>
      <c r="AX347" s="170"/>
      <c r="AY347" s="170"/>
      <c r="AZ347" s="169" t="s">
        <v>59</v>
      </c>
      <c r="BA347" s="160">
        <f>(COUNTIF(AJ347:AL347,"*OK*")*3) + (COUNTIF(AM347:AO347,"*OK*")*2) + COUNTIF(AP347:AR347,"*OK*")+COUNTIF(AZ347:AZ347,"SI")*0.5</f>
        <v>0</v>
      </c>
      <c r="BB347" s="160" t="str">
        <f>IF(BA347&lt;0.6,"Demasiado Riesgo",IF(BA347&lt;=5,"Riesgo Medio",IF(BA347&lt;=11,"Riesgo Bajo","Cliente Blindado")))</f>
        <v>Demasiado Riesgo</v>
      </c>
      <c r="BC347" s="160"/>
      <c r="BD347" s="160"/>
      <c r="BE347" s="160">
        <v>0</v>
      </c>
      <c r="BF347" s="160"/>
      <c r="BG347" s="160"/>
      <c r="BH347" s="160"/>
      <c r="BI347" s="160"/>
      <c r="BJ347" s="160"/>
      <c r="BK347" s="160"/>
      <c r="BL347" s="160"/>
      <c r="BM347" s="160"/>
      <c r="BN347" s="160"/>
      <c r="BO347" s="160"/>
      <c r="BP347" s="160"/>
      <c r="BQ347" s="160"/>
      <c r="BR347" s="160"/>
      <c r="BS347" s="160"/>
      <c r="BT347" s="160"/>
      <c r="BU347" s="160"/>
      <c r="BV347" s="160"/>
      <c r="BW347" s="160"/>
      <c r="BX347" s="160"/>
      <c r="BY347" s="160"/>
      <c r="BZ347" s="160"/>
      <c r="CA347" s="160">
        <f>COUNTIF(AJ347:AX347,"*OK*")</f>
        <v>0</v>
      </c>
      <c r="CB347" s="160"/>
      <c r="CC347" s="160">
        <f>COUNTIF(AJ347:AX347,"*OP*")</f>
        <v>0</v>
      </c>
    </row>
    <row r="348" spans="1:81" ht="15" customHeight="1">
      <c r="A348" s="240">
        <v>36040</v>
      </c>
      <c r="B348" s="171"/>
      <c r="C348" s="468">
        <f>T348</f>
        <v>225.69</v>
      </c>
      <c r="D348" s="171">
        <f>COUNTIF(AJ348:AX348,"*OK*")</f>
        <v>0</v>
      </c>
      <c r="E348" s="171"/>
      <c r="F348" s="183" t="s">
        <v>1017</v>
      </c>
      <c r="G348" s="183"/>
      <c r="H348" s="168" t="s">
        <v>455</v>
      </c>
      <c r="I348" s="179"/>
      <c r="J348" s="183"/>
      <c r="K348" s="192" t="s">
        <v>68</v>
      </c>
      <c r="L348" s="173" t="s">
        <v>456</v>
      </c>
      <c r="M348" s="183"/>
      <c r="N348" s="183"/>
      <c r="O348" s="172"/>
      <c r="P348" s="172">
        <v>283.95999999999998</v>
      </c>
      <c r="Q348" s="172">
        <v>204.34</v>
      </c>
      <c r="R348" s="193">
        <v>208.06</v>
      </c>
      <c r="S348" s="510">
        <v>213.75299999999999</v>
      </c>
      <c r="T348" s="554">
        <v>225.69</v>
      </c>
      <c r="U348" s="175"/>
      <c r="V348" s="176">
        <v>100</v>
      </c>
      <c r="W348" s="194"/>
      <c r="X348" s="209" t="s">
        <v>70</v>
      </c>
      <c r="Y348" s="177" t="s">
        <v>71</v>
      </c>
      <c r="Z348" s="178" t="s">
        <v>1018</v>
      </c>
      <c r="AA348" s="176" t="s">
        <v>59</v>
      </c>
      <c r="AB348" s="195" t="s">
        <v>65</v>
      </c>
      <c r="AC348" s="179"/>
      <c r="AD348" s="171"/>
      <c r="AE348" s="171"/>
      <c r="AF348" s="171"/>
      <c r="AG348" s="171"/>
      <c r="AH348" s="171"/>
      <c r="AI348" s="174" t="s">
        <v>59</v>
      </c>
      <c r="AJ348" s="170"/>
      <c r="AK348" s="170"/>
      <c r="AL348" s="170"/>
      <c r="AM348" s="170"/>
      <c r="AN348" s="170"/>
      <c r="AO348" s="170"/>
      <c r="AP348" s="170"/>
      <c r="AQ348" s="170"/>
      <c r="AR348" s="170"/>
      <c r="AS348" s="170"/>
      <c r="AT348" s="170"/>
      <c r="AU348" s="170"/>
      <c r="AV348" s="170"/>
      <c r="AW348" s="170"/>
      <c r="AX348" s="170"/>
      <c r="AY348" s="170"/>
      <c r="AZ348" s="180" t="s">
        <v>59</v>
      </c>
      <c r="BA348" s="171">
        <f>(COUNTIF(AJ348:AL348,"*OK*")*3) + (COUNTIF(AM348:AO348,"*OK*")*2) + COUNTIF(AP348:AR348,"*OK*")+COUNTIF(AZ348:AZ348,"SI")*0.5</f>
        <v>0</v>
      </c>
      <c r="BB348" s="171" t="str">
        <f>IF(BA348&lt;0.6,"Demasiado Riesgo",IF(BA348&lt;=5,"Riesgo Medio",IF(BA348&lt;=11,"Riesgo Bajo","Cliente Blindado")))</f>
        <v>Demasiado Riesgo</v>
      </c>
      <c r="BC348" s="171"/>
      <c r="BD348" s="171"/>
      <c r="BE348" s="171">
        <v>0</v>
      </c>
      <c r="BF348" s="171"/>
      <c r="BG348" s="171"/>
      <c r="BH348" s="171"/>
      <c r="BI348" s="171"/>
      <c r="BJ348" s="171"/>
      <c r="BK348" s="171"/>
      <c r="BL348" s="171"/>
      <c r="BM348" s="171"/>
      <c r="BN348" s="171"/>
      <c r="BO348" s="171"/>
      <c r="BP348" s="171"/>
      <c r="BQ348" s="171"/>
      <c r="BR348" s="171"/>
      <c r="BS348" s="171"/>
      <c r="BT348" s="171"/>
      <c r="BU348" s="171"/>
      <c r="BV348" s="171"/>
      <c r="BW348" s="171"/>
      <c r="BX348" s="171"/>
      <c r="BY348" s="171"/>
      <c r="BZ348" s="171"/>
      <c r="CA348" s="171">
        <f>COUNTIF(AJ348:AX348,"*OK*")</f>
        <v>0</v>
      </c>
      <c r="CB348" s="171"/>
      <c r="CC348" s="171">
        <f>COUNTIF(AJ348:AX348,"*OP*")</f>
        <v>0</v>
      </c>
    </row>
    <row r="349" spans="1:81" ht="15" customHeight="1">
      <c r="A349" s="241"/>
      <c r="B349" s="160"/>
      <c r="C349" s="468">
        <f>T349</f>
        <v>237.12</v>
      </c>
      <c r="D349" s="160">
        <f>COUNTIF(AN349:AY349,"OK")</f>
        <v>0</v>
      </c>
      <c r="E349" s="160"/>
      <c r="F349" s="160" t="s">
        <v>1019</v>
      </c>
      <c r="G349" s="160"/>
      <c r="H349" s="168" t="s">
        <v>455</v>
      </c>
      <c r="I349" s="168"/>
      <c r="J349" s="160"/>
      <c r="K349" s="220" t="s">
        <v>68</v>
      </c>
      <c r="L349" s="173" t="s">
        <v>456</v>
      </c>
      <c r="M349" s="160"/>
      <c r="N349" s="160"/>
      <c r="O349" s="161"/>
      <c r="P349" s="161"/>
      <c r="Q349" s="161"/>
      <c r="R349" s="186"/>
      <c r="S349" s="510">
        <v>251.30420000000001</v>
      </c>
      <c r="T349" s="552">
        <v>237.12</v>
      </c>
      <c r="U349" s="164"/>
      <c r="V349" s="165" t="s">
        <v>59</v>
      </c>
      <c r="W349" s="160"/>
      <c r="X349" s="203"/>
      <c r="Y349" s="166"/>
      <c r="Z349" s="167"/>
      <c r="AA349" s="163" t="s">
        <v>59</v>
      </c>
      <c r="AB349" s="167"/>
      <c r="AC349" s="168"/>
      <c r="AD349" s="160"/>
      <c r="AE349" s="160"/>
      <c r="AF349" s="160"/>
      <c r="AG349" s="160"/>
      <c r="AH349" s="160"/>
      <c r="AI349" s="542"/>
      <c r="AJ349" s="543"/>
      <c r="AK349" s="543"/>
      <c r="AL349" s="543"/>
      <c r="AM349" s="543"/>
      <c r="AN349" s="543"/>
      <c r="AO349" s="543"/>
      <c r="AP349" s="543"/>
      <c r="AQ349" s="543"/>
      <c r="AR349" s="543"/>
      <c r="AS349" s="543"/>
      <c r="AT349" s="543"/>
      <c r="AU349" s="543"/>
      <c r="AV349" s="543"/>
      <c r="AW349" s="543"/>
      <c r="AX349" s="543"/>
      <c r="AY349" s="543"/>
      <c r="AZ349" s="547"/>
      <c r="BA349" s="160">
        <f>(COUNTIF(AJ349:AL349,"*OK*")*3) + (COUNTIF(AM349:AO349,"*OK*")*2) + COUNTIF(AP349:AR349,"*OK*")+COUNTIF(AZ349:AZ349,"SI")*0.5</f>
        <v>0</v>
      </c>
      <c r="BB349" s="160" t="str">
        <f>IF(BA349&lt;0.6,"Demasiado Riesgo",IF(BA349&lt;=5,"Riesgo Medio",IF(BA349&lt;=11,"Riesgo Bajo","Cliente Blindado")))</f>
        <v>Demasiado Riesgo</v>
      </c>
      <c r="BC349" s="160"/>
      <c r="BD349" s="160"/>
      <c r="BE349" s="160"/>
      <c r="BF349" s="160"/>
      <c r="BG349" s="160"/>
      <c r="BH349" s="160"/>
      <c r="BI349" s="160"/>
      <c r="BJ349" s="160"/>
      <c r="BK349" s="160"/>
      <c r="BL349" s="160"/>
      <c r="BM349" s="160"/>
      <c r="BN349" s="160"/>
      <c r="BO349" s="160"/>
      <c r="BP349" s="160"/>
      <c r="BQ349" s="160"/>
      <c r="BR349" s="160"/>
      <c r="BS349" s="160"/>
      <c r="BT349" s="160"/>
      <c r="BU349" s="160"/>
      <c r="BV349" s="160"/>
      <c r="BW349" s="160"/>
      <c r="BX349" s="160"/>
      <c r="BY349" s="160"/>
      <c r="BZ349" s="160"/>
      <c r="CA349" s="160">
        <f>COUNTIF(AJ349:AX349,"*OK*")</f>
        <v>0</v>
      </c>
      <c r="CB349" s="160"/>
      <c r="CC349" s="160"/>
    </row>
    <row r="350" spans="1:81" ht="15" customHeight="1">
      <c r="A350" s="240">
        <v>31187</v>
      </c>
      <c r="B350" s="171"/>
      <c r="C350" s="468">
        <f>T350</f>
        <v>241.71</v>
      </c>
      <c r="D350" s="171">
        <f>COUNTIF(AJ350:AX350,"*OK*")</f>
        <v>0</v>
      </c>
      <c r="E350" s="171"/>
      <c r="F350" s="183" t="s">
        <v>1020</v>
      </c>
      <c r="G350" s="183"/>
      <c r="H350" s="168" t="s">
        <v>455</v>
      </c>
      <c r="I350" s="179"/>
      <c r="J350" s="183"/>
      <c r="K350" s="183" t="s">
        <v>68</v>
      </c>
      <c r="L350" s="173" t="s">
        <v>456</v>
      </c>
      <c r="M350" s="183"/>
      <c r="N350" s="183"/>
      <c r="O350" s="172">
        <v>212.9</v>
      </c>
      <c r="P350" s="172">
        <v>259.57</v>
      </c>
      <c r="Q350" s="172">
        <v>257.67</v>
      </c>
      <c r="R350" s="193">
        <v>276.61</v>
      </c>
      <c r="S350" s="510">
        <v>283.9212</v>
      </c>
      <c r="T350" s="551">
        <v>241.71</v>
      </c>
      <c r="U350" s="175"/>
      <c r="V350" s="176">
        <v>200</v>
      </c>
      <c r="W350" s="194"/>
      <c r="X350" s="209" t="s">
        <v>70</v>
      </c>
      <c r="Y350" s="177" t="s">
        <v>71</v>
      </c>
      <c r="Z350" s="178" t="s">
        <v>1021</v>
      </c>
      <c r="AA350" s="176" t="s">
        <v>59</v>
      </c>
      <c r="AB350" s="195" t="s">
        <v>159</v>
      </c>
      <c r="AC350" s="179"/>
      <c r="AD350" s="171"/>
      <c r="AE350" s="171"/>
      <c r="AF350" s="171"/>
      <c r="AG350" s="171"/>
      <c r="AH350" s="171"/>
      <c r="AI350" s="174" t="s">
        <v>59</v>
      </c>
      <c r="AJ350" s="170"/>
      <c r="AK350" s="170"/>
      <c r="AL350" s="170"/>
      <c r="AM350" s="170"/>
      <c r="AN350" s="170"/>
      <c r="AO350" s="170"/>
      <c r="AP350" s="170"/>
      <c r="AQ350" s="170"/>
      <c r="AR350" s="170"/>
      <c r="AS350" s="170"/>
      <c r="AT350" s="170"/>
      <c r="AU350" s="170"/>
      <c r="AV350" s="170"/>
      <c r="AW350" s="170"/>
      <c r="AX350" s="170"/>
      <c r="AY350" s="170"/>
      <c r="AZ350" s="180" t="s">
        <v>59</v>
      </c>
      <c r="BA350" s="171">
        <f>(COUNTIF(AJ350:AL350,"*OK*")*3) + (COUNTIF(AM350:AO350,"*OK*")*2) + COUNTIF(AP350:AR350,"*OK*")+COUNTIF(AZ350:AZ350,"SI")*0.5</f>
        <v>0</v>
      </c>
      <c r="BB350" s="171" t="str">
        <f>IF(BA350&lt;0.6,"Demasiado Riesgo",IF(BA350&lt;=5,"Riesgo Medio",IF(BA350&lt;=11,"Riesgo Bajo","Cliente Blindado")))</f>
        <v>Demasiado Riesgo</v>
      </c>
      <c r="BC350" s="171"/>
      <c r="BD350" s="171"/>
      <c r="BE350" s="171">
        <v>0</v>
      </c>
      <c r="BF350" s="171"/>
      <c r="BG350" s="171"/>
      <c r="BH350" s="171"/>
      <c r="BI350" s="171"/>
      <c r="BJ350" s="171"/>
      <c r="BK350" s="171"/>
      <c r="BL350" s="171"/>
      <c r="BM350" s="171"/>
      <c r="BN350" s="171"/>
      <c r="BO350" s="171"/>
      <c r="BP350" s="171"/>
      <c r="BQ350" s="171"/>
      <c r="BR350" s="171"/>
      <c r="BS350" s="171"/>
      <c r="BT350" s="171"/>
      <c r="BU350" s="171"/>
      <c r="BV350" s="171"/>
      <c r="BW350" s="171"/>
      <c r="BX350" s="171"/>
      <c r="BY350" s="171"/>
      <c r="BZ350" s="171"/>
      <c r="CA350" s="171">
        <f>COUNTIF(AJ350:AX350,"*OK*")</f>
        <v>0</v>
      </c>
      <c r="CB350" s="171"/>
      <c r="CC350" s="171">
        <f>COUNTIF(AJ350:AX350,"*OP*")</f>
        <v>0</v>
      </c>
    </row>
    <row r="351" spans="1:81" ht="15" customHeight="1">
      <c r="A351" s="240">
        <v>34072</v>
      </c>
      <c r="B351" s="171"/>
      <c r="C351" s="468">
        <f>T351</f>
        <v>248.55</v>
      </c>
      <c r="D351" s="171">
        <f>COUNTIF(AJ351:AX351,"*OK*")</f>
        <v>0</v>
      </c>
      <c r="E351" s="171"/>
      <c r="F351" s="183" t="s">
        <v>1022</v>
      </c>
      <c r="G351" s="183"/>
      <c r="H351" s="168" t="s">
        <v>455</v>
      </c>
      <c r="I351" s="179"/>
      <c r="J351" s="183"/>
      <c r="K351" s="183" t="s">
        <v>68</v>
      </c>
      <c r="L351" s="173" t="s">
        <v>456</v>
      </c>
      <c r="M351" s="183"/>
      <c r="N351" s="183"/>
      <c r="O351" s="172">
        <v>223.32</v>
      </c>
      <c r="P351" s="172">
        <v>182.55</v>
      </c>
      <c r="Q351" s="172">
        <v>179.49</v>
      </c>
      <c r="R351" s="193">
        <v>199.51</v>
      </c>
      <c r="S351" s="510">
        <v>245.52709999999999</v>
      </c>
      <c r="T351" s="553">
        <v>248.55</v>
      </c>
      <c r="U351" s="175"/>
      <c r="V351" s="176">
        <v>200</v>
      </c>
      <c r="W351" s="194"/>
      <c r="X351" s="211" t="s">
        <v>70</v>
      </c>
      <c r="Y351" s="177" t="s">
        <v>162</v>
      </c>
      <c r="Z351" s="178" t="s">
        <v>1023</v>
      </c>
      <c r="AA351" s="176" t="s">
        <v>59</v>
      </c>
      <c r="AB351" s="195" t="s">
        <v>240</v>
      </c>
      <c r="AC351" s="179"/>
      <c r="AD351" s="171"/>
      <c r="AE351" s="171"/>
      <c r="AF351" s="171"/>
      <c r="AG351" s="171"/>
      <c r="AH351" s="171"/>
      <c r="AI351" s="174" t="s">
        <v>59</v>
      </c>
      <c r="AJ351" s="170"/>
      <c r="AK351" s="170"/>
      <c r="AL351" s="170"/>
      <c r="AM351" s="170"/>
      <c r="AN351" s="170"/>
      <c r="AO351" s="170"/>
      <c r="AP351" s="170"/>
      <c r="AQ351" s="170"/>
      <c r="AR351" s="170"/>
      <c r="AS351" s="170"/>
      <c r="AT351" s="170"/>
      <c r="AU351" s="170"/>
      <c r="AV351" s="170"/>
      <c r="AW351" s="170"/>
      <c r="AX351" s="170"/>
      <c r="AY351" s="170"/>
      <c r="AZ351" s="180" t="s">
        <v>127</v>
      </c>
      <c r="BA351" s="171">
        <f>(COUNTIF(AJ351:AL351,"*OK*")*3) + (COUNTIF(AM351:AO351,"*OK*")*2) + COUNTIF(AP351:AR351,"*OK*")+COUNTIF(AZ351:AZ351,"SI")*0.5</f>
        <v>0.5</v>
      </c>
      <c r="BB351" s="171" t="str">
        <f>IF(BA351&lt;0.6,"Demasiado Riesgo",IF(BA351&lt;=5,"Riesgo Medio",IF(BA351&lt;=11,"Riesgo Bajo","Cliente Blindado")))</f>
        <v>Demasiado Riesgo</v>
      </c>
      <c r="BC351" s="171"/>
      <c r="BD351" s="171"/>
      <c r="BE351" s="171">
        <v>0</v>
      </c>
      <c r="BF351" s="171"/>
      <c r="BG351" s="171"/>
      <c r="BH351" s="171"/>
      <c r="BI351" s="171"/>
      <c r="BJ351" s="171"/>
      <c r="BK351" s="171"/>
      <c r="BL351" s="171"/>
      <c r="BM351" s="171"/>
      <c r="BN351" s="171"/>
      <c r="BO351" s="171"/>
      <c r="BP351" s="171"/>
      <c r="BQ351" s="171"/>
      <c r="BR351" s="171"/>
      <c r="BS351" s="171"/>
      <c r="BT351" s="171"/>
      <c r="BU351" s="171"/>
      <c r="BV351" s="171"/>
      <c r="BW351" s="171"/>
      <c r="BX351" s="171"/>
      <c r="BY351" s="171"/>
      <c r="BZ351" s="171"/>
      <c r="CA351" s="171">
        <f>COUNTIF(AJ351:AX351,"*OK*")</f>
        <v>0</v>
      </c>
      <c r="CB351" s="171"/>
      <c r="CC351" s="171">
        <f>COUNTIF(AJ351:AX351,"*OP*")</f>
        <v>0</v>
      </c>
    </row>
    <row r="352" spans="1:81" ht="15" customHeight="1">
      <c r="A352" s="241">
        <v>32544</v>
      </c>
      <c r="B352" s="160"/>
      <c r="C352" s="468">
        <f>T352</f>
        <v>257.7</v>
      </c>
      <c r="D352" s="160">
        <f>COUNTIF(AJ352:AX352,"*OK*")</f>
        <v>0</v>
      </c>
      <c r="E352" s="160"/>
      <c r="F352" s="182" t="s">
        <v>1024</v>
      </c>
      <c r="G352" s="182"/>
      <c r="H352" s="168" t="s">
        <v>455</v>
      </c>
      <c r="I352" s="168"/>
      <c r="J352" s="182"/>
      <c r="K352" s="182" t="s">
        <v>68</v>
      </c>
      <c r="L352" s="173" t="s">
        <v>456</v>
      </c>
      <c r="M352" s="182"/>
      <c r="N352" s="182"/>
      <c r="O352" s="161">
        <v>246.57</v>
      </c>
      <c r="P352" s="161">
        <v>255.35</v>
      </c>
      <c r="Q352" s="161">
        <v>251.94</v>
      </c>
      <c r="R352" s="186">
        <v>283.69</v>
      </c>
      <c r="S352" s="510">
        <v>260.55220000000003</v>
      </c>
      <c r="T352" s="551">
        <v>257.7</v>
      </c>
      <c r="U352" s="164"/>
      <c r="V352" s="165">
        <v>300</v>
      </c>
      <c r="W352" s="187"/>
      <c r="X352" s="208" t="s">
        <v>70</v>
      </c>
      <c r="Y352" s="166" t="s">
        <v>243</v>
      </c>
      <c r="Z352" s="167" t="s">
        <v>1025</v>
      </c>
      <c r="AA352" s="165" t="s">
        <v>243</v>
      </c>
      <c r="AB352" s="188" t="s">
        <v>505</v>
      </c>
      <c r="AC352" s="168"/>
      <c r="AD352" s="160"/>
      <c r="AE352" s="160"/>
      <c r="AF352" s="160"/>
      <c r="AG352" s="160"/>
      <c r="AH352" s="160"/>
      <c r="AI352" s="163" t="s">
        <v>59</v>
      </c>
      <c r="AJ352" s="170"/>
      <c r="AK352" s="170"/>
      <c r="AL352" s="170"/>
      <c r="AM352" s="170"/>
      <c r="AN352" s="170"/>
      <c r="AO352" s="170"/>
      <c r="AP352" s="170"/>
      <c r="AQ352" s="170"/>
      <c r="AR352" s="170"/>
      <c r="AS352" s="170"/>
      <c r="AT352" s="170"/>
      <c r="AU352" s="170"/>
      <c r="AV352" s="170"/>
      <c r="AW352" s="170"/>
      <c r="AX352" s="170"/>
      <c r="AY352" s="170"/>
      <c r="AZ352" s="169" t="s">
        <v>59</v>
      </c>
      <c r="BA352" s="160">
        <f>(COUNTIF(AJ352:AL352,"*OK*")*3) + (COUNTIF(AM352:AO352,"*OK*")*2) + COUNTIF(AP352:AR352,"*OK*")+COUNTIF(AZ352:AZ352,"SI")*0.5</f>
        <v>0</v>
      </c>
      <c r="BB352" s="160" t="str">
        <f>IF(BA352&lt;0.6,"Demasiado Riesgo",IF(BA352&lt;=5,"Riesgo Medio",IF(BA352&lt;=11,"Riesgo Bajo","Cliente Blindado")))</f>
        <v>Demasiado Riesgo</v>
      </c>
      <c r="BC352" s="160"/>
      <c r="BD352" s="160"/>
      <c r="BE352" s="160">
        <v>0</v>
      </c>
      <c r="BF352" s="160"/>
      <c r="BG352" s="160"/>
      <c r="BH352" s="160"/>
      <c r="BI352" s="160"/>
      <c r="BJ352" s="160"/>
      <c r="BK352" s="160"/>
      <c r="BL352" s="160"/>
      <c r="BM352" s="160"/>
      <c r="BN352" s="160"/>
      <c r="BO352" s="160"/>
      <c r="BP352" s="160"/>
      <c r="BQ352" s="160"/>
      <c r="BR352" s="160"/>
      <c r="BS352" s="160"/>
      <c r="BT352" s="160"/>
      <c r="BU352" s="160"/>
      <c r="BV352" s="160"/>
      <c r="BW352" s="160"/>
      <c r="BX352" s="160"/>
      <c r="BY352" s="160"/>
      <c r="BZ352" s="160"/>
      <c r="CA352" s="160">
        <f>COUNTIF(AJ352:AX352,"*OK*")</f>
        <v>0</v>
      </c>
      <c r="CB352" s="160"/>
      <c r="CC352" s="160">
        <f>COUNTIF(AJ352:AX352,"*OP*")</f>
        <v>0</v>
      </c>
    </row>
    <row r="353" spans="1:81" ht="15" customHeight="1">
      <c r="A353" s="240"/>
      <c r="B353" s="171"/>
      <c r="C353" s="468">
        <f>T353</f>
        <v>261.3</v>
      </c>
      <c r="D353" s="171">
        <f>COUNTIF(AJ353:AX353,"*OK*")</f>
        <v>0</v>
      </c>
      <c r="E353" s="171"/>
      <c r="F353" s="183" t="s">
        <v>1026</v>
      </c>
      <c r="G353" s="183"/>
      <c r="H353" s="168" t="s">
        <v>455</v>
      </c>
      <c r="I353" s="179"/>
      <c r="J353" s="183"/>
      <c r="K353" s="192" t="s">
        <v>68</v>
      </c>
      <c r="L353" s="173" t="s">
        <v>456</v>
      </c>
      <c r="M353" s="183"/>
      <c r="N353" s="183"/>
      <c r="O353" s="172">
        <v>237.12</v>
      </c>
      <c r="P353" s="172">
        <v>238.7</v>
      </c>
      <c r="Q353" s="172">
        <v>247.26</v>
      </c>
      <c r="R353" s="193">
        <v>238.68</v>
      </c>
      <c r="S353" s="510">
        <v>237.12</v>
      </c>
      <c r="T353" s="553">
        <v>261.3</v>
      </c>
      <c r="U353" s="175"/>
      <c r="V353" s="176">
        <v>200</v>
      </c>
      <c r="W353" s="194"/>
      <c r="X353" s="209" t="s">
        <v>70</v>
      </c>
      <c r="Y353" s="177" t="s">
        <v>141</v>
      </c>
      <c r="Z353" s="178" t="s">
        <v>1027</v>
      </c>
      <c r="AA353" s="176" t="s">
        <v>59</v>
      </c>
      <c r="AB353" s="195" t="s">
        <v>65</v>
      </c>
      <c r="AC353" s="179"/>
      <c r="AD353" s="171"/>
      <c r="AE353" s="171"/>
      <c r="AF353" s="171"/>
      <c r="AG353" s="171"/>
      <c r="AH353" s="171"/>
      <c r="AI353" s="174" t="s">
        <v>59</v>
      </c>
      <c r="AJ353" s="170"/>
      <c r="AK353" s="170"/>
      <c r="AL353" s="170"/>
      <c r="AM353" s="170"/>
      <c r="AN353" s="170"/>
      <c r="AO353" s="170"/>
      <c r="AP353" s="170"/>
      <c r="AQ353" s="170"/>
      <c r="AR353" s="170"/>
      <c r="AS353" s="170"/>
      <c r="AT353" s="170"/>
      <c r="AU353" s="170"/>
      <c r="AV353" s="170"/>
      <c r="AW353" s="170"/>
      <c r="AX353" s="170"/>
      <c r="AY353" s="170"/>
      <c r="AZ353" s="180" t="s">
        <v>59</v>
      </c>
      <c r="BA353" s="171">
        <f>(COUNTIF(AJ353:AL353,"*OK*")*3) + (COUNTIF(AM353:AO353,"*OK*")*2) + COUNTIF(AP353:AR353,"*OK*")+COUNTIF(AZ353:AZ353,"SI")*0.5</f>
        <v>0</v>
      </c>
      <c r="BB353" s="171" t="str">
        <f>IF(BA353&lt;0.6,"Demasiado Riesgo",IF(BA353&lt;=5,"Riesgo Medio",IF(BA353&lt;=11,"Riesgo Bajo","Cliente Blindado")))</f>
        <v>Demasiado Riesgo</v>
      </c>
      <c r="BC353" s="171"/>
      <c r="BD353" s="171"/>
      <c r="BE353" s="171">
        <v>0</v>
      </c>
      <c r="BF353" s="171"/>
      <c r="BG353" s="171"/>
      <c r="BH353" s="171"/>
      <c r="BI353" s="171"/>
      <c r="BJ353" s="171"/>
      <c r="BK353" s="171"/>
      <c r="BL353" s="171"/>
      <c r="BM353" s="171"/>
      <c r="BN353" s="171"/>
      <c r="BO353" s="171"/>
      <c r="BP353" s="171"/>
      <c r="BQ353" s="171"/>
      <c r="BR353" s="171"/>
      <c r="BS353" s="171"/>
      <c r="BT353" s="171"/>
      <c r="BU353" s="171"/>
      <c r="BV353" s="171"/>
      <c r="BW353" s="171"/>
      <c r="BX353" s="171"/>
      <c r="BY353" s="171"/>
      <c r="BZ353" s="171"/>
      <c r="CA353" s="171">
        <f>COUNTIF(AJ353:AX353,"*OK*")</f>
        <v>0</v>
      </c>
      <c r="CB353" s="171"/>
      <c r="CC353" s="171">
        <f>COUNTIF(AJ353:AX353,"*OP*")</f>
        <v>0</v>
      </c>
    </row>
    <row r="354" spans="1:81" ht="15" customHeight="1">
      <c r="A354" s="241">
        <v>32765</v>
      </c>
      <c r="B354" s="160"/>
      <c r="C354" s="468">
        <f>T354</f>
        <v>266.58</v>
      </c>
      <c r="D354" s="160">
        <f>COUNTIF(AJ354:AX354,"*OK*")</f>
        <v>0</v>
      </c>
      <c r="E354" s="160"/>
      <c r="F354" s="182" t="s">
        <v>1028</v>
      </c>
      <c r="G354" s="182"/>
      <c r="H354" s="168" t="s">
        <v>455</v>
      </c>
      <c r="I354" s="168"/>
      <c r="J354" s="182"/>
      <c r="K354" s="182" t="s">
        <v>68</v>
      </c>
      <c r="L354" s="173" t="s">
        <v>456</v>
      </c>
      <c r="M354" s="182"/>
      <c r="N354" s="182" t="s">
        <v>136</v>
      </c>
      <c r="O354" s="161">
        <v>96.22</v>
      </c>
      <c r="P354" s="161">
        <v>75.099999999999994</v>
      </c>
      <c r="Q354" s="161">
        <v>65.849999999999994</v>
      </c>
      <c r="R354" s="186">
        <v>141.84</v>
      </c>
      <c r="S354" s="510">
        <v>239.5882</v>
      </c>
      <c r="T354" s="554">
        <v>266.58</v>
      </c>
      <c r="U354" s="164"/>
      <c r="V354" s="165">
        <v>100</v>
      </c>
      <c r="W354" s="187"/>
      <c r="X354" s="208" t="s">
        <v>70</v>
      </c>
      <c r="Y354" s="166" t="s">
        <v>162</v>
      </c>
      <c r="Z354" s="167" t="s">
        <v>1029</v>
      </c>
      <c r="AA354" s="165" t="s">
        <v>162</v>
      </c>
      <c r="AB354" s="167" t="s">
        <v>240</v>
      </c>
      <c r="AC354" s="168"/>
      <c r="AD354" s="160"/>
      <c r="AE354" s="160"/>
      <c r="AF354" s="160"/>
      <c r="AG354" s="160"/>
      <c r="AH354" s="160"/>
      <c r="AI354" s="163" t="s">
        <v>59</v>
      </c>
      <c r="AJ354" s="170"/>
      <c r="AK354" s="170"/>
      <c r="AL354" s="170"/>
      <c r="AM354" s="170"/>
      <c r="AN354" s="170"/>
      <c r="AO354" s="170"/>
      <c r="AP354" s="170"/>
      <c r="AQ354" s="170"/>
      <c r="AR354" s="170"/>
      <c r="AS354" s="170"/>
      <c r="AT354" s="170"/>
      <c r="AU354" s="170"/>
      <c r="AV354" s="170"/>
      <c r="AW354" s="170"/>
      <c r="AX354" s="170"/>
      <c r="AY354" s="170"/>
      <c r="AZ354" s="169" t="s">
        <v>59</v>
      </c>
      <c r="BA354" s="160">
        <f>(COUNTIF(AJ354:AL354,"*OK*")*3) + (COUNTIF(AM354:AO354,"*OK*")*2) + COUNTIF(AP354:AR354,"*OK*")+COUNTIF(AZ354:AZ354,"SI")*0.5</f>
        <v>0</v>
      </c>
      <c r="BB354" s="160" t="str">
        <f>IF(BA354&lt;0.6,"Demasiado Riesgo",IF(BA354&lt;=5,"Riesgo Medio",IF(BA354&lt;=11,"Riesgo Bajo","Cliente Blindado")))</f>
        <v>Demasiado Riesgo</v>
      </c>
      <c r="BC354" s="160"/>
      <c r="BD354" s="160"/>
      <c r="BE354" s="160">
        <v>0</v>
      </c>
      <c r="BF354" s="160"/>
      <c r="BG354" s="160"/>
      <c r="BH354" s="160"/>
      <c r="BI354" s="160"/>
      <c r="BJ354" s="160"/>
      <c r="BK354" s="160"/>
      <c r="BL354" s="160"/>
      <c r="BM354" s="160"/>
      <c r="BN354" s="160"/>
      <c r="BO354" s="160"/>
      <c r="BP354" s="160"/>
      <c r="BQ354" s="160"/>
      <c r="BR354" s="160"/>
      <c r="BS354" s="160"/>
      <c r="BT354" s="160"/>
      <c r="BU354" s="160"/>
      <c r="BV354" s="160"/>
      <c r="BW354" s="160"/>
      <c r="BX354" s="160"/>
      <c r="BY354" s="160"/>
      <c r="BZ354" s="160"/>
      <c r="CA354" s="160">
        <f>COUNTIF(AJ354:AX354,"*OK*")</f>
        <v>0</v>
      </c>
      <c r="CB354" s="160"/>
      <c r="CC354" s="160">
        <f>COUNTIF(AJ354:AX354,"*OP*")</f>
        <v>0</v>
      </c>
    </row>
    <row r="355" spans="1:81" ht="15" customHeight="1">
      <c r="A355" s="240"/>
      <c r="B355" s="171"/>
      <c r="C355" s="468">
        <f>T355</f>
        <v>269.79000000000002</v>
      </c>
      <c r="D355" s="171">
        <f>COUNTIF(AJ355:AX355,"*OK*")</f>
        <v>0</v>
      </c>
      <c r="E355" s="171"/>
      <c r="F355" s="183" t="s">
        <v>1030</v>
      </c>
      <c r="G355" s="183"/>
      <c r="H355" s="168" t="s">
        <v>455</v>
      </c>
      <c r="I355" s="179"/>
      <c r="J355" s="183"/>
      <c r="K355" s="183" t="s">
        <v>68</v>
      </c>
      <c r="L355" s="173" t="s">
        <v>456</v>
      </c>
      <c r="M355" s="183"/>
      <c r="N355" s="183"/>
      <c r="O355" s="172">
        <v>160.09</v>
      </c>
      <c r="P355" s="172">
        <v>159.94</v>
      </c>
      <c r="Q355" s="172">
        <v>178.88</v>
      </c>
      <c r="R355" s="193">
        <v>183.34</v>
      </c>
      <c r="S355" s="510">
        <v>202.9348</v>
      </c>
      <c r="T355" s="554">
        <v>269.79000000000002</v>
      </c>
      <c r="U355" s="175"/>
      <c r="V355" s="176">
        <v>300</v>
      </c>
      <c r="W355" s="194"/>
      <c r="X355" s="211" t="s">
        <v>70</v>
      </c>
      <c r="Y355" s="177" t="s">
        <v>95</v>
      </c>
      <c r="Z355" s="178" t="s">
        <v>1031</v>
      </c>
      <c r="AA355" s="176" t="s">
        <v>59</v>
      </c>
      <c r="AB355" s="195" t="s">
        <v>65</v>
      </c>
      <c r="AC355" s="179"/>
      <c r="AD355" s="171"/>
      <c r="AE355" s="171"/>
      <c r="AF355" s="171"/>
      <c r="AG355" s="171"/>
      <c r="AH355" s="171"/>
      <c r="AI355" s="174" t="s">
        <v>59</v>
      </c>
      <c r="AJ355" s="170"/>
      <c r="AK355" s="170"/>
      <c r="AL355" s="170"/>
      <c r="AM355" s="170"/>
      <c r="AN355" s="170"/>
      <c r="AO355" s="170"/>
      <c r="AP355" s="170"/>
      <c r="AQ355" s="170"/>
      <c r="AR355" s="170"/>
      <c r="AS355" s="170"/>
      <c r="AT355" s="170"/>
      <c r="AU355" s="170"/>
      <c r="AV355" s="170"/>
      <c r="AW355" s="170"/>
      <c r="AX355" s="170"/>
      <c r="AY355" s="170"/>
      <c r="AZ355" s="180" t="s">
        <v>59</v>
      </c>
      <c r="BA355" s="171">
        <f>(COUNTIF(AJ355:AL355,"*OK*")*3) + (COUNTIF(AM355:AO355,"*OK*")*2) + COUNTIF(AP355:AR355,"*OK*")+COUNTIF(AZ355:AZ355,"SI")*0.5</f>
        <v>0</v>
      </c>
      <c r="BB355" s="171" t="str">
        <f>IF(BA355&lt;0.6,"Demasiado Riesgo",IF(BA355&lt;=5,"Riesgo Medio",IF(BA355&lt;=11,"Riesgo Bajo","Cliente Blindado")))</f>
        <v>Demasiado Riesgo</v>
      </c>
      <c r="BC355" s="171"/>
      <c r="BD355" s="171"/>
      <c r="BE355" s="171">
        <v>0</v>
      </c>
      <c r="BF355" s="171"/>
      <c r="BG355" s="171"/>
      <c r="BH355" s="171"/>
      <c r="BI355" s="171"/>
      <c r="BJ355" s="171"/>
      <c r="BK355" s="171"/>
      <c r="BL355" s="171"/>
      <c r="BM355" s="171"/>
      <c r="BN355" s="171"/>
      <c r="BO355" s="171"/>
      <c r="BP355" s="171"/>
      <c r="BQ355" s="171"/>
      <c r="BR355" s="171"/>
      <c r="BS355" s="171"/>
      <c r="BT355" s="171"/>
      <c r="BU355" s="171"/>
      <c r="BV355" s="171"/>
      <c r="BW355" s="171"/>
      <c r="BX355" s="171"/>
      <c r="BY355" s="171"/>
      <c r="BZ355" s="171"/>
      <c r="CA355" s="171">
        <f>COUNTIF(AJ355:AX355,"*OK*")</f>
        <v>0</v>
      </c>
      <c r="CB355" s="171"/>
      <c r="CC355" s="171">
        <f>COUNTIF(AJ355:AX355,"*OP*")</f>
        <v>0</v>
      </c>
    </row>
    <row r="356" spans="1:81" ht="15" customHeight="1">
      <c r="A356" s="241">
        <v>35975</v>
      </c>
      <c r="B356" s="160"/>
      <c r="C356" s="468">
        <f>T356</f>
        <v>273.12</v>
      </c>
      <c r="D356" s="160">
        <f>COUNTIF(AJ356:AX356,"*OK*")</f>
        <v>0</v>
      </c>
      <c r="E356" s="160"/>
      <c r="F356" s="182" t="s">
        <v>1032</v>
      </c>
      <c r="G356" s="182"/>
      <c r="H356" s="168" t="s">
        <v>455</v>
      </c>
      <c r="I356" s="168"/>
      <c r="J356" s="182"/>
      <c r="K356" s="185" t="s">
        <v>68</v>
      </c>
      <c r="L356" s="173" t="s">
        <v>456</v>
      </c>
      <c r="M356" s="182"/>
      <c r="N356" s="182"/>
      <c r="O356" s="161"/>
      <c r="P356" s="161">
        <v>272.37</v>
      </c>
      <c r="Q356" s="161">
        <v>270.61</v>
      </c>
      <c r="R356" s="186">
        <v>270.2</v>
      </c>
      <c r="S356" s="510">
        <v>278.45659999999998</v>
      </c>
      <c r="T356" s="550">
        <v>273.12</v>
      </c>
      <c r="U356" s="164"/>
      <c r="V356" s="165">
        <v>150</v>
      </c>
      <c r="W356" s="187"/>
      <c r="X356" s="207" t="s">
        <v>70</v>
      </c>
      <c r="Y356" s="166" t="s">
        <v>80</v>
      </c>
      <c r="Z356" s="167" t="s">
        <v>1033</v>
      </c>
      <c r="AA356" s="165" t="s">
        <v>59</v>
      </c>
      <c r="AB356" s="188" t="s">
        <v>65</v>
      </c>
      <c r="AC356" s="168"/>
      <c r="AD356" s="160"/>
      <c r="AE356" s="160"/>
      <c r="AF356" s="160"/>
      <c r="AG356" s="160"/>
      <c r="AH356" s="160"/>
      <c r="AI356" s="163" t="s">
        <v>59</v>
      </c>
      <c r="AJ356" s="170"/>
      <c r="AK356" s="170"/>
      <c r="AL356" s="170"/>
      <c r="AM356" s="170"/>
      <c r="AN356" s="170"/>
      <c r="AO356" s="170"/>
      <c r="AP356" s="170"/>
      <c r="AQ356" s="170"/>
      <c r="AR356" s="170"/>
      <c r="AS356" s="170"/>
      <c r="AT356" s="170"/>
      <c r="AU356" s="170"/>
      <c r="AV356" s="170"/>
      <c r="AW356" s="170"/>
      <c r="AX356" s="170"/>
      <c r="AY356" s="170"/>
      <c r="AZ356" s="169" t="s">
        <v>59</v>
      </c>
      <c r="BA356" s="160">
        <f>(COUNTIF(AJ356:AL356,"*OK*")*3) + (COUNTIF(AM356:AO356,"*OK*")*2) + COUNTIF(AP356:AR356,"*OK*")+COUNTIF(AZ356:AZ356,"SI")*0.5</f>
        <v>0</v>
      </c>
      <c r="BB356" s="160" t="str">
        <f>IF(BA356&lt;0.6,"Demasiado Riesgo",IF(BA356&lt;=5,"Riesgo Medio",IF(BA356&lt;=11,"Riesgo Bajo","Cliente Blindado")))</f>
        <v>Demasiado Riesgo</v>
      </c>
      <c r="BC356" s="160"/>
      <c r="BD356" s="160"/>
      <c r="BE356" s="160">
        <v>0</v>
      </c>
      <c r="BF356" s="160"/>
      <c r="BG356" s="160"/>
      <c r="BH356" s="160"/>
      <c r="BI356" s="160"/>
      <c r="BJ356" s="160"/>
      <c r="BK356" s="160"/>
      <c r="BL356" s="160"/>
      <c r="BM356" s="160"/>
      <c r="BN356" s="160"/>
      <c r="BO356" s="160"/>
      <c r="BP356" s="160"/>
      <c r="BQ356" s="160"/>
      <c r="BR356" s="160"/>
      <c r="BS356" s="160"/>
      <c r="BT356" s="160"/>
      <c r="BU356" s="160"/>
      <c r="BV356" s="160"/>
      <c r="BW356" s="160"/>
      <c r="BX356" s="160"/>
      <c r="BY356" s="160"/>
      <c r="BZ356" s="160"/>
      <c r="CA356" s="160">
        <f>COUNTIF(AJ356:AX356,"*OK*")</f>
        <v>0</v>
      </c>
      <c r="CB356" s="160"/>
      <c r="CC356" s="160">
        <f>COUNTIF(AJ356:AX356,"*OP*")</f>
        <v>0</v>
      </c>
    </row>
    <row r="357" spans="1:81" ht="15" customHeight="1">
      <c r="A357" s="241"/>
      <c r="B357" s="160"/>
      <c r="C357" s="468">
        <f>T357</f>
        <v>278.83</v>
      </c>
      <c r="D357" s="160">
        <f>COUNTIF(AN357:AY357,"OK")</f>
        <v>0</v>
      </c>
      <c r="E357" s="160"/>
      <c r="F357" s="160" t="s">
        <v>1034</v>
      </c>
      <c r="G357" s="160"/>
      <c r="H357" s="168" t="s">
        <v>455</v>
      </c>
      <c r="I357" s="168"/>
      <c r="J357" s="160"/>
      <c r="K357" s="220" t="s">
        <v>68</v>
      </c>
      <c r="L357" s="173" t="s">
        <v>456</v>
      </c>
      <c r="M357" s="160"/>
      <c r="N357" s="160"/>
      <c r="O357" s="161"/>
      <c r="P357" s="161"/>
      <c r="Q357" s="161"/>
      <c r="R357" s="186">
        <v>262.21879999999999</v>
      </c>
      <c r="S357" s="510">
        <v>295.78789999999998</v>
      </c>
      <c r="T357" s="549">
        <v>278.83</v>
      </c>
      <c r="U357" s="164"/>
      <c r="V357" s="165" t="s">
        <v>59</v>
      </c>
      <c r="W357" s="160"/>
      <c r="X357" s="166"/>
      <c r="Y357" s="166"/>
      <c r="Z357" s="167"/>
      <c r="AA357" s="163" t="s">
        <v>59</v>
      </c>
      <c r="AB357" s="167"/>
      <c r="AC357" s="168"/>
      <c r="AD357" s="160"/>
      <c r="AE357" s="160"/>
      <c r="AF357" s="160"/>
      <c r="AG357" s="160"/>
      <c r="AH357" s="160"/>
      <c r="AI357" s="542"/>
      <c r="AJ357" s="543"/>
      <c r="AK357" s="543"/>
      <c r="AL357" s="543"/>
      <c r="AM357" s="543"/>
      <c r="AN357" s="543"/>
      <c r="AO357" s="543"/>
      <c r="AP357" s="543"/>
      <c r="AQ357" s="543"/>
      <c r="AR357" s="543"/>
      <c r="AS357" s="543"/>
      <c r="AT357" s="543"/>
      <c r="AU357" s="543"/>
      <c r="AV357" s="543"/>
      <c r="AW357" s="543"/>
      <c r="AX357" s="543"/>
      <c r="AY357" s="543"/>
      <c r="AZ357" s="547"/>
      <c r="BA357" s="160">
        <f>(COUNTIF(AJ357:AL357,"*OK*")*3) + (COUNTIF(AM357:AO357,"*OK*")*2) + COUNTIF(AP357:AR357,"*OK*")+COUNTIF(AZ357:AZ357,"SI")*0.5</f>
        <v>0</v>
      </c>
      <c r="BB357" s="160" t="str">
        <f>IF(BA357&lt;0.6,"Demasiado Riesgo",IF(BA357&lt;=5,"Riesgo Medio",IF(BA357&lt;=11,"Riesgo Bajo","Cliente Blindado")))</f>
        <v>Demasiado Riesgo</v>
      </c>
      <c r="BC357" s="160"/>
      <c r="BD357" s="160"/>
      <c r="BE357" s="160"/>
      <c r="BF357" s="160"/>
      <c r="BG357" s="160"/>
      <c r="BH357" s="160"/>
      <c r="BI357" s="160"/>
      <c r="BJ357" s="160"/>
      <c r="BK357" s="160"/>
      <c r="BL357" s="160"/>
      <c r="BM357" s="160"/>
      <c r="BN357" s="160"/>
      <c r="BO357" s="160"/>
      <c r="BP357" s="160"/>
      <c r="BQ357" s="160"/>
      <c r="BR357" s="160"/>
      <c r="BS357" s="160"/>
      <c r="BT357" s="160"/>
      <c r="BU357" s="160"/>
      <c r="BV357" s="160"/>
      <c r="BW357" s="160"/>
      <c r="BX357" s="160"/>
      <c r="BY357" s="160"/>
      <c r="BZ357" s="160"/>
      <c r="CA357" s="160">
        <f>COUNTIF(AJ357:AX357,"*OK*")</f>
        <v>0</v>
      </c>
    </row>
    <row r="358" spans="1:81" ht="15" customHeight="1">
      <c r="A358" s="240"/>
      <c r="B358" s="171"/>
      <c r="C358" s="468">
        <f>T358</f>
        <v>289.97000000000003</v>
      </c>
      <c r="D358" s="171">
        <f>COUNTIF(AN358:AY358,"OK")</f>
        <v>0</v>
      </c>
      <c r="E358" s="171"/>
      <c r="F358" s="171" t="s">
        <v>1035</v>
      </c>
      <c r="G358" s="171"/>
      <c r="H358" s="168" t="s">
        <v>455</v>
      </c>
      <c r="I358" s="179"/>
      <c r="J358" s="171"/>
      <c r="K358" s="236" t="s">
        <v>68</v>
      </c>
      <c r="L358" s="173" t="s">
        <v>456</v>
      </c>
      <c r="M358" s="171"/>
      <c r="N358" s="171"/>
      <c r="O358" s="161"/>
      <c r="P358" s="161"/>
      <c r="Q358" s="161"/>
      <c r="R358" s="186"/>
      <c r="S358" s="510">
        <v>293.18819999999999</v>
      </c>
      <c r="T358" s="552">
        <v>289.97000000000003</v>
      </c>
      <c r="U358" s="175"/>
      <c r="V358" s="176" t="s">
        <v>59</v>
      </c>
      <c r="W358" s="171"/>
      <c r="X358" s="177"/>
      <c r="Y358" s="177"/>
      <c r="Z358" s="178"/>
      <c r="AA358" s="174" t="s">
        <v>59</v>
      </c>
      <c r="AB358" s="178"/>
      <c r="AC358" s="179"/>
      <c r="AD358" s="171"/>
      <c r="AE358" s="171"/>
      <c r="AF358" s="171"/>
      <c r="AG358" s="171"/>
      <c r="AH358" s="171"/>
      <c r="AI358" s="539"/>
      <c r="AJ358" s="170"/>
      <c r="AK358" s="170"/>
      <c r="AL358" s="170"/>
      <c r="AM358" s="170"/>
      <c r="AN358" s="170"/>
      <c r="AO358" s="170"/>
      <c r="AP358" s="170"/>
      <c r="AQ358" s="170"/>
      <c r="AR358" s="170"/>
      <c r="AS358" s="170"/>
      <c r="AT358" s="170"/>
      <c r="AU358" s="170"/>
      <c r="AV358" s="170"/>
      <c r="AW358" s="170"/>
      <c r="AX358" s="170"/>
      <c r="AY358" s="170"/>
      <c r="AZ358" s="180" t="s">
        <v>59</v>
      </c>
      <c r="BA358" s="171">
        <f>(COUNTIF(AJ358:AL358,"*OK*")*3) + (COUNTIF(AM358:AO358,"*OK*")*2) + COUNTIF(AP358:AR358,"*OK*")+COUNTIF(AZ358:AZ358,"SI")*0.5</f>
        <v>0</v>
      </c>
      <c r="BB358" s="171" t="str">
        <f>IF(BA358&lt;0.6,"Demasiado Riesgo",IF(BA358&lt;=5,"Riesgo Medio",IF(BA358&lt;=11,"Riesgo Bajo","Cliente Blindado")))</f>
        <v>Demasiado Riesgo</v>
      </c>
      <c r="BC358" s="171"/>
      <c r="BD358" s="171"/>
      <c r="BE358" s="171"/>
      <c r="BF358" s="171"/>
      <c r="BG358" s="171"/>
      <c r="BH358" s="171"/>
      <c r="BI358" s="171"/>
      <c r="BJ358" s="171"/>
      <c r="BK358" s="171"/>
      <c r="BL358" s="171"/>
      <c r="BM358" s="171"/>
      <c r="BN358" s="171"/>
      <c r="BO358" s="171"/>
      <c r="BP358" s="171"/>
      <c r="BQ358" s="171"/>
      <c r="BR358" s="171"/>
      <c r="BS358" s="171"/>
      <c r="BT358" s="171"/>
      <c r="BU358" s="171"/>
      <c r="BV358" s="171"/>
      <c r="BW358" s="171"/>
      <c r="BX358" s="171"/>
      <c r="BY358" s="171"/>
      <c r="BZ358" s="171"/>
      <c r="CA358" s="171">
        <f>COUNTIF(AJ358:AX358,"*OK*")</f>
        <v>0</v>
      </c>
      <c r="CB358" s="171"/>
      <c r="CC358" s="171">
        <f>COUNTIF(AJ358:AX358,"*OP*")</f>
        <v>0</v>
      </c>
    </row>
    <row r="359" spans="1:81" ht="15" hidden="1" customHeight="1">
      <c r="A359" s="241"/>
      <c r="B359" s="160"/>
      <c r="C359" s="468">
        <f>T359</f>
        <v>302.83</v>
      </c>
      <c r="D359" s="160">
        <f>COUNTIF(AN359:AY359,"OK")</f>
        <v>0</v>
      </c>
      <c r="E359" s="160"/>
      <c r="F359" s="160" t="s">
        <v>1036</v>
      </c>
      <c r="G359" s="160"/>
      <c r="H359" s="168" t="s">
        <v>445</v>
      </c>
      <c r="I359" s="168"/>
      <c r="J359" s="160"/>
      <c r="K359" s="220" t="s">
        <v>1037</v>
      </c>
      <c r="L359" s="171" t="s">
        <v>768</v>
      </c>
      <c r="M359" s="160"/>
      <c r="N359" s="160"/>
      <c r="O359" s="161"/>
      <c r="P359" s="161"/>
      <c r="Q359" s="161"/>
      <c r="R359" s="186"/>
      <c r="S359" s="510">
        <v>577.71079999999995</v>
      </c>
      <c r="T359" s="558">
        <v>302.83</v>
      </c>
      <c r="U359" s="164"/>
      <c r="V359" s="165" t="s">
        <v>59</v>
      </c>
      <c r="W359" s="160"/>
      <c r="X359" s="166"/>
      <c r="Y359" s="166"/>
      <c r="Z359" s="167"/>
      <c r="AA359" s="163" t="s">
        <v>59</v>
      </c>
      <c r="AB359" s="167"/>
      <c r="AC359" s="168"/>
      <c r="AD359" s="160"/>
      <c r="AE359" s="160"/>
      <c r="AF359" s="160"/>
      <c r="AG359" s="160"/>
      <c r="AH359" s="160"/>
      <c r="AI359" s="163"/>
      <c r="AJ359" s="170"/>
      <c r="AK359" s="170"/>
      <c r="AL359" s="170"/>
      <c r="AM359" s="170"/>
      <c r="AN359" s="170"/>
      <c r="AO359" s="170"/>
      <c r="AP359" s="170"/>
      <c r="AQ359" s="170"/>
      <c r="AR359" s="170"/>
      <c r="AS359" s="170"/>
      <c r="AT359" s="170"/>
      <c r="AU359" s="170"/>
      <c r="AV359" s="170"/>
      <c r="AW359" s="170"/>
      <c r="AX359" s="170"/>
      <c r="AY359" s="170"/>
      <c r="AZ359" s="169" t="s">
        <v>59</v>
      </c>
      <c r="BA359" s="160">
        <f>(COUNTIF(AJ359:AL359,"*OK*")*3) + (COUNTIF(AM359:AO359,"*OK*")*2) + COUNTIF(AP359:AR359,"*OK*")+COUNTIF(AZ359:AZ359,"SI")*0.5</f>
        <v>0</v>
      </c>
      <c r="BB359" s="160" t="str">
        <f>IF(BA359&lt;0.6,"Demasiado Riesgo",IF(BA359&lt;=5,"Riesgo Medio",IF(BA359&lt;=11,"Riesgo Bajo","Cliente Blindado")))</f>
        <v>Demasiado Riesgo</v>
      </c>
      <c r="BC359" s="160"/>
      <c r="BD359" s="160"/>
      <c r="BE359" s="160"/>
      <c r="BF359" s="160"/>
      <c r="BG359" s="160"/>
      <c r="BH359" s="160"/>
      <c r="BI359" s="160"/>
      <c r="BJ359" s="160"/>
      <c r="BK359" s="160"/>
      <c r="BL359" s="160"/>
      <c r="BM359" s="160"/>
      <c r="BN359" s="160"/>
      <c r="BO359" s="160"/>
      <c r="BP359" s="160"/>
      <c r="BQ359" s="160"/>
      <c r="BR359" s="160"/>
      <c r="BS359" s="160"/>
      <c r="BT359" s="160"/>
      <c r="BU359" s="160"/>
      <c r="BV359" s="160"/>
      <c r="BW359" s="160"/>
      <c r="BX359" s="160"/>
      <c r="BY359" s="160"/>
      <c r="BZ359" s="160"/>
      <c r="CA359" s="160">
        <f>COUNTIF(AJ359:AX359,"*OK*")</f>
        <v>0</v>
      </c>
      <c r="CB359" s="160"/>
      <c r="CC359" s="160">
        <f>COUNTIF(AJ359:AX359,"*OP*")</f>
        <v>0</v>
      </c>
    </row>
    <row r="360" spans="1:81" ht="15" customHeight="1">
      <c r="A360" s="241"/>
      <c r="B360" s="160"/>
      <c r="C360" s="468">
        <f>T360</f>
        <v>303.45999999999998</v>
      </c>
      <c r="D360" s="160">
        <f>COUNTIF(AN360:AY360,"OK")</f>
        <v>0</v>
      </c>
      <c r="E360" s="160"/>
      <c r="F360" s="160" t="s">
        <v>1038</v>
      </c>
      <c r="G360" s="160"/>
      <c r="H360" s="168" t="s">
        <v>455</v>
      </c>
      <c r="I360" s="168"/>
      <c r="J360" s="160"/>
      <c r="K360" s="220" t="s">
        <v>68</v>
      </c>
      <c r="L360" s="173" t="s">
        <v>456</v>
      </c>
      <c r="M360" s="160"/>
      <c r="N360" s="160"/>
      <c r="O360" s="161"/>
      <c r="P360" s="161"/>
      <c r="Q360" s="161"/>
      <c r="R360" s="186">
        <v>321.5</v>
      </c>
      <c r="S360" s="510">
        <v>301.39170000000001</v>
      </c>
      <c r="T360" s="559">
        <v>303.45999999999998</v>
      </c>
      <c r="U360" s="164"/>
      <c r="V360" s="165" t="s">
        <v>59</v>
      </c>
      <c r="W360" s="160"/>
      <c r="X360" s="166"/>
      <c r="Y360" s="166"/>
      <c r="Z360" s="167"/>
      <c r="AA360" s="163" t="s">
        <v>59</v>
      </c>
      <c r="AB360" s="167"/>
      <c r="AC360" s="168"/>
      <c r="AD360" s="160"/>
      <c r="AE360" s="160"/>
      <c r="AF360" s="160"/>
      <c r="AG360" s="160"/>
      <c r="AH360" s="160"/>
      <c r="AI360" s="163"/>
      <c r="AJ360" s="170"/>
      <c r="AK360" s="170"/>
      <c r="AL360" s="170"/>
      <c r="AM360" s="170"/>
      <c r="AN360" s="170"/>
      <c r="AO360" s="170"/>
      <c r="AP360" s="170"/>
      <c r="AQ360" s="170"/>
      <c r="AR360" s="170"/>
      <c r="AS360" s="170"/>
      <c r="AT360" s="170"/>
      <c r="AU360" s="170"/>
      <c r="AV360" s="170"/>
      <c r="AW360" s="170"/>
      <c r="AX360" s="170"/>
      <c r="AY360" s="170"/>
      <c r="AZ360" s="169" t="s">
        <v>59</v>
      </c>
      <c r="BA360" s="160">
        <f>(COUNTIF(AJ360:AL360,"*OK*")*3) + (COUNTIF(AM360:AO360,"*OK*")*2) + COUNTIF(AP360:AR360,"*OK*")+COUNTIF(AZ360:AZ360,"SI")*0.5</f>
        <v>0</v>
      </c>
      <c r="BB360" s="160" t="str">
        <f>IF(BA360&lt;0.6,"Demasiado Riesgo",IF(BA360&lt;=5,"Riesgo Medio",IF(BA360&lt;=11,"Riesgo Bajo","Cliente Blindado")))</f>
        <v>Demasiado Riesgo</v>
      </c>
      <c r="BC360" s="160"/>
      <c r="BD360" s="160"/>
      <c r="BE360" s="160"/>
      <c r="BF360" s="160"/>
      <c r="BG360" s="160"/>
      <c r="BH360" s="160"/>
      <c r="BI360" s="160"/>
      <c r="BJ360" s="160"/>
      <c r="BK360" s="160"/>
      <c r="BL360" s="160"/>
      <c r="BM360" s="160"/>
      <c r="BN360" s="160"/>
      <c r="BO360" s="160"/>
      <c r="BP360" s="160"/>
      <c r="BQ360" s="160"/>
      <c r="BR360" s="160"/>
      <c r="BS360" s="160"/>
      <c r="BT360" s="160"/>
      <c r="BU360" s="160"/>
      <c r="BV360" s="160"/>
      <c r="BW360" s="160"/>
      <c r="BX360" s="160"/>
      <c r="BY360" s="160"/>
      <c r="BZ360" s="160"/>
      <c r="CA360" s="160">
        <f>COUNTIF(AJ360:AX360,"*OK*")</f>
        <v>0</v>
      </c>
      <c r="CB360" s="160"/>
      <c r="CC360" s="160">
        <f>COUNTIF(AJ360:AX360,"*OP*")</f>
        <v>0</v>
      </c>
    </row>
    <row r="361" spans="1:81" ht="15" customHeight="1">
      <c r="A361" s="500">
        <v>30860</v>
      </c>
      <c r="B361" s="173"/>
      <c r="C361" s="468">
        <f>T361</f>
        <v>310</v>
      </c>
      <c r="D361" s="171">
        <f>COUNTIF(AJ361:AX361,"*OK*")</f>
        <v>0</v>
      </c>
      <c r="E361" s="171"/>
      <c r="F361" s="183" t="s">
        <v>1039</v>
      </c>
      <c r="G361" s="183"/>
      <c r="H361" s="168" t="s">
        <v>455</v>
      </c>
      <c r="I361" s="179"/>
      <c r="J361" s="183"/>
      <c r="K361" s="202" t="s">
        <v>68</v>
      </c>
      <c r="L361" s="173" t="s">
        <v>456</v>
      </c>
      <c r="M361" s="183"/>
      <c r="N361" s="183"/>
      <c r="O361" s="172">
        <v>302</v>
      </c>
      <c r="P361" s="172">
        <v>298</v>
      </c>
      <c r="Q361" s="172">
        <v>318</v>
      </c>
      <c r="R361" s="193">
        <v>308</v>
      </c>
      <c r="S361" s="510">
        <v>310</v>
      </c>
      <c r="T361" s="551">
        <v>310</v>
      </c>
      <c r="U361" s="175"/>
      <c r="V361" s="176">
        <v>400</v>
      </c>
      <c r="W361" s="194"/>
      <c r="X361" s="177" t="s">
        <v>70</v>
      </c>
      <c r="Y361" s="177" t="s">
        <v>141</v>
      </c>
      <c r="Z361" s="178" t="s">
        <v>1040</v>
      </c>
      <c r="AA361" s="176" t="s">
        <v>59</v>
      </c>
      <c r="AB361" s="195" t="s">
        <v>159</v>
      </c>
      <c r="AC361" s="179"/>
      <c r="AD361" s="171"/>
      <c r="AE361" s="171"/>
      <c r="AF361" s="171"/>
      <c r="AG361" s="171"/>
      <c r="AH361" s="171"/>
      <c r="AI361" s="178" t="s">
        <v>59</v>
      </c>
      <c r="AJ361" s="170"/>
      <c r="AK361" s="170"/>
      <c r="AL361" s="170"/>
      <c r="AM361" s="170"/>
      <c r="AN361" s="170"/>
      <c r="AO361" s="545"/>
      <c r="AP361" s="170"/>
      <c r="AQ361" s="170"/>
      <c r="AR361" s="170"/>
      <c r="AS361" s="170"/>
      <c r="AT361" s="170"/>
      <c r="AU361" s="170"/>
      <c r="AV361" s="170"/>
      <c r="AW361" s="170"/>
      <c r="AX361" s="170"/>
      <c r="AY361" s="170"/>
      <c r="AZ361" s="178" t="s">
        <v>59</v>
      </c>
      <c r="BA361" s="171">
        <f>(COUNTIF(AJ361:AL361,"*OK*")*3) + (COUNTIF(AM361:AO361,"*OK*")*2) + COUNTIF(AP361:AR361,"*OK*")+COUNTIF(AZ361:AZ361,"SI")*0.5</f>
        <v>0</v>
      </c>
      <c r="BB361" s="171" t="str">
        <f>IF(BA361&lt;0.6,"Demasiado Riesgo",IF(BA361&lt;=5,"Riesgo Medio",IF(BA361&lt;=11,"Riesgo Bajo","Cliente Blindado")))</f>
        <v>Demasiado Riesgo</v>
      </c>
      <c r="BC361" s="171"/>
      <c r="BD361" s="171"/>
      <c r="BE361" s="171">
        <v>0</v>
      </c>
      <c r="BF361" s="171"/>
      <c r="BG361" s="171"/>
      <c r="BH361" s="171"/>
      <c r="BI361" s="171"/>
      <c r="BJ361" s="171"/>
      <c r="BK361" s="171"/>
      <c r="BL361" s="171"/>
      <c r="BM361" s="171"/>
      <c r="BN361" s="171"/>
      <c r="BO361" s="171"/>
      <c r="BP361" s="171"/>
      <c r="BQ361" s="171"/>
      <c r="BR361" s="171"/>
      <c r="BS361" s="171"/>
      <c r="BT361" s="171"/>
      <c r="BU361" s="171"/>
      <c r="BV361" s="171"/>
      <c r="BW361" s="171"/>
      <c r="BX361" s="171"/>
      <c r="BY361" s="171"/>
      <c r="BZ361" s="171"/>
      <c r="CA361" s="171">
        <f>COUNTIF(AJ361:AX361,"*OK*")</f>
        <v>0</v>
      </c>
      <c r="CB361" s="171"/>
      <c r="CC361" s="171">
        <f>COUNTIF(AJ361:AX361,"*OP*")</f>
        <v>0</v>
      </c>
    </row>
    <row r="362" spans="1:81" ht="15" customHeight="1">
      <c r="A362" s="241">
        <v>17845</v>
      </c>
      <c r="B362" s="160"/>
      <c r="C362" s="468">
        <f>T362</f>
        <v>318.02999999999997</v>
      </c>
      <c r="D362" s="160">
        <f>COUNTIF(AJ362:AX362,"*OK*")</f>
        <v>0</v>
      </c>
      <c r="E362" s="160"/>
      <c r="F362" s="182" t="s">
        <v>1041</v>
      </c>
      <c r="G362" s="182"/>
      <c r="H362" s="168" t="s">
        <v>455</v>
      </c>
      <c r="I362" s="168"/>
      <c r="J362" s="182"/>
      <c r="K362" s="182" t="s">
        <v>68</v>
      </c>
      <c r="L362" s="173" t="s">
        <v>456</v>
      </c>
      <c r="M362" s="182"/>
      <c r="N362" s="182"/>
      <c r="O362" s="161">
        <v>213.94</v>
      </c>
      <c r="P362" s="161">
        <v>283.69</v>
      </c>
      <c r="Q362" s="161">
        <v>296.27999999999997</v>
      </c>
      <c r="R362" s="186">
        <v>313.45999999999998</v>
      </c>
      <c r="S362" s="510">
        <v>317.67849999999999</v>
      </c>
      <c r="T362" s="554">
        <v>318.02999999999997</v>
      </c>
      <c r="U362" s="164"/>
      <c r="V362" s="165">
        <v>150</v>
      </c>
      <c r="W362" s="187"/>
      <c r="X362" s="166" t="s">
        <v>247</v>
      </c>
      <c r="Y362" s="166" t="s">
        <v>80</v>
      </c>
      <c r="Z362" s="167" t="s">
        <v>1042</v>
      </c>
      <c r="AA362" s="165" t="s">
        <v>59</v>
      </c>
      <c r="AB362" s="188" t="s">
        <v>61</v>
      </c>
      <c r="AC362" s="168"/>
      <c r="AD362" s="160"/>
      <c r="AE362" s="160"/>
      <c r="AF362" s="160"/>
      <c r="AG362" s="160"/>
      <c r="AH362" s="160"/>
      <c r="AI362" s="167" t="s">
        <v>59</v>
      </c>
      <c r="AJ362" s="170"/>
      <c r="AK362" s="170"/>
      <c r="AL362" s="170"/>
      <c r="AM362" s="170"/>
      <c r="AN362" s="170"/>
      <c r="AO362" s="170"/>
      <c r="AP362" s="170"/>
      <c r="AQ362" s="545"/>
      <c r="AR362" s="170"/>
      <c r="AS362" s="170"/>
      <c r="AT362" s="170"/>
      <c r="AU362" s="170"/>
      <c r="AV362" s="170"/>
      <c r="AW362" s="170"/>
      <c r="AX362" s="170"/>
      <c r="AY362" s="170"/>
      <c r="AZ362" s="167" t="s">
        <v>59</v>
      </c>
      <c r="BA362" s="160">
        <f>(COUNTIF(AJ362:AL362,"*OK*")*3) + (COUNTIF(AM362:AO362,"*OK*")*2) + COUNTIF(AP362:AR362,"*OK*")+COUNTIF(AZ362:AZ362,"SI")*0.5</f>
        <v>0</v>
      </c>
      <c r="BB362" s="160" t="str">
        <f>IF(BA362&lt;0.6,"Demasiado Riesgo",IF(BA362&lt;=5,"Riesgo Medio",IF(BA362&lt;=11,"Riesgo Bajo","Cliente Blindado")))</f>
        <v>Demasiado Riesgo</v>
      </c>
      <c r="BC362" s="160"/>
      <c r="BD362" s="160"/>
      <c r="BE362" s="160">
        <v>0</v>
      </c>
      <c r="BF362" s="160"/>
      <c r="BG362" s="160"/>
      <c r="BH362" s="160"/>
      <c r="BI362" s="160"/>
      <c r="BJ362" s="160"/>
      <c r="BK362" s="160"/>
      <c r="BL362" s="160"/>
      <c r="BM362" s="160"/>
      <c r="BN362" s="160"/>
      <c r="BO362" s="160"/>
      <c r="BP362" s="160"/>
      <c r="BQ362" s="160"/>
      <c r="BR362" s="160"/>
      <c r="BS362" s="160"/>
      <c r="BT362" s="160"/>
      <c r="BU362" s="160"/>
      <c r="BV362" s="160"/>
      <c r="BW362" s="160"/>
      <c r="BX362" s="160"/>
      <c r="BY362" s="160"/>
      <c r="BZ362" s="160"/>
      <c r="CA362" s="160">
        <f>COUNTIF(AJ362:AX362,"*OK*")</f>
        <v>0</v>
      </c>
      <c r="CB362" s="160"/>
      <c r="CC362" s="160">
        <f>COUNTIF(AJ362:AX362,"*OP*")</f>
        <v>0</v>
      </c>
    </row>
    <row r="363" spans="1:81" ht="15" customHeight="1">
      <c r="A363" s="241">
        <v>36200</v>
      </c>
      <c r="B363" s="160"/>
      <c r="C363" s="468">
        <f>T363</f>
        <v>324.94</v>
      </c>
      <c r="D363" s="160">
        <f>COUNTIF(AJ363:AX363,"*OK*")</f>
        <v>0</v>
      </c>
      <c r="E363" s="160"/>
      <c r="F363" s="182" t="s">
        <v>1043</v>
      </c>
      <c r="G363" s="182"/>
      <c r="H363" s="168" t="s">
        <v>455</v>
      </c>
      <c r="I363" s="168"/>
      <c r="J363" s="182"/>
      <c r="K363" s="185" t="s">
        <v>68</v>
      </c>
      <c r="L363" s="173" t="s">
        <v>456</v>
      </c>
      <c r="M363" s="182"/>
      <c r="N363" s="182"/>
      <c r="O363" s="161"/>
      <c r="P363" s="161"/>
      <c r="Q363" s="161">
        <v>24.3</v>
      </c>
      <c r="R363" s="186">
        <v>25.08</v>
      </c>
      <c r="S363" s="510">
        <v>896.02940000000001</v>
      </c>
      <c r="T363" s="550">
        <v>324.94</v>
      </c>
      <c r="U363" s="164"/>
      <c r="V363" s="165">
        <v>50</v>
      </c>
      <c r="W363" s="187"/>
      <c r="X363" s="207" t="s">
        <v>70</v>
      </c>
      <c r="Y363" s="166" t="s">
        <v>71</v>
      </c>
      <c r="Z363" s="167" t="s">
        <v>1044</v>
      </c>
      <c r="AA363" s="165" t="s">
        <v>71</v>
      </c>
      <c r="AB363" s="188" t="s">
        <v>159</v>
      </c>
      <c r="AC363" s="168"/>
      <c r="AD363" s="160"/>
      <c r="AE363" s="160"/>
      <c r="AF363" s="160"/>
      <c r="AG363" s="160"/>
      <c r="AH363" s="160"/>
      <c r="AI363" s="167" t="s">
        <v>59</v>
      </c>
      <c r="AJ363" s="170"/>
      <c r="AK363" s="170"/>
      <c r="AL363" s="545"/>
      <c r="AM363" s="170"/>
      <c r="AN363" s="170"/>
      <c r="AO363" s="170"/>
      <c r="AP363" s="170"/>
      <c r="AQ363" s="170"/>
      <c r="AR363" s="170"/>
      <c r="AS363" s="170"/>
      <c r="AT363" s="170"/>
      <c r="AU363" s="170"/>
      <c r="AV363" s="170"/>
      <c r="AW363" s="170"/>
      <c r="AX363" s="170"/>
      <c r="AY363" s="170"/>
      <c r="AZ363" s="167" t="s">
        <v>59</v>
      </c>
      <c r="BA363" s="160">
        <f>(COUNTIF(AJ363:AL363,"*OK*")*3) + (COUNTIF(AM363:AO363,"*OK*")*2) + COUNTIF(AP363:AR363,"*OK*")+COUNTIF(AZ363:AZ363,"SI")*0.5</f>
        <v>0</v>
      </c>
      <c r="BB363" s="160" t="str">
        <f>IF(BA363&lt;0.6,"Demasiado Riesgo",IF(BA363&lt;=5,"Riesgo Medio",IF(BA363&lt;=11,"Riesgo Bajo","Cliente Blindado")))</f>
        <v>Demasiado Riesgo</v>
      </c>
      <c r="BC363" s="160"/>
      <c r="BD363" s="160"/>
      <c r="BE363" s="160">
        <v>0</v>
      </c>
      <c r="BF363" s="160"/>
      <c r="BG363" s="160"/>
      <c r="BH363" s="160"/>
      <c r="BI363" s="160"/>
      <c r="BJ363" s="160"/>
      <c r="BK363" s="160"/>
      <c r="BL363" s="160"/>
      <c r="BM363" s="160"/>
      <c r="BN363" s="160"/>
      <c r="BO363" s="160"/>
      <c r="BP363" s="160"/>
      <c r="BQ363" s="160"/>
      <c r="BR363" s="160"/>
      <c r="BS363" s="160"/>
      <c r="BT363" s="160"/>
      <c r="BU363" s="160"/>
      <c r="BV363" s="160"/>
      <c r="BW363" s="160"/>
      <c r="BX363" s="160"/>
      <c r="BY363" s="160"/>
      <c r="BZ363" s="160"/>
      <c r="CA363" s="160">
        <f>COUNTIF(AJ363:AX363,"*OK*")</f>
        <v>0</v>
      </c>
      <c r="CB363" s="160"/>
      <c r="CC363" s="160">
        <f>COUNTIF(AJ363:AX363,"*OP*")</f>
        <v>0</v>
      </c>
    </row>
    <row r="364" spans="1:81" ht="15" customHeight="1">
      <c r="A364" s="241"/>
      <c r="B364" s="160"/>
      <c r="C364" s="468">
        <f>T364</f>
        <v>341.8</v>
      </c>
      <c r="D364" s="160">
        <f>COUNTIF(AJ364:AX364,"*OK*")</f>
        <v>0</v>
      </c>
      <c r="E364" s="160"/>
      <c r="F364" s="182" t="s">
        <v>1045</v>
      </c>
      <c r="G364" s="182"/>
      <c r="H364" s="168" t="s">
        <v>455</v>
      </c>
      <c r="I364" s="168"/>
      <c r="J364" s="182"/>
      <c r="K364" s="185" t="s">
        <v>68</v>
      </c>
      <c r="L364" s="173" t="s">
        <v>456</v>
      </c>
      <c r="M364" s="182"/>
      <c r="N364" s="182"/>
      <c r="O364" s="161"/>
      <c r="P364" s="161"/>
      <c r="Q364" s="161">
        <v>300.98</v>
      </c>
      <c r="R364" s="186">
        <v>329.03</v>
      </c>
      <c r="S364" s="510">
        <v>346.39530000000002</v>
      </c>
      <c r="T364" s="551">
        <v>341.8</v>
      </c>
      <c r="U364" s="164"/>
      <c r="V364" s="165">
        <v>50</v>
      </c>
      <c r="W364" s="187"/>
      <c r="X364" s="207" t="s">
        <v>70</v>
      </c>
      <c r="Y364" s="166" t="s">
        <v>71</v>
      </c>
      <c r="Z364" s="167" t="s">
        <v>1046</v>
      </c>
      <c r="AA364" s="165" t="s">
        <v>59</v>
      </c>
      <c r="AB364" s="188" t="s">
        <v>65</v>
      </c>
      <c r="AC364" s="168"/>
      <c r="AD364" s="160"/>
      <c r="AE364" s="160"/>
      <c r="AF364" s="160"/>
      <c r="AG364" s="160"/>
      <c r="AH364" s="160"/>
      <c r="AI364" s="169" t="s">
        <v>59</v>
      </c>
      <c r="AJ364" s="170"/>
      <c r="AK364" s="170"/>
      <c r="AL364" s="170"/>
      <c r="AM364" s="170"/>
      <c r="AN364" s="170"/>
      <c r="AO364" s="170"/>
      <c r="AP364" s="170"/>
      <c r="AQ364" s="170"/>
      <c r="AR364" s="170"/>
      <c r="AS364" s="170"/>
      <c r="AT364" s="170"/>
      <c r="AU364" s="170"/>
      <c r="AV364" s="170"/>
      <c r="AW364" s="170"/>
      <c r="AX364" s="170"/>
      <c r="AY364" s="170"/>
      <c r="AZ364" s="169" t="s">
        <v>59</v>
      </c>
      <c r="BA364" s="160">
        <f>(COUNTIF(AJ364:AL364,"*OK*")*3) + (COUNTIF(AM364:AO364,"*OK*")*2) + COUNTIF(AP364:AR364,"*OK*")+COUNTIF(AZ364:AZ364,"SI")*0.5</f>
        <v>0</v>
      </c>
      <c r="BB364" s="160" t="str">
        <f>IF(BA364&lt;0.6,"Demasiado Riesgo",IF(BA364&lt;=5,"Riesgo Medio",IF(BA364&lt;=11,"Riesgo Bajo","Cliente Blindado")))</f>
        <v>Demasiado Riesgo</v>
      </c>
      <c r="BC364" s="160"/>
      <c r="BD364" s="160"/>
      <c r="BE364" s="160">
        <v>0</v>
      </c>
      <c r="BF364" s="160"/>
      <c r="BG364" s="160"/>
      <c r="BH364" s="160"/>
      <c r="BI364" s="160"/>
      <c r="BJ364" s="160"/>
      <c r="BK364" s="160"/>
      <c r="BL364" s="160"/>
      <c r="BM364" s="160"/>
      <c r="BN364" s="160"/>
      <c r="BO364" s="160"/>
      <c r="BP364" s="160"/>
      <c r="BQ364" s="160"/>
      <c r="BR364" s="160"/>
      <c r="BS364" s="160"/>
      <c r="BT364" s="160"/>
      <c r="BU364" s="160"/>
      <c r="BV364" s="160"/>
      <c r="BW364" s="160"/>
      <c r="BX364" s="160"/>
      <c r="BY364" s="160"/>
      <c r="BZ364" s="160"/>
      <c r="CA364" s="160">
        <f>COUNTIF(AJ364:AX364,"*OK*")</f>
        <v>0</v>
      </c>
      <c r="CB364" s="160"/>
      <c r="CC364" s="160">
        <f>COUNTIF(AJ364:AX364,"*OP*")</f>
        <v>0</v>
      </c>
    </row>
    <row r="365" spans="1:81" ht="15" customHeight="1">
      <c r="A365" s="240"/>
      <c r="B365" s="171"/>
      <c r="C365" s="468">
        <f>T365</f>
        <v>354.05</v>
      </c>
      <c r="D365" s="171">
        <f>COUNTIF(AJ365:AX365,"*OK*")</f>
        <v>0</v>
      </c>
      <c r="E365" s="171"/>
      <c r="F365" s="183" t="s">
        <v>1047</v>
      </c>
      <c r="G365" s="183"/>
      <c r="H365" s="168" t="s">
        <v>455</v>
      </c>
      <c r="I365" s="179"/>
      <c r="J365" s="183"/>
      <c r="K365" s="192" t="s">
        <v>68</v>
      </c>
      <c r="L365" s="173" t="s">
        <v>456</v>
      </c>
      <c r="M365" s="183"/>
      <c r="N365" s="183"/>
      <c r="O365" s="172">
        <v>359.42</v>
      </c>
      <c r="P365" s="172">
        <v>359.09</v>
      </c>
      <c r="Q365" s="172">
        <v>342.21</v>
      </c>
      <c r="R365" s="193">
        <v>353.23</v>
      </c>
      <c r="S365" s="510">
        <v>357.9785</v>
      </c>
      <c r="T365" s="550">
        <v>354.05</v>
      </c>
      <c r="U365" s="175"/>
      <c r="V365" s="176">
        <v>200</v>
      </c>
      <c r="W365" s="194"/>
      <c r="X365" s="177" t="s">
        <v>70</v>
      </c>
      <c r="Y365" s="177" t="s">
        <v>152</v>
      </c>
      <c r="Z365" s="178" t="s">
        <v>1048</v>
      </c>
      <c r="AA365" s="176" t="s">
        <v>59</v>
      </c>
      <c r="AB365" s="195" t="s">
        <v>104</v>
      </c>
      <c r="AC365" s="179"/>
      <c r="AD365" s="171"/>
      <c r="AE365" s="171"/>
      <c r="AF365" s="171"/>
      <c r="AG365" s="171"/>
      <c r="AH365" s="171"/>
      <c r="AI365" s="174" t="s">
        <v>59</v>
      </c>
      <c r="AJ365" s="170"/>
      <c r="AK365" s="170"/>
      <c r="AL365" s="170"/>
      <c r="AM365" s="170"/>
      <c r="AN365" s="170"/>
      <c r="AO365" s="170"/>
      <c r="AP365" s="170"/>
      <c r="AQ365" s="170"/>
      <c r="AR365" s="170"/>
      <c r="AS365" s="170"/>
      <c r="AT365" s="170"/>
      <c r="AU365" s="170"/>
      <c r="AV365" s="170"/>
      <c r="AW365" s="170"/>
      <c r="AX365" s="170"/>
      <c r="AY365" s="170"/>
      <c r="AZ365" s="180" t="s">
        <v>59</v>
      </c>
      <c r="BA365" s="171">
        <f>(COUNTIF(AJ365:AL365,"*OK*")*3) + (COUNTIF(AM365:AO365,"*OK*")*2) + COUNTIF(AP365:AR365,"*OK*")+COUNTIF(AZ365:AZ365,"SI")*0.5</f>
        <v>0</v>
      </c>
      <c r="BB365" s="171" t="str">
        <f>IF(BA365&lt;0.6,"Demasiado Riesgo",IF(BA365&lt;=5,"Riesgo Medio",IF(BA365&lt;=11,"Riesgo Bajo","Cliente Blindado")))</f>
        <v>Demasiado Riesgo</v>
      </c>
      <c r="BC365" s="171"/>
      <c r="BD365" s="171"/>
      <c r="BE365" s="171">
        <v>0</v>
      </c>
      <c r="BF365" s="171"/>
      <c r="BG365" s="171"/>
      <c r="BH365" s="171"/>
      <c r="BI365" s="171"/>
      <c r="BJ365" s="171"/>
      <c r="BK365" s="171"/>
      <c r="BL365" s="171"/>
      <c r="BM365" s="171"/>
      <c r="BN365" s="171"/>
      <c r="BO365" s="171"/>
      <c r="BP365" s="171"/>
      <c r="BQ365" s="171"/>
      <c r="BR365" s="171"/>
      <c r="BS365" s="171"/>
      <c r="BT365" s="171"/>
      <c r="BU365" s="171"/>
      <c r="BV365" s="171"/>
      <c r="BW365" s="171"/>
      <c r="BX365" s="171"/>
      <c r="BY365" s="171"/>
      <c r="BZ365" s="171"/>
      <c r="CA365" s="171">
        <f>COUNTIF(AJ365:AX365,"*OK*")</f>
        <v>0</v>
      </c>
      <c r="CB365" s="171"/>
      <c r="CC365" s="171">
        <f>COUNTIF(AJ365:AX365,"*OP*")</f>
        <v>0</v>
      </c>
    </row>
    <row r="366" spans="1:81" ht="15" customHeight="1">
      <c r="A366" s="241">
        <v>36039</v>
      </c>
      <c r="B366" s="160"/>
      <c r="C366" s="468">
        <f>T366</f>
        <v>363.4</v>
      </c>
      <c r="D366" s="160">
        <f>COUNTIF(AJ366:AX366,"*OK*")</f>
        <v>0</v>
      </c>
      <c r="E366" s="160"/>
      <c r="F366" s="182" t="s">
        <v>1049</v>
      </c>
      <c r="G366" s="182"/>
      <c r="H366" s="168" t="s">
        <v>455</v>
      </c>
      <c r="I366" s="168"/>
      <c r="J366" s="182"/>
      <c r="K366" s="185" t="s">
        <v>68</v>
      </c>
      <c r="L366" s="173" t="s">
        <v>456</v>
      </c>
      <c r="M366" s="182"/>
      <c r="N366" s="182"/>
      <c r="O366" s="161"/>
      <c r="P366" s="161">
        <v>368.57</v>
      </c>
      <c r="Q366" s="161">
        <v>347.93</v>
      </c>
      <c r="R366" s="186">
        <v>362.55</v>
      </c>
      <c r="S366" s="510">
        <v>367.42399999999998</v>
      </c>
      <c r="T366" s="551">
        <v>363.4</v>
      </c>
      <c r="U366" s="164"/>
      <c r="V366" s="165">
        <v>150</v>
      </c>
      <c r="W366" s="187"/>
      <c r="X366" s="166" t="s">
        <v>70</v>
      </c>
      <c r="Y366" s="166" t="s">
        <v>71</v>
      </c>
      <c r="Z366" s="167" t="s">
        <v>1050</v>
      </c>
      <c r="AA366" s="165" t="s">
        <v>59</v>
      </c>
      <c r="AB366" s="188" t="s">
        <v>65</v>
      </c>
      <c r="AC366" s="168"/>
      <c r="AD366" s="160"/>
      <c r="AE366" s="160"/>
      <c r="AF366" s="160"/>
      <c r="AG366" s="160"/>
      <c r="AH366" s="160"/>
      <c r="AI366" s="163" t="s">
        <v>59</v>
      </c>
      <c r="AJ366" s="170"/>
      <c r="AK366" s="170"/>
      <c r="AL366" s="170"/>
      <c r="AM366" s="170"/>
      <c r="AN366" s="170"/>
      <c r="AO366" s="170"/>
      <c r="AP366" s="170"/>
      <c r="AQ366" s="170"/>
      <c r="AR366" s="170"/>
      <c r="AS366" s="170"/>
      <c r="AT366" s="170"/>
      <c r="AU366" s="170"/>
      <c r="AV366" s="170"/>
      <c r="AW366" s="170"/>
      <c r="AX366" s="170"/>
      <c r="AY366" s="170"/>
      <c r="AZ366" s="169" t="s">
        <v>59</v>
      </c>
      <c r="BA366" s="160">
        <f>(COUNTIF(AJ366:AL366,"*OK*")*3) + (COUNTIF(AM366:AO366,"*OK*")*2) + COUNTIF(AP366:AR366,"*OK*")+COUNTIF(AZ366:AZ366,"SI")*0.5</f>
        <v>0</v>
      </c>
      <c r="BB366" s="160" t="str">
        <f>IF(BA366&lt;0.6,"Demasiado Riesgo",IF(BA366&lt;=5,"Riesgo Medio",IF(BA366&lt;=11,"Riesgo Bajo","Cliente Blindado")))</f>
        <v>Demasiado Riesgo</v>
      </c>
      <c r="BC366" s="160"/>
      <c r="BD366" s="160"/>
      <c r="BE366" s="160">
        <v>0</v>
      </c>
      <c r="BF366" s="160"/>
      <c r="BG366" s="160"/>
      <c r="BH366" s="160"/>
      <c r="BI366" s="160"/>
      <c r="BJ366" s="160"/>
      <c r="BK366" s="160"/>
      <c r="BL366" s="160"/>
      <c r="BM366" s="160"/>
      <c r="BN366" s="160"/>
      <c r="BO366" s="160"/>
      <c r="BP366" s="160"/>
      <c r="BQ366" s="160"/>
      <c r="BR366" s="160"/>
      <c r="BS366" s="160"/>
      <c r="BT366" s="160"/>
      <c r="BU366" s="160"/>
      <c r="BV366" s="160"/>
      <c r="BW366" s="160"/>
      <c r="BX366" s="160"/>
      <c r="BY366" s="160"/>
      <c r="BZ366" s="160"/>
      <c r="CA366" s="160">
        <f>COUNTIF(AJ366:AX366,"*OK*")</f>
        <v>0</v>
      </c>
      <c r="CB366" s="160"/>
      <c r="CC366" s="160">
        <f>COUNTIF(AJ366:AX366,"*OP*")</f>
        <v>0</v>
      </c>
    </row>
    <row r="367" spans="1:81" ht="15" customHeight="1">
      <c r="A367" s="240">
        <v>29844</v>
      </c>
      <c r="B367" s="171"/>
      <c r="C367" s="468">
        <f>T367</f>
        <v>371.97</v>
      </c>
      <c r="D367" s="171">
        <f>COUNTIF(AJ367:AX367,"*OK*")</f>
        <v>0</v>
      </c>
      <c r="E367" s="171"/>
      <c r="F367" s="183" t="s">
        <v>1051</v>
      </c>
      <c r="G367" s="183"/>
      <c r="H367" s="168" t="s">
        <v>455</v>
      </c>
      <c r="I367" s="179"/>
      <c r="J367" s="183"/>
      <c r="K367" s="183" t="s">
        <v>68</v>
      </c>
      <c r="L367" s="173" t="s">
        <v>456</v>
      </c>
      <c r="M367" s="183"/>
      <c r="N367" s="183"/>
      <c r="O367" s="172">
        <v>324.77999999999997</v>
      </c>
      <c r="P367" s="172">
        <v>324.52</v>
      </c>
      <c r="Q367" s="172">
        <v>315.89</v>
      </c>
      <c r="R367" s="193">
        <v>365.11</v>
      </c>
      <c r="S367" s="510">
        <v>374.0677</v>
      </c>
      <c r="T367" s="550">
        <v>371.97</v>
      </c>
      <c r="U367" s="175"/>
      <c r="V367" s="176">
        <v>150</v>
      </c>
      <c r="W367" s="194"/>
      <c r="X367" s="177" t="s">
        <v>70</v>
      </c>
      <c r="Y367" s="177" t="s">
        <v>162</v>
      </c>
      <c r="Z367" s="178" t="s">
        <v>1052</v>
      </c>
      <c r="AA367" s="176" t="s">
        <v>59</v>
      </c>
      <c r="AB367" s="195" t="s">
        <v>65</v>
      </c>
      <c r="AC367" s="179"/>
      <c r="AD367" s="171"/>
      <c r="AE367" s="171"/>
      <c r="AF367" s="171"/>
      <c r="AG367" s="171"/>
      <c r="AH367" s="171"/>
      <c r="AI367" s="178" t="s">
        <v>59</v>
      </c>
      <c r="AJ367" s="170"/>
      <c r="AK367" s="170"/>
      <c r="AL367" s="170"/>
      <c r="AM367" s="170"/>
      <c r="AN367" s="170"/>
      <c r="AO367" s="170"/>
      <c r="AP367" s="545"/>
      <c r="AQ367" s="170"/>
      <c r="AR367" s="170"/>
      <c r="AS367" s="170"/>
      <c r="AT367" s="170"/>
      <c r="AU367" s="170"/>
      <c r="AV367" s="170"/>
      <c r="AW367" s="170"/>
      <c r="AX367" s="170"/>
      <c r="AY367" s="170"/>
      <c r="AZ367" s="178" t="s">
        <v>59</v>
      </c>
      <c r="BA367" s="171">
        <f>(COUNTIF(AJ367:AL367,"*OK*")*3) + (COUNTIF(AM367:AO367,"*OK*")*2) + COUNTIF(AP367:AR367,"*OK*")+COUNTIF(AZ367:AZ367,"SI")*0.5</f>
        <v>0</v>
      </c>
      <c r="BB367" s="171" t="str">
        <f>IF(BA367&lt;0.6,"Demasiado Riesgo",IF(BA367&lt;=5,"Riesgo Medio",IF(BA367&lt;=11,"Riesgo Bajo","Cliente Blindado")))</f>
        <v>Demasiado Riesgo</v>
      </c>
      <c r="BC367" s="171"/>
      <c r="BD367" s="171"/>
      <c r="BE367" s="171">
        <v>0</v>
      </c>
      <c r="BF367" s="171"/>
      <c r="BG367" s="171"/>
      <c r="BH367" s="171"/>
      <c r="BI367" s="171"/>
      <c r="BJ367" s="171"/>
      <c r="BK367" s="171"/>
      <c r="BL367" s="171"/>
      <c r="BM367" s="171"/>
      <c r="BN367" s="171"/>
      <c r="BO367" s="171"/>
      <c r="BP367" s="171"/>
      <c r="BQ367" s="171"/>
      <c r="BR367" s="171"/>
      <c r="BS367" s="171"/>
      <c r="BT367" s="171"/>
      <c r="BU367" s="171"/>
      <c r="BV367" s="171"/>
      <c r="BW367" s="171"/>
      <c r="BX367" s="171"/>
      <c r="BY367" s="171"/>
      <c r="BZ367" s="171"/>
      <c r="CA367" s="171">
        <f>COUNTIF(AJ367:AX367,"*OK*")</f>
        <v>0</v>
      </c>
      <c r="CB367" s="171"/>
      <c r="CC367" s="171">
        <f>COUNTIF(AJ367:AX367,"*OP*")</f>
        <v>0</v>
      </c>
    </row>
    <row r="368" spans="1:81" ht="15" hidden="1" customHeight="1">
      <c r="A368" s="241">
        <v>36619</v>
      </c>
      <c r="B368" s="160"/>
      <c r="C368" s="468">
        <f>T368</f>
        <v>406.82</v>
      </c>
      <c r="D368" s="160">
        <f>COUNTIF(AJ368:AX368,"*OK*")</f>
        <v>0</v>
      </c>
      <c r="E368" s="160"/>
      <c r="F368" s="182" t="s">
        <v>1053</v>
      </c>
      <c r="G368" s="182"/>
      <c r="H368" s="168"/>
      <c r="I368" s="168"/>
      <c r="J368" s="182"/>
      <c r="K368" s="185" t="s">
        <v>68</v>
      </c>
      <c r="L368" s="182" t="s">
        <v>733</v>
      </c>
      <c r="M368" s="182"/>
      <c r="N368" s="182"/>
      <c r="O368" s="161"/>
      <c r="P368" s="161"/>
      <c r="Q368" s="161">
        <v>57.99</v>
      </c>
      <c r="R368" s="186">
        <v>59.85</v>
      </c>
      <c r="S368" s="510">
        <v>60.659599999999998</v>
      </c>
      <c r="T368" s="553">
        <v>406.82</v>
      </c>
      <c r="U368" s="164"/>
      <c r="V368" s="165">
        <v>50</v>
      </c>
      <c r="W368" s="187"/>
      <c r="X368" s="207" t="s">
        <v>70</v>
      </c>
      <c r="Y368" s="166" t="s">
        <v>152</v>
      </c>
      <c r="Z368" s="167" t="s">
        <v>1054</v>
      </c>
      <c r="AA368" s="165" t="s">
        <v>59</v>
      </c>
      <c r="AB368" s="167" t="s">
        <v>65</v>
      </c>
      <c r="AC368" s="168"/>
      <c r="AD368" s="160"/>
      <c r="AE368" s="160"/>
      <c r="AF368" s="160"/>
      <c r="AG368" s="160"/>
      <c r="AH368" s="160"/>
      <c r="AI368" s="169" t="s">
        <v>59</v>
      </c>
      <c r="AJ368" s="170"/>
      <c r="AK368" s="170"/>
      <c r="AL368" s="170"/>
      <c r="AM368" s="170"/>
      <c r="AN368" s="170"/>
      <c r="AO368" s="170"/>
      <c r="AP368" s="170"/>
      <c r="AQ368" s="170"/>
      <c r="AR368" s="170"/>
      <c r="AS368" s="170"/>
      <c r="AT368" s="170"/>
      <c r="AU368" s="170"/>
      <c r="AV368" s="170"/>
      <c r="AW368" s="170"/>
      <c r="AX368" s="170"/>
      <c r="AY368" s="170"/>
      <c r="AZ368" s="169" t="s">
        <v>59</v>
      </c>
      <c r="BA368" s="160">
        <f>(COUNTIF(AJ368:AL368,"*OK*")*3) + (COUNTIF(AM368:AO368,"*OK*")*2) + COUNTIF(AP368:AR368,"*OK*")+COUNTIF(AZ368:AZ368,"SI")*0.5</f>
        <v>0</v>
      </c>
      <c r="BB368" s="160" t="str">
        <f>IF(BA368&lt;0.6,"Demasiado Riesgo",IF(BA368&lt;=5,"Riesgo Medio",IF(BA368&lt;=11,"Riesgo Bajo","Cliente Blindado")))</f>
        <v>Demasiado Riesgo</v>
      </c>
      <c r="BC368" s="160"/>
      <c r="BD368" s="160"/>
      <c r="BE368" s="160">
        <v>0</v>
      </c>
      <c r="BF368" s="160"/>
      <c r="BG368" s="160"/>
      <c r="BH368" s="160"/>
      <c r="BI368" s="160"/>
      <c r="BJ368" s="160"/>
      <c r="BK368" s="160"/>
      <c r="BL368" s="160"/>
      <c r="BM368" s="160"/>
      <c r="BN368" s="160"/>
      <c r="BO368" s="160"/>
      <c r="BP368" s="160"/>
      <c r="BQ368" s="160"/>
      <c r="BR368" s="160"/>
      <c r="BS368" s="160"/>
      <c r="BT368" s="160"/>
      <c r="BU368" s="160"/>
      <c r="BV368" s="160"/>
      <c r="BW368" s="160"/>
      <c r="BX368" s="160"/>
      <c r="BY368" s="160"/>
      <c r="BZ368" s="160"/>
      <c r="CA368" s="160">
        <f>COUNTIF(AJ368:AX368,"*OK*")</f>
        <v>0</v>
      </c>
      <c r="CB368" s="160"/>
      <c r="CC368" s="160">
        <f>COUNTIF(AJ368:AX368,"*OP*")</f>
        <v>0</v>
      </c>
    </row>
    <row r="369" spans="1:81" ht="15" customHeight="1">
      <c r="A369" s="240"/>
      <c r="B369" s="171"/>
      <c r="C369" s="468">
        <f>T369</f>
        <v>423.39</v>
      </c>
      <c r="D369" s="171">
        <f>COUNTIF(AN369:AY369,"OK")</f>
        <v>0</v>
      </c>
      <c r="E369" s="171"/>
      <c r="F369" s="171" t="s">
        <v>1055</v>
      </c>
      <c r="G369" s="171"/>
      <c r="H369" s="168" t="s">
        <v>455</v>
      </c>
      <c r="I369" s="179"/>
      <c r="J369" s="171"/>
      <c r="K369" s="236" t="s">
        <v>68</v>
      </c>
      <c r="L369" s="173" t="s">
        <v>456</v>
      </c>
      <c r="M369" s="171"/>
      <c r="N369" s="171"/>
      <c r="O369" s="161"/>
      <c r="P369" s="161"/>
      <c r="Q369" s="161"/>
      <c r="R369" s="186"/>
      <c r="S369" s="510">
        <v>401.7978</v>
      </c>
      <c r="T369" s="558">
        <v>423.39</v>
      </c>
      <c r="U369" s="175"/>
      <c r="V369" s="176" t="s">
        <v>59</v>
      </c>
      <c r="W369" s="171"/>
      <c r="X369" s="177"/>
      <c r="Y369" s="177"/>
      <c r="Z369" s="178"/>
      <c r="AA369" s="174" t="s">
        <v>59</v>
      </c>
      <c r="AB369" s="178"/>
      <c r="AC369" s="179"/>
      <c r="AD369" s="171"/>
      <c r="AE369" s="171"/>
      <c r="AF369" s="171"/>
      <c r="AG369" s="171"/>
      <c r="AH369" s="171"/>
      <c r="AI369" s="540"/>
      <c r="AJ369" s="543"/>
      <c r="AK369" s="543"/>
      <c r="AL369" s="543"/>
      <c r="AM369" s="543"/>
      <c r="AN369" s="543"/>
      <c r="AO369" s="543"/>
      <c r="AP369" s="543"/>
      <c r="AQ369" s="543"/>
      <c r="AR369" s="543"/>
      <c r="AS369" s="543"/>
      <c r="AT369" s="543"/>
      <c r="AU369" s="543"/>
      <c r="AV369" s="543"/>
      <c r="AW369" s="543"/>
      <c r="AX369" s="543"/>
      <c r="AY369" s="543"/>
      <c r="AZ369" s="546"/>
      <c r="BA369" s="171">
        <f>(COUNTIF(AJ369:AL369,"*OK*")*3) + (COUNTIF(AM369:AO369,"*OK*")*2) + COUNTIF(AP369:AR369,"*OK*")+COUNTIF(AZ369:AZ369,"SI")*0.5</f>
        <v>0</v>
      </c>
      <c r="BB369" s="171" t="str">
        <f>IF(BA369&lt;0.6,"Demasiado Riesgo",IF(BA369&lt;=5,"Riesgo Medio",IF(BA369&lt;=11,"Riesgo Bajo","Cliente Blindado")))</f>
        <v>Demasiado Riesgo</v>
      </c>
      <c r="BC369" s="171"/>
      <c r="BD369" s="171"/>
      <c r="BE369" s="171"/>
      <c r="BF369" s="171"/>
      <c r="BG369" s="171"/>
      <c r="BH369" s="171"/>
      <c r="BI369" s="171"/>
      <c r="BJ369" s="171"/>
      <c r="BK369" s="171"/>
      <c r="BL369" s="171"/>
      <c r="BM369" s="171"/>
      <c r="BN369" s="171"/>
      <c r="BO369" s="171"/>
      <c r="BP369" s="171"/>
      <c r="BQ369" s="171"/>
      <c r="BR369" s="171"/>
      <c r="BS369" s="171"/>
      <c r="BT369" s="171"/>
      <c r="BU369" s="171"/>
      <c r="BV369" s="171"/>
      <c r="BW369" s="171"/>
      <c r="BX369" s="171"/>
      <c r="BY369" s="171"/>
      <c r="BZ369" s="171"/>
      <c r="CA369" s="171">
        <f>COUNTIF(AJ369:AX369,"*OK*")</f>
        <v>0</v>
      </c>
      <c r="CB369" s="171"/>
      <c r="CC369" s="171">
        <f>COUNTIF(AJ369:AX369,"*OP*")</f>
        <v>0</v>
      </c>
    </row>
    <row r="370" spans="1:81" ht="15" hidden="1" customHeight="1">
      <c r="A370" s="240"/>
      <c r="B370" s="171"/>
      <c r="C370" s="468">
        <f>T370</f>
        <v>517.77</v>
      </c>
      <c r="D370" s="171">
        <f>COUNTIF(AJ370:AX370,"*OK*")</f>
        <v>0</v>
      </c>
      <c r="E370" s="171"/>
      <c r="F370" s="183" t="s">
        <v>1056</v>
      </c>
      <c r="G370" s="183"/>
      <c r="H370" s="179"/>
      <c r="I370" s="179"/>
      <c r="J370" s="183"/>
      <c r="K370" s="192" t="s">
        <v>79</v>
      </c>
      <c r="L370" s="183" t="s">
        <v>733</v>
      </c>
      <c r="M370" s="183"/>
      <c r="N370" s="183"/>
      <c r="O370" s="172">
        <v>525.62</v>
      </c>
      <c r="P370" s="172">
        <v>525.14</v>
      </c>
      <c r="Q370" s="172">
        <v>500.45</v>
      </c>
      <c r="R370" s="193">
        <v>516.55999999999995</v>
      </c>
      <c r="S370" s="510">
        <v>523.51110000000006</v>
      </c>
      <c r="T370" s="550">
        <v>517.77</v>
      </c>
      <c r="U370" s="175"/>
      <c r="V370" s="176">
        <v>300</v>
      </c>
      <c r="W370" s="194"/>
      <c r="X370" s="177" t="s">
        <v>70</v>
      </c>
      <c r="Y370" s="177" t="s">
        <v>141</v>
      </c>
      <c r="Z370" s="178" t="s">
        <v>1057</v>
      </c>
      <c r="AA370" s="176" t="s">
        <v>59</v>
      </c>
      <c r="AB370" s="195" t="s">
        <v>65</v>
      </c>
      <c r="AC370" s="179"/>
      <c r="AD370" s="171"/>
      <c r="AE370" s="171"/>
      <c r="AF370" s="171"/>
      <c r="AG370" s="171"/>
      <c r="AH370" s="171"/>
      <c r="AI370" s="174" t="s">
        <v>59</v>
      </c>
      <c r="AJ370" s="170"/>
      <c r="AK370" s="170"/>
      <c r="AL370" s="170"/>
      <c r="AM370" s="170"/>
      <c r="AN370" s="170"/>
      <c r="AO370" s="170"/>
      <c r="AP370" s="170"/>
      <c r="AQ370" s="170"/>
      <c r="AR370" s="170"/>
      <c r="AS370" s="170"/>
      <c r="AT370" s="170"/>
      <c r="AU370" s="170"/>
      <c r="AV370" s="170"/>
      <c r="AW370" s="170"/>
      <c r="AX370" s="170"/>
      <c r="AY370" s="170"/>
      <c r="AZ370" s="180" t="s">
        <v>59</v>
      </c>
      <c r="BA370" s="171">
        <f>(COUNTIF(AJ370:AL370,"*OK*")*3) + (COUNTIF(AM370:AO370,"*OK*")*2) + COUNTIF(AP370:AR370,"*OK*")+COUNTIF(AZ370:AZ370,"SI")*0.5</f>
        <v>0</v>
      </c>
      <c r="BB370" s="171" t="str">
        <f>IF(BA370&lt;0.6,"Demasiado Riesgo",IF(BA370&lt;=5,"Riesgo Medio",IF(BA370&lt;=11,"Riesgo Bajo","Cliente Blindado")))</f>
        <v>Demasiado Riesgo</v>
      </c>
      <c r="BC370" s="171"/>
      <c r="BD370" s="171"/>
      <c r="BE370" s="171">
        <v>0</v>
      </c>
      <c r="BF370" s="171"/>
      <c r="BG370" s="171"/>
      <c r="BH370" s="171"/>
      <c r="BI370" s="171"/>
      <c r="BJ370" s="171"/>
      <c r="BK370" s="171"/>
      <c r="BL370" s="171"/>
      <c r="BM370" s="171"/>
      <c r="BN370" s="171"/>
      <c r="BO370" s="171"/>
      <c r="BP370" s="171"/>
      <c r="BQ370" s="171"/>
      <c r="BR370" s="171"/>
      <c r="BS370" s="171"/>
      <c r="BT370" s="171"/>
      <c r="BU370" s="171"/>
      <c r="BV370" s="171"/>
      <c r="BW370" s="171"/>
      <c r="BX370" s="171"/>
      <c r="BY370" s="171"/>
      <c r="BZ370" s="171"/>
      <c r="CA370" s="171">
        <f>COUNTIF(AJ370:AX370,"*OK*")</f>
        <v>0</v>
      </c>
      <c r="CB370" s="171"/>
      <c r="CC370" s="171">
        <f>COUNTIF(AJ370:AX370,"*OP*")</f>
        <v>0</v>
      </c>
    </row>
    <row r="371" spans="1:81" ht="15" hidden="1" customHeight="1">
      <c r="A371" s="241"/>
      <c r="B371" s="160"/>
      <c r="C371" s="468">
        <f>T371</f>
        <v>794.5</v>
      </c>
      <c r="D371" s="160">
        <f>COUNTIF(AN371:AY371,"OK")</f>
        <v>0</v>
      </c>
      <c r="E371" s="160"/>
      <c r="F371" s="160" t="s">
        <v>1058</v>
      </c>
      <c r="G371" s="160"/>
      <c r="H371" s="168" t="s">
        <v>445</v>
      </c>
      <c r="I371" s="168"/>
      <c r="J371" s="160"/>
      <c r="K371" s="220" t="s">
        <v>1037</v>
      </c>
      <c r="L371" s="171" t="s">
        <v>768</v>
      </c>
      <c r="M371" s="160"/>
      <c r="N371" s="160"/>
      <c r="O371" s="161"/>
      <c r="P371" s="161"/>
      <c r="Q371" s="161"/>
      <c r="R371" s="186"/>
      <c r="S371" s="510">
        <v>759.11189999999999</v>
      </c>
      <c r="T371" s="559">
        <v>794.5</v>
      </c>
      <c r="U371" s="164"/>
      <c r="V371" s="165" t="s">
        <v>59</v>
      </c>
      <c r="W371" s="160"/>
      <c r="X371" s="166"/>
      <c r="Y371" s="166"/>
      <c r="Z371" s="167"/>
      <c r="AA371" s="163" t="s">
        <v>59</v>
      </c>
      <c r="AB371" s="167"/>
      <c r="AC371" s="168"/>
      <c r="AD371" s="160"/>
      <c r="AE371" s="160"/>
      <c r="AF371" s="160"/>
      <c r="AG371" s="160"/>
      <c r="AH371" s="160"/>
      <c r="AI371" s="541"/>
      <c r="AJ371" s="543"/>
      <c r="AK371" s="543"/>
      <c r="AL371" s="543"/>
      <c r="AM371" s="543"/>
      <c r="AN371" s="543"/>
      <c r="AO371" s="543"/>
      <c r="AP371" s="543"/>
      <c r="AQ371" s="318"/>
      <c r="AR371" s="543"/>
      <c r="AS371" s="543"/>
      <c r="AT371" s="543"/>
      <c r="AU371" s="543"/>
      <c r="AV371" s="543"/>
      <c r="AW371" s="543"/>
      <c r="AX371" s="543"/>
      <c r="AY371" s="543"/>
      <c r="AZ371" s="541"/>
      <c r="BA371" s="160">
        <f>(COUNTIF(AJ371:AL371,"*OK*")*3) + (COUNTIF(AM371:AO371,"*OK*")*2) + COUNTIF(AP371:AR371,"*OK*")+COUNTIF(AZ371:AZ371,"SI")*0.5</f>
        <v>0</v>
      </c>
      <c r="BB371" s="160" t="str">
        <f>IF(BA371&lt;0.6,"Demasiado Riesgo",IF(BA371&lt;=5,"Riesgo Medio",IF(BA371&lt;=11,"Riesgo Bajo","Cliente Blindado")))</f>
        <v>Demasiado Riesgo</v>
      </c>
      <c r="BC371" s="160"/>
      <c r="BD371" s="160"/>
      <c r="BE371" s="160"/>
      <c r="BF371" s="160"/>
      <c r="BG371" s="160"/>
      <c r="BH371" s="160"/>
      <c r="BI371" s="160"/>
      <c r="BJ371" s="160"/>
      <c r="BK371" s="160"/>
      <c r="BL371" s="160"/>
      <c r="BM371" s="160"/>
      <c r="BN371" s="160"/>
      <c r="BO371" s="160"/>
      <c r="BP371" s="160"/>
      <c r="BQ371" s="160"/>
      <c r="BR371" s="160"/>
      <c r="BS371" s="160"/>
      <c r="BT371" s="160"/>
      <c r="BU371" s="160"/>
      <c r="BV371" s="160"/>
      <c r="BW371" s="160"/>
      <c r="BX371" s="160"/>
      <c r="BY371" s="160"/>
      <c r="BZ371" s="160"/>
      <c r="CA371" s="160">
        <f>COUNTIF(AJ371:AX371,"*OK*")</f>
        <v>0</v>
      </c>
      <c r="CB371" s="160"/>
      <c r="CC371" s="160"/>
    </row>
    <row r="372" spans="1:81" ht="15" hidden="1" customHeight="1">
      <c r="A372" s="241">
        <v>34609</v>
      </c>
      <c r="B372" s="160"/>
      <c r="C372" s="468">
        <f>T372</f>
        <v>1051.33</v>
      </c>
      <c r="D372" s="160">
        <f>COUNTIF(AN372:AY372,"OK")</f>
        <v>0</v>
      </c>
      <c r="E372" s="160"/>
      <c r="F372" s="160" t="s">
        <v>1059</v>
      </c>
      <c r="G372" s="160"/>
      <c r="H372" s="168" t="s">
        <v>445</v>
      </c>
      <c r="I372" s="168"/>
      <c r="J372" s="160"/>
      <c r="K372" s="220" t="s">
        <v>1037</v>
      </c>
      <c r="L372" s="171" t="s">
        <v>768</v>
      </c>
      <c r="M372" s="160"/>
      <c r="N372" s="160"/>
      <c r="O372" s="161"/>
      <c r="P372" s="161"/>
      <c r="Q372" s="161"/>
      <c r="R372" s="186"/>
      <c r="S372" s="510">
        <v>1035.2577000000001</v>
      </c>
      <c r="T372" s="558">
        <v>1051.33</v>
      </c>
      <c r="U372" s="164"/>
      <c r="V372" s="165" t="s">
        <v>59</v>
      </c>
      <c r="W372" s="160"/>
      <c r="X372" s="166"/>
      <c r="Y372" s="166"/>
      <c r="Z372" s="167"/>
      <c r="AA372" s="163" t="s">
        <v>59</v>
      </c>
      <c r="AB372" s="167"/>
      <c r="AC372" s="168"/>
      <c r="AD372" s="160"/>
      <c r="AE372" s="160"/>
      <c r="AF372" s="160"/>
      <c r="AG372" s="160"/>
      <c r="AH372" s="160"/>
      <c r="AI372" s="167"/>
      <c r="AJ372" s="170"/>
      <c r="AK372" s="170"/>
      <c r="AL372" s="545"/>
      <c r="AM372" s="170"/>
      <c r="AN372" s="170"/>
      <c r="AO372" s="170"/>
      <c r="AP372" s="170"/>
      <c r="AQ372" s="170"/>
      <c r="AR372" s="170"/>
      <c r="AS372" s="170"/>
      <c r="AT372" s="170"/>
      <c r="AU372" s="170"/>
      <c r="AV372" s="170"/>
      <c r="AW372" s="170"/>
      <c r="AX372" s="170"/>
      <c r="AY372" s="170"/>
      <c r="AZ372" s="167" t="s">
        <v>59</v>
      </c>
      <c r="BA372" s="160">
        <f>(COUNTIF(AJ372:AL372,"*OK*")*3) + (COUNTIF(AM372:AO372,"*OK*")*2) + COUNTIF(AP372:AR372,"*OK*")+COUNTIF(AZ372:AZ372,"SI")*0.5</f>
        <v>0</v>
      </c>
      <c r="BB372" s="160" t="str">
        <f>IF(BA372&lt;0.6,"Demasiado Riesgo",IF(BA372&lt;=5,"Riesgo Medio",IF(BA372&lt;=11,"Riesgo Bajo","Cliente Blindado")))</f>
        <v>Demasiado Riesgo</v>
      </c>
      <c r="BC372" s="160"/>
      <c r="BD372" s="160"/>
      <c r="BE372" s="160"/>
      <c r="BF372" s="160"/>
      <c r="BG372" s="160"/>
      <c r="BH372" s="160"/>
      <c r="BI372" s="160"/>
      <c r="BJ372" s="160"/>
      <c r="BK372" s="160"/>
      <c r="BL372" s="160"/>
      <c r="BM372" s="160"/>
      <c r="BN372" s="160"/>
      <c r="BO372" s="160"/>
      <c r="BP372" s="160"/>
      <c r="BQ372" s="160"/>
      <c r="BR372" s="160"/>
      <c r="BS372" s="160"/>
      <c r="BT372" s="160"/>
      <c r="BU372" s="160"/>
      <c r="BV372" s="160"/>
      <c r="BW372" s="160"/>
      <c r="BX372" s="160"/>
      <c r="BY372" s="160"/>
      <c r="BZ372" s="160"/>
      <c r="CA372" s="160">
        <f>COUNTIF(AJ372:AX372,"*OK*")</f>
        <v>0</v>
      </c>
      <c r="CB372" s="160"/>
      <c r="CC372" s="160">
        <f>COUNTIF(AJ372:AX372,"*OP*")</f>
        <v>0</v>
      </c>
    </row>
    <row r="373" spans="1:81" ht="15" hidden="1" customHeight="1">
      <c r="A373" s="240">
        <v>37760</v>
      </c>
      <c r="B373" s="171"/>
      <c r="C373" s="468">
        <f>T373</f>
        <v>3625.38</v>
      </c>
      <c r="D373" s="171">
        <f>COUNTIF(AN373:AY373,"OK")</f>
        <v>0</v>
      </c>
      <c r="E373" s="171"/>
      <c r="F373" s="171" t="s">
        <v>1060</v>
      </c>
      <c r="G373" s="171"/>
      <c r="H373" s="179" t="s">
        <v>1061</v>
      </c>
      <c r="I373" s="179"/>
      <c r="J373" s="171"/>
      <c r="K373" s="236" t="s">
        <v>1037</v>
      </c>
      <c r="L373" s="171" t="s">
        <v>768</v>
      </c>
      <c r="M373" s="171"/>
      <c r="N373" s="171"/>
      <c r="O373" s="161"/>
      <c r="P373" s="161"/>
      <c r="Q373" s="161"/>
      <c r="R373" s="186"/>
      <c r="S373" s="510">
        <v>2975.2103999999999</v>
      </c>
      <c r="T373" s="558">
        <v>3625.38</v>
      </c>
      <c r="U373" s="175"/>
      <c r="V373" s="176" t="s">
        <v>59</v>
      </c>
      <c r="W373" s="171"/>
      <c r="X373" s="177"/>
      <c r="Y373" s="177"/>
      <c r="Z373" s="178"/>
      <c r="AA373" s="174" t="s">
        <v>59</v>
      </c>
      <c r="AB373" s="178"/>
      <c r="AC373" s="179"/>
      <c r="AD373" s="171"/>
      <c r="AE373" s="171"/>
      <c r="AF373" s="171"/>
      <c r="AG373" s="171"/>
      <c r="AH373" s="171"/>
      <c r="AI373" s="546"/>
      <c r="AJ373" s="543"/>
      <c r="AK373" s="543"/>
      <c r="AL373" s="543"/>
      <c r="AM373" s="543"/>
      <c r="AN373" s="543"/>
      <c r="AO373" s="543"/>
      <c r="AP373" s="543"/>
      <c r="AQ373" s="543"/>
      <c r="AR373" s="543"/>
      <c r="AS373" s="543"/>
      <c r="AT373" s="543"/>
      <c r="AU373" s="543"/>
      <c r="AV373" s="543"/>
      <c r="AW373" s="543"/>
      <c r="AX373" s="543"/>
      <c r="AY373" s="543"/>
      <c r="AZ373" s="546"/>
      <c r="BA373" s="171">
        <f>(COUNTIF(AJ373:AL373,"*OK*")*3) + (COUNTIF(AM373:AO373,"*OK*")*2) + COUNTIF(AP373:AR373,"*OK*")+COUNTIF(AZ373:AZ373,"SI")*0.5</f>
        <v>0</v>
      </c>
      <c r="BB373" s="171" t="str">
        <f>IF(BA373&lt;0.6,"Demasiado Riesgo",IF(BA373&lt;=5,"Riesgo Medio",IF(BA373&lt;=11,"Riesgo Bajo","Cliente Blindado")))</f>
        <v>Demasiado Riesgo</v>
      </c>
      <c r="BC373" s="171"/>
      <c r="BD373" s="171"/>
      <c r="BE373" s="171"/>
      <c r="BF373" s="171"/>
      <c r="BG373" s="171"/>
      <c r="BH373" s="171"/>
      <c r="BI373" s="171"/>
      <c r="BJ373" s="171"/>
      <c r="BK373" s="171"/>
      <c r="BL373" s="171"/>
      <c r="BM373" s="171"/>
      <c r="BN373" s="171"/>
      <c r="BO373" s="171"/>
      <c r="BP373" s="171"/>
      <c r="BQ373" s="171"/>
      <c r="BR373" s="171"/>
      <c r="BS373" s="171"/>
      <c r="BT373" s="171"/>
      <c r="BU373" s="171"/>
      <c r="BV373" s="171"/>
      <c r="BW373" s="171"/>
      <c r="BX373" s="171"/>
      <c r="BY373" s="171"/>
      <c r="BZ373" s="171"/>
      <c r="CA373" s="171">
        <f>COUNTIF(AJ373:AX373,"*OK*")</f>
        <v>0</v>
      </c>
      <c r="CB373" s="171"/>
      <c r="CC373" s="171"/>
    </row>
    <row r="374" spans="1:81" ht="15" customHeight="1">
      <c r="A374" s="241"/>
      <c r="B374" s="160"/>
      <c r="C374" s="468" t="str">
        <f>T374</f>
        <v> </v>
      </c>
      <c r="D374" s="160">
        <f>COUNTIF(AN374:AY374,"OK")</f>
        <v>0</v>
      </c>
      <c r="E374" s="160"/>
      <c r="F374" s="181" t="s">
        <v>1062</v>
      </c>
      <c r="G374" s="162" t="s">
        <v>59</v>
      </c>
      <c r="H374" s="179" t="s">
        <v>455</v>
      </c>
      <c r="I374" s="179"/>
      <c r="J374" s="162" t="s">
        <v>1063</v>
      </c>
      <c r="K374" s="162" t="s">
        <v>59</v>
      </c>
      <c r="L374" s="173" t="s">
        <v>456</v>
      </c>
      <c r="M374" s="162" t="s">
        <v>59</v>
      </c>
      <c r="N374" s="162" t="s">
        <v>59</v>
      </c>
      <c r="O374" s="465" t="s">
        <v>59</v>
      </c>
      <c r="P374" s="465"/>
      <c r="Q374" s="465" t="s">
        <v>59</v>
      </c>
      <c r="R374" s="224">
        <v>101.52</v>
      </c>
      <c r="S374" s="509">
        <v>101.0416</v>
      </c>
      <c r="T374" s="552" t="s">
        <v>59</v>
      </c>
      <c r="U374" s="164"/>
      <c r="V374" s="165" t="s">
        <v>59</v>
      </c>
      <c r="W374" s="160"/>
      <c r="X374" s="166"/>
      <c r="Y374" s="166"/>
      <c r="Z374" s="167"/>
      <c r="AA374" s="163" t="s">
        <v>59</v>
      </c>
      <c r="AB374" s="167" t="s">
        <v>104</v>
      </c>
      <c r="AC374" s="168"/>
      <c r="AD374" s="160"/>
      <c r="AE374" s="160"/>
      <c r="AF374" s="160"/>
      <c r="AG374" s="160"/>
      <c r="AH374" s="160"/>
      <c r="AI374" s="163" t="s">
        <v>59</v>
      </c>
      <c r="AJ374" s="170"/>
      <c r="AK374" s="170"/>
      <c r="AL374" s="170"/>
      <c r="AM374" s="170"/>
      <c r="AN374" s="170"/>
      <c r="AO374" s="170"/>
      <c r="AP374" s="170"/>
      <c r="AQ374" s="170"/>
      <c r="AR374" s="170"/>
      <c r="AS374" s="170"/>
      <c r="AT374" s="170"/>
      <c r="AU374" s="170"/>
      <c r="AV374" s="170"/>
      <c r="AW374" s="170"/>
      <c r="AX374" s="170"/>
      <c r="AY374" s="170"/>
      <c r="AZ374" s="169" t="s">
        <v>59</v>
      </c>
      <c r="BA374" s="160">
        <f>(COUNTIF(AJ374:AL374,"*OK*")*3) + (COUNTIF(AM374:AO374,"*OK*")*2) + COUNTIF(AP374:AR374,"*OK*")+COUNTIF(AZ374:AZ374,"SI")*0.5</f>
        <v>0</v>
      </c>
      <c r="BB374" s="160" t="str">
        <f>IF(BA374&lt;0.6,"Demasiado Riesgo",IF(BA374&lt;=5,"Riesgo Medio",IF(BA374&lt;=11,"Riesgo Bajo","Cliente Blindado")))</f>
        <v>Demasiado Riesgo</v>
      </c>
      <c r="BC374" s="160"/>
      <c r="BD374" s="160"/>
      <c r="BE374" s="160">
        <v>0</v>
      </c>
      <c r="BF374" s="160"/>
      <c r="BG374" s="160"/>
      <c r="BH374" s="160"/>
      <c r="BI374" s="160"/>
      <c r="BJ374" s="160"/>
      <c r="BK374" s="160"/>
      <c r="BL374" s="160"/>
      <c r="BM374" s="160"/>
      <c r="BN374" s="160"/>
      <c r="BO374" s="160"/>
      <c r="BP374" s="160"/>
      <c r="BQ374" s="160"/>
      <c r="BR374" s="160"/>
      <c r="BS374" s="160"/>
      <c r="BT374" s="160"/>
      <c r="BU374" s="160"/>
      <c r="BV374" s="160"/>
      <c r="BW374" s="160"/>
      <c r="BX374" s="160"/>
      <c r="BY374" s="160"/>
      <c r="BZ374" s="160"/>
      <c r="CA374" s="160">
        <f>COUNTIF(AJ374:AX374,"*OK*")</f>
        <v>0</v>
      </c>
      <c r="CB374" s="160"/>
      <c r="CC374" s="160">
        <f>COUNTIF(AJ374:AX374,"*OP*")</f>
        <v>0</v>
      </c>
    </row>
    <row r="375" spans="1:81" ht="15" hidden="1" customHeight="1">
      <c r="A375" s="241"/>
      <c r="B375" s="160"/>
      <c r="C375" s="468" t="str">
        <f>T375</f>
        <v> </v>
      </c>
      <c r="D375" s="160">
        <f>COUNTIF(AJ375:AX375,"*OK*")</f>
        <v>0</v>
      </c>
      <c r="E375" s="160"/>
      <c r="F375" s="182" t="s">
        <v>1064</v>
      </c>
      <c r="G375" s="182"/>
      <c r="H375" s="168"/>
      <c r="I375" s="168"/>
      <c r="J375" s="182"/>
      <c r="K375" s="185" t="s">
        <v>68</v>
      </c>
      <c r="L375" s="182" t="s">
        <v>733</v>
      </c>
      <c r="M375" s="182"/>
      <c r="N375" s="182"/>
      <c r="O375" s="161">
        <v>71.63</v>
      </c>
      <c r="P375" s="161">
        <v>79.099999999999994</v>
      </c>
      <c r="Q375" s="161">
        <v>75.38</v>
      </c>
      <c r="R375" s="186" t="s">
        <v>59</v>
      </c>
      <c r="S375" s="510">
        <v>0</v>
      </c>
      <c r="T375" s="551" t="s">
        <v>59</v>
      </c>
      <c r="U375" s="164"/>
      <c r="V375" s="165">
        <v>100</v>
      </c>
      <c r="W375" s="187"/>
      <c r="X375" s="207" t="s">
        <v>70</v>
      </c>
      <c r="Y375" s="166" t="s">
        <v>71</v>
      </c>
      <c r="Z375" s="167" t="s">
        <v>1065</v>
      </c>
      <c r="AA375" s="165" t="s">
        <v>59</v>
      </c>
      <c r="AB375" s="188" t="s">
        <v>65</v>
      </c>
      <c r="AC375" s="168"/>
      <c r="AD375" s="160"/>
      <c r="AE375" s="160"/>
      <c r="AF375" s="160"/>
      <c r="AG375" s="160"/>
      <c r="AH375" s="160"/>
      <c r="AI375" s="163" t="s">
        <v>59</v>
      </c>
      <c r="AJ375" s="170"/>
      <c r="AK375" s="170"/>
      <c r="AL375" s="170"/>
      <c r="AM375" s="170"/>
      <c r="AN375" s="170"/>
      <c r="AO375" s="170"/>
      <c r="AP375" s="170"/>
      <c r="AQ375" s="170"/>
      <c r="AR375" s="170"/>
      <c r="AS375" s="170"/>
      <c r="AT375" s="170"/>
      <c r="AU375" s="170"/>
      <c r="AV375" s="170"/>
      <c r="AW375" s="170"/>
      <c r="AX375" s="170"/>
      <c r="AY375" s="170"/>
      <c r="AZ375" s="169" t="s">
        <v>59</v>
      </c>
      <c r="BA375" s="160">
        <f>(COUNTIF(AJ375:AL375,"*OK*")*3) + (COUNTIF(AM375:AO375,"*OK*")*2) + COUNTIF(AP375:AR375,"*OK*")+COUNTIF(AZ375:AZ375,"SI")*0.5</f>
        <v>0</v>
      </c>
      <c r="BB375" s="160" t="str">
        <f>IF(BA375&lt;0.6,"Demasiado Riesgo",IF(BA375&lt;=5,"Riesgo Medio",IF(BA375&lt;=11,"Riesgo Bajo","Cliente Blindado")))</f>
        <v>Demasiado Riesgo</v>
      </c>
      <c r="BC375" s="160"/>
      <c r="BD375" s="160"/>
      <c r="BE375" s="160">
        <v>0</v>
      </c>
      <c r="BF375" s="160"/>
      <c r="BG375" s="160"/>
      <c r="BH375" s="160"/>
      <c r="BI375" s="160"/>
      <c r="BJ375" s="160"/>
      <c r="BK375" s="160"/>
      <c r="BL375" s="160"/>
      <c r="BM375" s="160"/>
      <c r="BN375" s="160"/>
      <c r="BO375" s="160"/>
      <c r="BP375" s="160"/>
      <c r="BQ375" s="160"/>
      <c r="BR375" s="160"/>
      <c r="BS375" s="160"/>
      <c r="BT375" s="160"/>
      <c r="BU375" s="160"/>
      <c r="BV375" s="160"/>
      <c r="BW375" s="160"/>
      <c r="BX375" s="160"/>
      <c r="BY375" s="160"/>
      <c r="BZ375" s="160"/>
      <c r="CA375" s="160">
        <f>COUNTIF(AJ375:AX375,"*OK*")</f>
        <v>0</v>
      </c>
      <c r="CB375" s="160"/>
      <c r="CC375" s="160">
        <f>COUNTIF(AJ375:AX375,"*OP*")</f>
        <v>0</v>
      </c>
    </row>
    <row r="376" spans="1:81" ht="15" hidden="1" customHeight="1">
      <c r="A376" s="240"/>
      <c r="B376" s="171"/>
      <c r="C376" s="468" t="str">
        <f>T376</f>
        <v> </v>
      </c>
      <c r="D376" s="171">
        <f>COUNTIF(AJ376:AX376,"*OK*")</f>
        <v>0</v>
      </c>
      <c r="E376" s="171"/>
      <c r="F376" s="183" t="s">
        <v>1066</v>
      </c>
      <c r="G376" s="183"/>
      <c r="H376" s="179"/>
      <c r="I376" s="179"/>
      <c r="J376" s="183"/>
      <c r="K376" s="183" t="s">
        <v>68</v>
      </c>
      <c r="L376" s="183" t="s">
        <v>733</v>
      </c>
      <c r="M376" s="183"/>
      <c r="N376" s="183"/>
      <c r="O376" s="172">
        <v>81.19</v>
      </c>
      <c r="P376" s="172">
        <v>81.11</v>
      </c>
      <c r="Q376" s="172">
        <v>74.44</v>
      </c>
      <c r="R376" s="193" t="s">
        <v>59</v>
      </c>
      <c r="S376" s="510">
        <v>0</v>
      </c>
      <c r="T376" s="550" t="s">
        <v>59</v>
      </c>
      <c r="U376" s="175"/>
      <c r="V376" s="176">
        <v>150</v>
      </c>
      <c r="W376" s="194"/>
      <c r="X376" s="211" t="s">
        <v>70</v>
      </c>
      <c r="Y376" s="177" t="s">
        <v>243</v>
      </c>
      <c r="Z376" s="178" t="s">
        <v>1067</v>
      </c>
      <c r="AA376" s="176" t="s">
        <v>59</v>
      </c>
      <c r="AB376" s="195" t="s">
        <v>65</v>
      </c>
      <c r="AC376" s="179"/>
      <c r="AD376" s="171"/>
      <c r="AE376" s="171"/>
      <c r="AF376" s="171"/>
      <c r="AG376" s="171"/>
      <c r="AH376" s="171"/>
      <c r="AI376" s="178" t="s">
        <v>59</v>
      </c>
      <c r="AJ376" s="170"/>
      <c r="AK376" s="170"/>
      <c r="AL376" s="545"/>
      <c r="AM376" s="170"/>
      <c r="AN376" s="170"/>
      <c r="AO376" s="170"/>
      <c r="AP376" s="545"/>
      <c r="AQ376" s="545"/>
      <c r="AR376" s="170"/>
      <c r="AS376" s="170"/>
      <c r="AT376" s="170"/>
      <c r="AU376" s="170"/>
      <c r="AV376" s="170"/>
      <c r="AW376" s="170"/>
      <c r="AX376" s="170"/>
      <c r="AY376" s="170"/>
      <c r="AZ376" s="178" t="s">
        <v>59</v>
      </c>
      <c r="BA376" s="171">
        <f>(COUNTIF(AJ376:AL376,"*OK*")*3) + (COUNTIF(AM376:AO376,"*OK*")*2) + COUNTIF(AP376:AR376,"*OK*")+COUNTIF(AZ376:AZ376,"SI")*0.5</f>
        <v>0</v>
      </c>
      <c r="BB376" s="171" t="str">
        <f>IF(BA376&lt;0.6,"Demasiado Riesgo",IF(BA376&lt;=5,"Riesgo Medio",IF(BA376&lt;=11,"Riesgo Bajo","Cliente Blindado")))</f>
        <v>Demasiado Riesgo</v>
      </c>
      <c r="BC376" s="171"/>
      <c r="BD376" s="171"/>
      <c r="BE376" s="171">
        <v>0</v>
      </c>
      <c r="BF376" s="171"/>
      <c r="BG376" s="171"/>
      <c r="BH376" s="171"/>
      <c r="BI376" s="171"/>
      <c r="BJ376" s="171"/>
      <c r="BK376" s="171"/>
      <c r="BL376" s="171"/>
      <c r="BM376" s="171"/>
      <c r="BN376" s="171"/>
      <c r="BO376" s="171"/>
      <c r="BP376" s="171"/>
      <c r="BQ376" s="171"/>
      <c r="BR376" s="171"/>
      <c r="BS376" s="171"/>
      <c r="BT376" s="171"/>
      <c r="BU376" s="171"/>
      <c r="BV376" s="171"/>
      <c r="BW376" s="171"/>
      <c r="BX376" s="171"/>
      <c r="BY376" s="171"/>
      <c r="BZ376" s="171"/>
      <c r="CA376" s="171">
        <f>COUNTIF(AJ376:AX376,"*OK*")</f>
        <v>0</v>
      </c>
      <c r="CB376" s="171"/>
      <c r="CC376" s="171">
        <f>COUNTIF(AJ376:AX376,"*OP*")</f>
        <v>0</v>
      </c>
    </row>
    <row r="377" spans="1:81" ht="15" hidden="1" customHeight="1">
      <c r="A377" s="240"/>
      <c r="B377" s="171"/>
      <c r="C377" s="468" t="str">
        <f>T377</f>
        <v> </v>
      </c>
      <c r="D377" s="171">
        <f>COUNTIF(AJ377:AX377,"*OK*")</f>
        <v>0</v>
      </c>
      <c r="E377" s="171"/>
      <c r="F377" s="183" t="s">
        <v>1068</v>
      </c>
      <c r="G377" s="183"/>
      <c r="H377" s="179"/>
      <c r="I377" s="179"/>
      <c r="J377" s="183"/>
      <c r="K377" s="183" t="s">
        <v>68</v>
      </c>
      <c r="L377" s="183" t="s">
        <v>733</v>
      </c>
      <c r="M377" s="183"/>
      <c r="N377" s="183"/>
      <c r="O377" s="172">
        <v>53.94</v>
      </c>
      <c r="P377" s="172">
        <v>82.58</v>
      </c>
      <c r="Q377" s="172">
        <v>63.79</v>
      </c>
      <c r="R377" s="193" t="s">
        <v>59</v>
      </c>
      <c r="S377" s="510">
        <v>0</v>
      </c>
      <c r="T377" s="550" t="s">
        <v>59</v>
      </c>
      <c r="U377" s="175"/>
      <c r="V377" s="176">
        <v>100</v>
      </c>
      <c r="W377" s="194"/>
      <c r="X377" s="211" t="s">
        <v>70</v>
      </c>
      <c r="Y377" s="177" t="s">
        <v>71</v>
      </c>
      <c r="Z377" s="178" t="s">
        <v>1069</v>
      </c>
      <c r="AA377" s="176" t="s">
        <v>132</v>
      </c>
      <c r="AB377" s="195" t="s">
        <v>194</v>
      </c>
      <c r="AC377" s="179"/>
      <c r="AD377" s="171"/>
      <c r="AE377" s="171"/>
      <c r="AF377" s="171"/>
      <c r="AG377" s="171"/>
      <c r="AH377" s="171"/>
      <c r="AI377" s="180" t="s">
        <v>59</v>
      </c>
      <c r="AJ377" s="170"/>
      <c r="AK377" s="170"/>
      <c r="AL377" s="170"/>
      <c r="AM377" s="170"/>
      <c r="AN377" s="170"/>
      <c r="AO377" s="170"/>
      <c r="AP377" s="170"/>
      <c r="AQ377" s="170"/>
      <c r="AR377" s="170"/>
      <c r="AS377" s="170"/>
      <c r="AT377" s="170"/>
      <c r="AU377" s="170"/>
      <c r="AV377" s="170"/>
      <c r="AW377" s="170"/>
      <c r="AX377" s="170"/>
      <c r="AY377" s="170"/>
      <c r="AZ377" s="180" t="s">
        <v>59</v>
      </c>
      <c r="BA377" s="171">
        <f>(COUNTIF(AJ377:AL377,"*OK*")*3) + (COUNTIF(AM377:AO377,"*OK*")*2) + COUNTIF(AP377:AR377,"*OK*")+COUNTIF(AZ377:AZ377,"SI")*0.5</f>
        <v>0</v>
      </c>
      <c r="BB377" s="171" t="str">
        <f>IF(BA377&lt;0.6,"Demasiado Riesgo",IF(BA377&lt;=5,"Riesgo Medio",IF(BA377&lt;=11,"Riesgo Bajo","Cliente Blindado")))</f>
        <v>Demasiado Riesgo</v>
      </c>
      <c r="BC377" s="171"/>
      <c r="BD377" s="171"/>
      <c r="BE377" s="171">
        <v>0</v>
      </c>
      <c r="BF377" s="171"/>
      <c r="BG377" s="171"/>
      <c r="BH377" s="171"/>
      <c r="BI377" s="171"/>
      <c r="BJ377" s="171"/>
      <c r="BK377" s="171"/>
      <c r="BL377" s="171"/>
      <c r="BM377" s="171"/>
      <c r="BN377" s="171"/>
      <c r="BO377" s="171"/>
      <c r="BP377" s="171"/>
      <c r="BQ377" s="171"/>
      <c r="BR377" s="171"/>
      <c r="BS377" s="171"/>
      <c r="BT377" s="171"/>
      <c r="BU377" s="171"/>
      <c r="BV377" s="171"/>
      <c r="BW377" s="171"/>
      <c r="BX377" s="171"/>
      <c r="BY377" s="171"/>
      <c r="BZ377" s="171"/>
      <c r="CA377" s="171">
        <f>COUNTIF(AJ377:AX377,"*OK*")</f>
        <v>0</v>
      </c>
      <c r="CB377" s="171"/>
      <c r="CC377" s="171">
        <f>COUNTIF(AJ377:AX377,"*OP*")</f>
        <v>0</v>
      </c>
    </row>
    <row r="378" spans="1:81" ht="15" hidden="1" customHeight="1">
      <c r="A378" s="241"/>
      <c r="B378" s="160"/>
      <c r="C378" s="468" t="str">
        <f>T378</f>
        <v> </v>
      </c>
      <c r="D378" s="160">
        <f>COUNTIF(AJ378:AX378,"*OK*")</f>
        <v>0</v>
      </c>
      <c r="E378" s="160"/>
      <c r="F378" s="182" t="s">
        <v>1070</v>
      </c>
      <c r="G378" s="182"/>
      <c r="H378" s="168"/>
      <c r="I378" s="168"/>
      <c r="J378" s="182"/>
      <c r="K378" s="182" t="s">
        <v>68</v>
      </c>
      <c r="L378" s="182" t="s">
        <v>733</v>
      </c>
      <c r="M378" s="182"/>
      <c r="N378" s="182"/>
      <c r="O378" s="161">
        <v>79.39</v>
      </c>
      <c r="P378" s="161">
        <v>68.5</v>
      </c>
      <c r="Q378" s="161">
        <v>58.41</v>
      </c>
      <c r="R378" s="186" t="s">
        <v>59</v>
      </c>
      <c r="S378" s="510">
        <v>0</v>
      </c>
      <c r="T378" s="551" t="s">
        <v>59</v>
      </c>
      <c r="U378" s="164"/>
      <c r="V378" s="165">
        <v>200</v>
      </c>
      <c r="W378" s="187"/>
      <c r="X378" s="207" t="s">
        <v>70</v>
      </c>
      <c r="Y378" s="166" t="s">
        <v>71</v>
      </c>
      <c r="Z378" s="167" t="s">
        <v>1071</v>
      </c>
      <c r="AA378" s="165" t="s">
        <v>71</v>
      </c>
      <c r="AB378" s="188" t="s">
        <v>159</v>
      </c>
      <c r="AC378" s="168"/>
      <c r="AD378" s="160"/>
      <c r="AE378" s="160"/>
      <c r="AF378" s="160"/>
      <c r="AG378" s="160"/>
      <c r="AH378" s="160"/>
      <c r="AI378" s="163" t="s">
        <v>59</v>
      </c>
      <c r="AJ378" s="170"/>
      <c r="AK378" s="170"/>
      <c r="AL378" s="170"/>
      <c r="AM378" s="170"/>
      <c r="AN378" s="170"/>
      <c r="AO378" s="170"/>
      <c r="AP378" s="170"/>
      <c r="AQ378" s="170"/>
      <c r="AR378" s="170"/>
      <c r="AS378" s="170"/>
      <c r="AT378" s="170"/>
      <c r="AU378" s="170"/>
      <c r="AV378" s="170"/>
      <c r="AW378" s="170"/>
      <c r="AX378" s="170"/>
      <c r="AY378" s="170"/>
      <c r="AZ378" s="169" t="s">
        <v>59</v>
      </c>
      <c r="BA378" s="160">
        <f>(COUNTIF(AJ378:AL378,"*OK*")*3) + (COUNTIF(AM378:AO378,"*OK*")*2) + COUNTIF(AP378:AR378,"*OK*")+COUNTIF(AZ378:AZ378,"SI")*0.5</f>
        <v>0</v>
      </c>
      <c r="BB378" s="160" t="str">
        <f>IF(BA378&lt;0.6,"Demasiado Riesgo",IF(BA378&lt;=5,"Riesgo Medio",IF(BA378&lt;=11,"Riesgo Bajo","Cliente Blindado")))</f>
        <v>Demasiado Riesgo</v>
      </c>
      <c r="BC378" s="160"/>
      <c r="BD378" s="160"/>
      <c r="BE378" s="160">
        <v>0</v>
      </c>
      <c r="BF378" s="160"/>
      <c r="BG378" s="160"/>
      <c r="BH378" s="160"/>
      <c r="BI378" s="160"/>
      <c r="BJ378" s="160"/>
      <c r="BK378" s="160"/>
      <c r="BL378" s="160"/>
      <c r="BM378" s="160"/>
      <c r="BN378" s="160"/>
      <c r="BO378" s="160"/>
      <c r="BP378" s="160"/>
      <c r="BQ378" s="160"/>
      <c r="BR378" s="160"/>
      <c r="BS378" s="160"/>
      <c r="BT378" s="160"/>
      <c r="BU378" s="160"/>
      <c r="BV378" s="160"/>
      <c r="BW378" s="160"/>
      <c r="BX378" s="160"/>
      <c r="BY378" s="160"/>
      <c r="BZ378" s="160"/>
      <c r="CA378" s="160">
        <f>COUNTIF(AJ378:AX378,"*OK*")</f>
        <v>0</v>
      </c>
      <c r="CB378" s="160"/>
      <c r="CC378" s="160">
        <f>COUNTIF(AJ378:AX378,"*OP*")</f>
        <v>0</v>
      </c>
    </row>
    <row r="379" spans="1:81" ht="15" hidden="1" customHeight="1">
      <c r="A379" s="240">
        <v>33043</v>
      </c>
      <c r="B379" s="171"/>
      <c r="C379" s="468" t="str">
        <f>T379</f>
        <v> </v>
      </c>
      <c r="D379" s="171">
        <f>COUNTIF(AJ379:AX379,"*OK*")</f>
        <v>0</v>
      </c>
      <c r="E379" s="171"/>
      <c r="F379" s="183" t="s">
        <v>1072</v>
      </c>
      <c r="G379" s="183"/>
      <c r="H379" s="179"/>
      <c r="I379" s="179"/>
      <c r="J379" s="183"/>
      <c r="K379" s="183" t="s">
        <v>68</v>
      </c>
      <c r="L379" s="183" t="s">
        <v>733</v>
      </c>
      <c r="M379" s="183"/>
      <c r="N379" s="183"/>
      <c r="O379" s="172">
        <v>56.55</v>
      </c>
      <c r="P379" s="172">
        <v>56.5</v>
      </c>
      <c r="Q379" s="172">
        <v>53.85</v>
      </c>
      <c r="R379" s="193" t="s">
        <v>59</v>
      </c>
      <c r="S379" s="510">
        <v>0</v>
      </c>
      <c r="T379" s="550" t="s">
        <v>59</v>
      </c>
      <c r="U379" s="175"/>
      <c r="V379" s="176">
        <v>100</v>
      </c>
      <c r="W379" s="194"/>
      <c r="X379" s="211" t="s">
        <v>70</v>
      </c>
      <c r="Y379" s="177" t="s">
        <v>141</v>
      </c>
      <c r="Z379" s="178" t="s">
        <v>1073</v>
      </c>
      <c r="AA379" s="176" t="s">
        <v>59</v>
      </c>
      <c r="AB379" s="195" t="s">
        <v>159</v>
      </c>
      <c r="AC379" s="179"/>
      <c r="AD379" s="171"/>
      <c r="AE379" s="171"/>
      <c r="AF379" s="171"/>
      <c r="AG379" s="171"/>
      <c r="AH379" s="171"/>
      <c r="AI379" s="178" t="s">
        <v>59</v>
      </c>
      <c r="AJ379" s="170"/>
      <c r="AK379" s="170"/>
      <c r="AL379" s="170"/>
      <c r="AM379" s="170"/>
      <c r="AN379" s="170"/>
      <c r="AO379" s="170"/>
      <c r="AP379" s="545"/>
      <c r="AQ379" s="170"/>
      <c r="AR379" s="170"/>
      <c r="AS379" s="170"/>
      <c r="AT379" s="170"/>
      <c r="AU379" s="170"/>
      <c r="AV379" s="170"/>
      <c r="AW379" s="170"/>
      <c r="AX379" s="170"/>
      <c r="AY379" s="170"/>
      <c r="AZ379" s="178" t="s">
        <v>59</v>
      </c>
      <c r="BA379" s="171">
        <f>(COUNTIF(AJ379:AL379,"*OK*")*3) + (COUNTIF(AM379:AO379,"*OK*")*2) + COUNTIF(AP379:AR379,"*OK*")+COUNTIF(AZ379:AZ379,"SI")*0.5</f>
        <v>0</v>
      </c>
      <c r="BB379" s="171" t="str">
        <f>IF(BA379&lt;0.6,"Demasiado Riesgo",IF(BA379&lt;=5,"Riesgo Medio",IF(BA379&lt;=11,"Riesgo Bajo","Cliente Blindado")))</f>
        <v>Demasiado Riesgo</v>
      </c>
      <c r="BC379" s="171"/>
      <c r="BD379" s="171"/>
      <c r="BE379" s="171">
        <v>0</v>
      </c>
      <c r="BF379" s="171"/>
      <c r="BG379" s="171"/>
      <c r="BH379" s="171"/>
      <c r="BI379" s="171"/>
      <c r="BJ379" s="171"/>
      <c r="BK379" s="171"/>
      <c r="BL379" s="171"/>
      <c r="BM379" s="171"/>
      <c r="BN379" s="171"/>
      <c r="BO379" s="171"/>
      <c r="BP379" s="171"/>
      <c r="BQ379" s="171"/>
      <c r="BR379" s="171"/>
      <c r="BS379" s="171"/>
      <c r="BT379" s="171"/>
      <c r="BU379" s="171"/>
      <c r="BV379" s="171"/>
      <c r="BW379" s="171"/>
      <c r="BX379" s="171"/>
      <c r="BY379" s="171"/>
      <c r="BZ379" s="171"/>
      <c r="CA379" s="171">
        <f>COUNTIF(AJ379:AX379,"*OK*")</f>
        <v>0</v>
      </c>
      <c r="CB379" s="171"/>
      <c r="CC379" s="171">
        <f>COUNTIF(AJ379:AX379,"*OP*")</f>
        <v>0</v>
      </c>
    </row>
    <row r="380" spans="1:81" ht="15" hidden="1" customHeight="1">
      <c r="A380" s="241">
        <v>35832</v>
      </c>
      <c r="B380" s="160"/>
      <c r="C380" s="468" t="str">
        <f>T380</f>
        <v> </v>
      </c>
      <c r="D380" s="160">
        <f>COUNTIF(AJ380:AX380,"*OK*")</f>
        <v>0</v>
      </c>
      <c r="E380" s="160"/>
      <c r="F380" s="184" t="s">
        <v>1074</v>
      </c>
      <c r="G380" s="182"/>
      <c r="H380" s="168"/>
      <c r="I380" s="168"/>
      <c r="J380" s="182" t="s">
        <v>1007</v>
      </c>
      <c r="K380" s="196" t="s">
        <v>68</v>
      </c>
      <c r="L380" s="213" t="s">
        <v>768</v>
      </c>
      <c r="M380" s="182"/>
      <c r="N380" s="182"/>
      <c r="O380" s="221"/>
      <c r="P380" s="221">
        <v>43</v>
      </c>
      <c r="Q380" s="221">
        <v>47</v>
      </c>
      <c r="R380" s="186" t="s">
        <v>59</v>
      </c>
      <c r="S380" s="510"/>
      <c r="T380" s="551" t="s">
        <v>59</v>
      </c>
      <c r="U380" s="164">
        <v>47</v>
      </c>
      <c r="V380" s="165">
        <v>100</v>
      </c>
      <c r="W380" s="187"/>
      <c r="X380" s="207" t="s">
        <v>70</v>
      </c>
      <c r="Y380" s="166" t="s">
        <v>80</v>
      </c>
      <c r="Z380" s="167" t="s">
        <v>1075</v>
      </c>
      <c r="AA380" s="165" t="s">
        <v>59</v>
      </c>
      <c r="AB380" s="188" t="s">
        <v>61</v>
      </c>
      <c r="AC380" s="168" t="s">
        <v>84</v>
      </c>
      <c r="AD380" s="160"/>
      <c r="AE380" s="160"/>
      <c r="AF380" s="160"/>
      <c r="AG380" s="160"/>
      <c r="AH380" s="160"/>
      <c r="AI380" s="167" t="s">
        <v>59</v>
      </c>
      <c r="AJ380" s="170"/>
      <c r="AK380" s="170"/>
      <c r="AL380" s="170"/>
      <c r="AM380" s="170"/>
      <c r="AN380" s="170"/>
      <c r="AO380" s="170"/>
      <c r="AP380" s="545"/>
      <c r="AQ380" s="170"/>
      <c r="AR380" s="170"/>
      <c r="AS380" s="170"/>
      <c r="AT380" s="170"/>
      <c r="AU380" s="170"/>
      <c r="AV380" s="170"/>
      <c r="AW380" s="170"/>
      <c r="AX380" s="170"/>
      <c r="AY380" s="170"/>
      <c r="AZ380" s="167" t="s">
        <v>59</v>
      </c>
      <c r="BA380" s="160">
        <f>(COUNTIF(AJ380:AL380,"*OK*")*3) + (COUNTIF(AM380:AO380,"*OK*")*2) + COUNTIF(AP380:AR380,"*OK*")+COUNTIF(AZ380:AZ380,"SI")*0.5</f>
        <v>0</v>
      </c>
      <c r="BB380" s="160" t="str">
        <f>IF(BA380&lt;0.6,"Demasiado Riesgo",IF(BA380&lt;=5,"Riesgo Medio",IF(BA380&lt;=11,"Riesgo Bajo","Cliente Blindado")))</f>
        <v>Demasiado Riesgo</v>
      </c>
      <c r="BC380" s="160"/>
      <c r="BD380" s="160"/>
      <c r="BE380" s="160">
        <v>0</v>
      </c>
      <c r="BF380" s="160"/>
      <c r="BG380" s="160"/>
      <c r="BH380" s="160"/>
      <c r="BI380" s="160"/>
      <c r="BJ380" s="160"/>
      <c r="BK380" s="160"/>
      <c r="BL380" s="160"/>
      <c r="BM380" s="160"/>
      <c r="BN380" s="160"/>
      <c r="BO380" s="160"/>
      <c r="BP380" s="160"/>
      <c r="BQ380" s="160"/>
      <c r="BR380" s="160"/>
      <c r="BS380" s="160"/>
      <c r="BT380" s="160"/>
      <c r="BU380" s="160"/>
      <c r="BV380" s="160"/>
      <c r="BW380" s="160"/>
      <c r="BX380" s="160"/>
      <c r="BY380" s="160"/>
      <c r="BZ380" s="160"/>
      <c r="CA380" s="160">
        <f>COUNTIF(AJ380:AX380,"*OK*")</f>
        <v>0</v>
      </c>
      <c r="CB380" s="160"/>
      <c r="CC380" s="160">
        <f>COUNTIF(AJ380:AX380,"*OP*")</f>
        <v>0</v>
      </c>
    </row>
    <row r="381" spans="1:81" ht="15" hidden="1" customHeight="1">
      <c r="A381" s="241"/>
      <c r="B381" s="160"/>
      <c r="C381" s="468" t="str">
        <f>T381</f>
        <v> </v>
      </c>
      <c r="D381" s="160">
        <f>COUNTIF(AJ381:AX381,"*OK*")</f>
        <v>0</v>
      </c>
      <c r="E381" s="160"/>
      <c r="F381" s="182" t="s">
        <v>1076</v>
      </c>
      <c r="G381" s="182"/>
      <c r="H381" s="168"/>
      <c r="I381" s="168"/>
      <c r="J381" s="182"/>
      <c r="K381" s="196" t="s">
        <v>68</v>
      </c>
      <c r="L381" s="182" t="s">
        <v>733</v>
      </c>
      <c r="M381" s="182"/>
      <c r="N381" s="182"/>
      <c r="O381" s="161">
        <v>35.19</v>
      </c>
      <c r="P381" s="161">
        <v>39.06</v>
      </c>
      <c r="Q381" s="161"/>
      <c r="R381" s="232" t="s">
        <v>59</v>
      </c>
      <c r="S381" s="510">
        <v>0</v>
      </c>
      <c r="T381" s="557" t="s">
        <v>59</v>
      </c>
      <c r="U381" s="164"/>
      <c r="V381" s="165">
        <v>50</v>
      </c>
      <c r="W381" s="187"/>
      <c r="X381" s="207" t="s">
        <v>70</v>
      </c>
      <c r="Y381" s="166" t="s">
        <v>71</v>
      </c>
      <c r="Z381" s="167" t="s">
        <v>1077</v>
      </c>
      <c r="AA381" s="165" t="s">
        <v>59</v>
      </c>
      <c r="AB381" s="188" t="s">
        <v>159</v>
      </c>
      <c r="AC381" s="168" t="s">
        <v>139</v>
      </c>
      <c r="AD381" s="160"/>
      <c r="AE381" s="160"/>
      <c r="AF381" s="160"/>
      <c r="AG381" s="160"/>
      <c r="AH381" s="160"/>
      <c r="AI381" s="167" t="s">
        <v>59</v>
      </c>
      <c r="AJ381" s="214"/>
      <c r="AK381" s="214"/>
      <c r="AL381" s="217"/>
      <c r="AM381" s="214"/>
      <c r="AN381" s="217"/>
      <c r="AO381" s="214"/>
      <c r="AP381" s="214"/>
      <c r="AQ381" s="217"/>
      <c r="AR381" s="214"/>
      <c r="AS381" s="214"/>
      <c r="AT381" s="214"/>
      <c r="AU381" s="214"/>
      <c r="AV381" s="214"/>
      <c r="AW381" s="214"/>
      <c r="AX381" s="214"/>
      <c r="AY381" s="214"/>
      <c r="AZ381" s="167" t="s">
        <v>59</v>
      </c>
      <c r="BA381" s="160">
        <f>(COUNTIF(AJ381:AL381,"*OK*")*3) + (COUNTIF(AM381:AO381,"*OK*")*2) + COUNTIF(AP381:AR381,"*OK*")+COUNTIF(AZ381:AZ381,"SI")*0.5</f>
        <v>0</v>
      </c>
      <c r="BB381" s="160" t="str">
        <f>IF(BA381&lt;0.6,"Demasiado Riesgo",IF(BA381&lt;=5,"Riesgo Medio",IF(BA381&lt;=11,"Riesgo Bajo","Cliente Blindado")))</f>
        <v>Demasiado Riesgo</v>
      </c>
      <c r="BC381" s="160"/>
      <c r="BD381" s="160"/>
      <c r="BE381" s="160">
        <v>0</v>
      </c>
      <c r="BF381" s="160"/>
      <c r="BG381" s="160"/>
      <c r="BH381" s="160"/>
      <c r="BI381" s="160"/>
      <c r="BJ381" s="160"/>
      <c r="BK381" s="160"/>
      <c r="BL381" s="160"/>
      <c r="BM381" s="160"/>
      <c r="BN381" s="160"/>
      <c r="BO381" s="160"/>
      <c r="BP381" s="160"/>
      <c r="BQ381" s="160"/>
      <c r="BR381" s="160"/>
      <c r="BS381" s="160"/>
      <c r="BT381" s="160"/>
      <c r="BU381" s="160"/>
      <c r="BV381" s="160"/>
      <c r="BW381" s="160"/>
      <c r="BX381" s="160"/>
      <c r="BY381" s="160"/>
      <c r="BZ381" s="160"/>
      <c r="CA381" s="160">
        <f>COUNTIF(AJ381:AX381,"*OK*")</f>
        <v>0</v>
      </c>
      <c r="CB381" s="160"/>
      <c r="CC381" s="160">
        <f>COUNTIF(AJ381:AX381,"*OP*")</f>
        <v>0</v>
      </c>
    </row>
    <row r="382" spans="1:81" ht="15" customHeight="1">
      <c r="A382" s="241"/>
      <c r="B382" s="160"/>
      <c r="C382" s="468" t="str">
        <f>T382</f>
        <v> </v>
      </c>
      <c r="D382" s="160">
        <f>COUNTIF(AJ382:AX382,"*OK*")</f>
        <v>0</v>
      </c>
      <c r="E382" s="160"/>
      <c r="F382" s="266" t="s">
        <v>1078</v>
      </c>
      <c r="G382" s="182"/>
      <c r="H382" s="168" t="s">
        <v>455</v>
      </c>
      <c r="I382" s="168"/>
      <c r="J382" s="182" t="s">
        <v>1079</v>
      </c>
      <c r="K382" s="185" t="s">
        <v>68</v>
      </c>
      <c r="L382" s="173" t="s">
        <v>456</v>
      </c>
      <c r="M382" s="182"/>
      <c r="N382" s="182"/>
      <c r="O382" s="161"/>
      <c r="P382" s="161">
        <v>141.97999999999999</v>
      </c>
      <c r="Q382" s="161">
        <v>267.85000000000002</v>
      </c>
      <c r="R382" s="186">
        <v>513.04</v>
      </c>
      <c r="S382" s="510">
        <v>538.42639999999994</v>
      </c>
      <c r="T382" s="551" t="s">
        <v>59</v>
      </c>
      <c r="U382" s="164"/>
      <c r="V382" s="165">
        <v>100</v>
      </c>
      <c r="W382" s="187"/>
      <c r="X382" s="207" t="s">
        <v>70</v>
      </c>
      <c r="Y382" s="166" t="s">
        <v>71</v>
      </c>
      <c r="Z382" s="167" t="s">
        <v>1080</v>
      </c>
      <c r="AA382" s="165" t="s">
        <v>59</v>
      </c>
      <c r="AB382" s="188" t="s">
        <v>65</v>
      </c>
      <c r="AC382" s="168"/>
      <c r="AD382" s="160"/>
      <c r="AE382" s="160"/>
      <c r="AF382" s="160"/>
      <c r="AG382" s="160"/>
      <c r="AH382" s="160"/>
      <c r="AI382" s="169" t="s">
        <v>59</v>
      </c>
      <c r="AJ382" s="214"/>
      <c r="AK382" s="214"/>
      <c r="AL382" s="214"/>
      <c r="AM382" s="214"/>
      <c r="AN382" s="214"/>
      <c r="AO382" s="214"/>
      <c r="AP382" s="214"/>
      <c r="AQ382" s="214"/>
      <c r="AR382" s="214"/>
      <c r="AS382" s="214"/>
      <c r="AT382" s="214"/>
      <c r="AU382" s="214"/>
      <c r="AV382" s="214"/>
      <c r="AW382" s="214"/>
      <c r="AX382" s="214"/>
      <c r="AY382" s="214"/>
      <c r="AZ382" s="169" t="s">
        <v>59</v>
      </c>
      <c r="BA382" s="160">
        <f>(COUNTIF(AJ382:AL382,"*OK*")*3) + (COUNTIF(AM382:AO382,"*OK*")*2) + COUNTIF(AP382:AR382,"*OK*")+COUNTIF(AZ382:AZ382,"SI")*0.5</f>
        <v>0</v>
      </c>
      <c r="BB382" s="160" t="str">
        <f>IF(BA382&lt;0.6,"Demasiado Riesgo",IF(BA382&lt;=5,"Riesgo Medio",IF(BA382&lt;=11,"Riesgo Bajo","Cliente Blindado")))</f>
        <v>Demasiado Riesgo</v>
      </c>
      <c r="BC382" s="160"/>
      <c r="BD382" s="160"/>
      <c r="BE382" s="160">
        <v>0</v>
      </c>
      <c r="BF382" s="160"/>
      <c r="BG382" s="160"/>
      <c r="BH382" s="160"/>
      <c r="BI382" s="160"/>
      <c r="BJ382" s="160"/>
      <c r="BK382" s="160"/>
      <c r="BL382" s="160"/>
      <c r="BM382" s="160"/>
      <c r="BN382" s="160"/>
      <c r="BO382" s="160"/>
      <c r="BP382" s="160"/>
      <c r="BQ382" s="160"/>
      <c r="BR382" s="160"/>
      <c r="BS382" s="160"/>
      <c r="BT382" s="160"/>
      <c r="BU382" s="160"/>
      <c r="BV382" s="160"/>
      <c r="BW382" s="160"/>
      <c r="BX382" s="160"/>
      <c r="BY382" s="160"/>
      <c r="BZ382" s="160"/>
      <c r="CA382" s="160">
        <f>COUNTIF(AJ382:AX382,"*OK*")</f>
        <v>0</v>
      </c>
      <c r="CB382" s="160"/>
      <c r="CC382" s="160">
        <f>COUNTIF(AJ382:AX382,"*OP*")</f>
        <v>0</v>
      </c>
    </row>
    <row r="383" spans="1:81" ht="15" hidden="1" customHeight="1">
      <c r="A383" s="240"/>
      <c r="B383" s="171"/>
      <c r="C383" s="468" t="str">
        <f>T383</f>
        <v> </v>
      </c>
      <c r="D383" s="171">
        <f>COUNTIF(AJ383:AX383,"*OK*")</f>
        <v>0</v>
      </c>
      <c r="E383" s="171"/>
      <c r="F383" s="183" t="s">
        <v>1081</v>
      </c>
      <c r="G383" s="183"/>
      <c r="H383" s="179"/>
      <c r="I383" s="179"/>
      <c r="J383" s="183"/>
      <c r="K383" s="183" t="s">
        <v>68</v>
      </c>
      <c r="L383" s="183" t="s">
        <v>733</v>
      </c>
      <c r="M383" s="183"/>
      <c r="N383" s="183"/>
      <c r="O383" s="172"/>
      <c r="P383" s="172">
        <v>184.57</v>
      </c>
      <c r="Q383" s="172">
        <v>140</v>
      </c>
      <c r="R383" s="193">
        <v>174.15</v>
      </c>
      <c r="S383" s="510">
        <v>3.7551000000000001</v>
      </c>
      <c r="T383" s="550" t="s">
        <v>59</v>
      </c>
      <c r="U383" s="175"/>
      <c r="V383" s="176">
        <v>50</v>
      </c>
      <c r="W383" s="194"/>
      <c r="X383" s="211" t="s">
        <v>70</v>
      </c>
      <c r="Y383" s="177" t="s">
        <v>71</v>
      </c>
      <c r="Z383" s="178" t="s">
        <v>1082</v>
      </c>
      <c r="AA383" s="176" t="s">
        <v>59</v>
      </c>
      <c r="AB383" s="195" t="s">
        <v>65</v>
      </c>
      <c r="AC383" s="179"/>
      <c r="AD383" s="171"/>
      <c r="AE383" s="171"/>
      <c r="AF383" s="171"/>
      <c r="AG383" s="171"/>
      <c r="AH383" s="171"/>
      <c r="AI383" s="174" t="s">
        <v>59</v>
      </c>
      <c r="AJ383" s="170"/>
      <c r="AK383" s="170"/>
      <c r="AL383" s="170"/>
      <c r="AM383" s="170"/>
      <c r="AN383" s="170"/>
      <c r="AO383" s="170"/>
      <c r="AP383" s="170"/>
      <c r="AQ383" s="170"/>
      <c r="AR383" s="170"/>
      <c r="AS383" s="170"/>
      <c r="AT383" s="170"/>
      <c r="AU383" s="170"/>
      <c r="AV383" s="170"/>
      <c r="AW383" s="170"/>
      <c r="AX383" s="170"/>
      <c r="AY383" s="170"/>
      <c r="AZ383" s="180" t="s">
        <v>59</v>
      </c>
      <c r="BA383" s="171">
        <f>(COUNTIF(AJ383:AL383,"*OK*")*3) + (COUNTIF(AM383:AO383,"*OK*")*2) + COUNTIF(AP383:AR383,"*OK*")+COUNTIF(AZ383:AZ383,"SI")*0.5</f>
        <v>0</v>
      </c>
      <c r="BB383" s="171" t="str">
        <f>IF(BA383&lt;0.6,"Demasiado Riesgo",IF(BA383&lt;=5,"Riesgo Medio",IF(BA383&lt;=11,"Riesgo Bajo","Cliente Blindado")))</f>
        <v>Demasiado Riesgo</v>
      </c>
      <c r="BC383" s="171"/>
      <c r="BD383" s="171"/>
      <c r="BE383" s="171">
        <v>0</v>
      </c>
      <c r="BF383" s="171"/>
      <c r="BG383" s="171"/>
      <c r="BH383" s="171"/>
      <c r="BI383" s="171"/>
      <c r="BJ383" s="171"/>
      <c r="BK383" s="171"/>
      <c r="BL383" s="171"/>
      <c r="BM383" s="171"/>
      <c r="BN383" s="171"/>
      <c r="BO383" s="171"/>
      <c r="BP383" s="171"/>
      <c r="BQ383" s="171"/>
      <c r="BR383" s="171"/>
      <c r="BS383" s="171"/>
      <c r="BT383" s="171"/>
      <c r="BU383" s="171"/>
      <c r="BV383" s="171"/>
      <c r="BW383" s="171"/>
      <c r="BX383" s="171"/>
      <c r="BY383" s="171"/>
      <c r="BZ383" s="171"/>
      <c r="CA383" s="171">
        <f>COUNTIF(AJ383:AX383,"*OK*")</f>
        <v>0</v>
      </c>
      <c r="CB383" s="171"/>
      <c r="CC383" s="171">
        <f>COUNTIF(AJ383:AX383,"*OP*")</f>
        <v>0</v>
      </c>
    </row>
    <row r="384" spans="1:81" ht="15" customHeight="1">
      <c r="A384" s="240"/>
      <c r="B384" s="171"/>
      <c r="C384" s="468" t="str">
        <f>T384</f>
        <v> </v>
      </c>
      <c r="D384" s="171">
        <f>COUNTIF(AJ384:AX384,"*OK*")</f>
        <v>0</v>
      </c>
      <c r="E384" s="171"/>
      <c r="F384" s="183" t="s">
        <v>1083</v>
      </c>
      <c r="G384" s="183"/>
      <c r="H384" s="168" t="s">
        <v>455</v>
      </c>
      <c r="I384" s="179"/>
      <c r="J384" s="183"/>
      <c r="K384" s="192" t="s">
        <v>68</v>
      </c>
      <c r="L384" s="173" t="s">
        <v>456</v>
      </c>
      <c r="M384" s="183"/>
      <c r="N384" s="183" t="s">
        <v>136</v>
      </c>
      <c r="O384" s="172">
        <v>145.01</v>
      </c>
      <c r="P384" s="172">
        <v>144.88</v>
      </c>
      <c r="Q384" s="172">
        <v>138.07</v>
      </c>
      <c r="R384" s="193">
        <v>142.51</v>
      </c>
      <c r="S384" s="510">
        <v>0</v>
      </c>
      <c r="T384" s="550" t="s">
        <v>59</v>
      </c>
      <c r="U384" s="175"/>
      <c r="V384" s="176">
        <v>150</v>
      </c>
      <c r="W384" s="194"/>
      <c r="X384" s="205" t="s">
        <v>231</v>
      </c>
      <c r="Y384" s="177" t="s">
        <v>80</v>
      </c>
      <c r="Z384" s="178" t="s">
        <v>1084</v>
      </c>
      <c r="AA384" s="176" t="s">
        <v>59</v>
      </c>
      <c r="AB384" s="178" t="s">
        <v>288</v>
      </c>
      <c r="AC384" s="179"/>
      <c r="AD384" s="171"/>
      <c r="AE384" s="171"/>
      <c r="AF384" s="171"/>
      <c r="AG384" s="171"/>
      <c r="AH384" s="171"/>
      <c r="AI384" s="178" t="s">
        <v>59</v>
      </c>
      <c r="AJ384" s="170"/>
      <c r="AK384" s="170"/>
      <c r="AL384" s="545"/>
      <c r="AM384" s="170"/>
      <c r="AN384" s="545"/>
      <c r="AO384" s="170"/>
      <c r="AP384" s="170"/>
      <c r="AQ384" s="170"/>
      <c r="AR384" s="170"/>
      <c r="AS384" s="170"/>
      <c r="AT384" s="170"/>
      <c r="AU384" s="170"/>
      <c r="AV384" s="170"/>
      <c r="AW384" s="170"/>
      <c r="AX384" s="170"/>
      <c r="AY384" s="170"/>
      <c r="AZ384" s="178" t="s">
        <v>59</v>
      </c>
      <c r="BA384" s="171">
        <f>(COUNTIF(AJ384:AL384,"*OK*")*3) + (COUNTIF(AM384:AO384,"*OK*")*2) + COUNTIF(AP384:AR384,"*OK*")+COUNTIF(AZ384:AZ384,"SI")*0.5</f>
        <v>0</v>
      </c>
      <c r="BB384" s="171" t="str">
        <f>IF(BA384&lt;0.6,"Demasiado Riesgo",IF(BA384&lt;=5,"Riesgo Medio",IF(BA384&lt;=11,"Riesgo Bajo","Cliente Blindado")))</f>
        <v>Demasiado Riesgo</v>
      </c>
      <c r="BC384" s="171"/>
      <c r="BD384" s="171"/>
      <c r="BE384" s="171">
        <v>0</v>
      </c>
      <c r="BF384" s="171"/>
      <c r="BG384" s="171"/>
      <c r="BH384" s="171"/>
      <c r="BI384" s="171"/>
      <c r="BJ384" s="171"/>
      <c r="BK384" s="171"/>
      <c r="BL384" s="171"/>
      <c r="BM384" s="171"/>
      <c r="BN384" s="171"/>
      <c r="BO384" s="171"/>
      <c r="BP384" s="171"/>
      <c r="BQ384" s="171"/>
      <c r="BR384" s="171"/>
      <c r="BS384" s="171"/>
      <c r="BT384" s="171"/>
      <c r="BU384" s="171"/>
      <c r="BV384" s="171"/>
      <c r="BW384" s="171"/>
      <c r="BX384" s="171"/>
      <c r="BY384" s="171"/>
      <c r="BZ384" s="171"/>
      <c r="CA384" s="171">
        <f>COUNTIF(AJ384:AX384,"*OK*")</f>
        <v>0</v>
      </c>
      <c r="CB384" s="171"/>
      <c r="CC384" s="171">
        <f>COUNTIF(AJ384:AX384,"*OP*")</f>
        <v>0</v>
      </c>
    </row>
    <row r="385" spans="1:81" ht="15" hidden="1" customHeight="1">
      <c r="A385" s="241">
        <v>32375</v>
      </c>
      <c r="B385" s="160"/>
      <c r="C385" s="468" t="str">
        <f>T385</f>
        <v> </v>
      </c>
      <c r="D385" s="160">
        <f>COUNTIF(AJ385:AX385,"*OK*")</f>
        <v>0</v>
      </c>
      <c r="E385" s="160"/>
      <c r="F385" s="182" t="s">
        <v>1085</v>
      </c>
      <c r="G385" s="182"/>
      <c r="H385" s="168"/>
      <c r="I385" s="168"/>
      <c r="J385" s="182"/>
      <c r="K385" s="182" t="s">
        <v>68</v>
      </c>
      <c r="L385" s="182" t="s">
        <v>733</v>
      </c>
      <c r="M385" s="182"/>
      <c r="N385" s="182" t="s">
        <v>136</v>
      </c>
      <c r="O385" s="161">
        <v>58.64</v>
      </c>
      <c r="P385" s="161">
        <v>62.49</v>
      </c>
      <c r="Q385" s="161">
        <v>74.45</v>
      </c>
      <c r="R385" s="186">
        <v>73</v>
      </c>
      <c r="S385" s="510">
        <v>73.9816</v>
      </c>
      <c r="T385" s="551" t="s">
        <v>59</v>
      </c>
      <c r="U385" s="164"/>
      <c r="V385" s="165">
        <v>100</v>
      </c>
      <c r="W385" s="187"/>
      <c r="X385" s="207" t="s">
        <v>70</v>
      </c>
      <c r="Y385" s="166" t="s">
        <v>243</v>
      </c>
      <c r="Z385" s="167" t="s">
        <v>1086</v>
      </c>
      <c r="AA385" s="165" t="s">
        <v>59</v>
      </c>
      <c r="AB385" s="167" t="s">
        <v>159</v>
      </c>
      <c r="AC385" s="168"/>
      <c r="AD385" s="160"/>
      <c r="AE385" s="160"/>
      <c r="AF385" s="160"/>
      <c r="AG385" s="160"/>
      <c r="AH385" s="160"/>
      <c r="AI385" s="167" t="s">
        <v>59</v>
      </c>
      <c r="AJ385" s="170"/>
      <c r="AK385" s="170"/>
      <c r="AL385" s="170"/>
      <c r="AM385" s="170"/>
      <c r="AN385" s="170"/>
      <c r="AO385" s="170"/>
      <c r="AP385" s="170"/>
      <c r="AQ385" s="545"/>
      <c r="AR385" s="170"/>
      <c r="AS385" s="170"/>
      <c r="AT385" s="170"/>
      <c r="AU385" s="170"/>
      <c r="AV385" s="170"/>
      <c r="AW385" s="170"/>
      <c r="AX385" s="170"/>
      <c r="AY385" s="170"/>
      <c r="AZ385" s="167" t="s">
        <v>59</v>
      </c>
      <c r="BA385" s="160">
        <f>(COUNTIF(AJ385:AL385,"*OK*")*3) + (COUNTIF(AM385:AO385,"*OK*")*2) + COUNTIF(AP385:AR385,"*OK*")+COUNTIF(AZ385:AZ385,"SI")*0.5</f>
        <v>0</v>
      </c>
      <c r="BB385" s="160" t="str">
        <f>IF(BA385&lt;0.6,"Demasiado Riesgo",IF(BA385&lt;=5,"Riesgo Medio",IF(BA385&lt;=11,"Riesgo Bajo","Cliente Blindado")))</f>
        <v>Demasiado Riesgo</v>
      </c>
      <c r="BC385" s="160"/>
      <c r="BD385" s="160"/>
      <c r="BE385" s="160">
        <v>0</v>
      </c>
      <c r="BF385" s="160"/>
      <c r="BG385" s="160"/>
      <c r="BH385" s="160"/>
      <c r="BI385" s="160"/>
      <c r="BJ385" s="160"/>
      <c r="BK385" s="160"/>
      <c r="BL385" s="160"/>
      <c r="BM385" s="160"/>
      <c r="BN385" s="160"/>
      <c r="BO385" s="160"/>
      <c r="BP385" s="160"/>
      <c r="BQ385" s="160"/>
      <c r="BR385" s="160"/>
      <c r="BS385" s="160"/>
      <c r="BT385" s="160"/>
      <c r="BU385" s="160"/>
      <c r="BV385" s="160"/>
      <c r="BW385" s="160"/>
      <c r="BX385" s="160"/>
      <c r="BY385" s="160"/>
      <c r="BZ385" s="160"/>
      <c r="CA385" s="160">
        <f>COUNTIF(AJ385:AX385,"*OK*")</f>
        <v>0</v>
      </c>
      <c r="CB385" s="160"/>
      <c r="CC385" s="160">
        <f>COUNTIF(AJ385:AX385,"*OP*")</f>
        <v>0</v>
      </c>
    </row>
    <row r="386" spans="1:81" ht="15" hidden="1" customHeight="1">
      <c r="A386" s="241"/>
      <c r="B386" s="160"/>
      <c r="C386" s="468" t="str">
        <f>T386</f>
        <v> </v>
      </c>
      <c r="D386" s="160">
        <f>COUNTIF(AJ386:AX386,"*OK*")</f>
        <v>0</v>
      </c>
      <c r="E386" s="160"/>
      <c r="F386" s="182" t="s">
        <v>1087</v>
      </c>
      <c r="G386" s="182"/>
      <c r="H386" s="168"/>
      <c r="I386" s="168"/>
      <c r="J386" s="182"/>
      <c r="K386" s="185" t="s">
        <v>68</v>
      </c>
      <c r="L386" s="182" t="s">
        <v>733</v>
      </c>
      <c r="M386" s="182"/>
      <c r="N386" s="182"/>
      <c r="O386" s="161">
        <v>56.55</v>
      </c>
      <c r="P386" s="161">
        <v>56.5</v>
      </c>
      <c r="Q386" s="161">
        <v>53.85</v>
      </c>
      <c r="R386" s="186">
        <v>55.58</v>
      </c>
      <c r="S386" s="510">
        <v>0</v>
      </c>
      <c r="T386" s="551" t="s">
        <v>59</v>
      </c>
      <c r="U386" s="164"/>
      <c r="V386" s="165">
        <v>50</v>
      </c>
      <c r="W386" s="187"/>
      <c r="X386" s="207" t="s">
        <v>70</v>
      </c>
      <c r="Y386" s="166" t="s">
        <v>71</v>
      </c>
      <c r="Z386" s="167" t="s">
        <v>806</v>
      </c>
      <c r="AA386" s="165" t="s">
        <v>59</v>
      </c>
      <c r="AB386" s="167" t="s">
        <v>65</v>
      </c>
      <c r="AC386" s="168"/>
      <c r="AD386" s="160"/>
      <c r="AE386" s="160"/>
      <c r="AF386" s="160"/>
      <c r="AG386" s="160"/>
      <c r="AH386" s="160"/>
      <c r="AI386" s="167" t="s">
        <v>59</v>
      </c>
      <c r="AJ386" s="170"/>
      <c r="AK386" s="170"/>
      <c r="AL386" s="170"/>
      <c r="AM386" s="170"/>
      <c r="AN386" s="170"/>
      <c r="AO386" s="170"/>
      <c r="AP386" s="545"/>
      <c r="AQ386" s="170"/>
      <c r="AR386" s="170"/>
      <c r="AS386" s="170"/>
      <c r="AT386" s="170"/>
      <c r="AU386" s="170"/>
      <c r="AV386" s="170"/>
      <c r="AW386" s="170"/>
      <c r="AX386" s="170"/>
      <c r="AY386" s="170"/>
      <c r="AZ386" s="167" t="s">
        <v>59</v>
      </c>
      <c r="BA386" s="160">
        <f>(COUNTIF(AJ386:AL386,"*OK*")*3) + (COUNTIF(AM386:AO386,"*OK*")*2) + COUNTIF(AP386:AR386,"*OK*")+COUNTIF(AZ386:AZ386,"SI")*0.5</f>
        <v>0</v>
      </c>
      <c r="BB386" s="160" t="str">
        <f>IF(BA386&lt;0.6,"Demasiado Riesgo",IF(BA386&lt;=5,"Riesgo Medio",IF(BA386&lt;=11,"Riesgo Bajo","Cliente Blindado")))</f>
        <v>Demasiado Riesgo</v>
      </c>
      <c r="BC386" s="160"/>
      <c r="BD386" s="160"/>
      <c r="BE386" s="160">
        <v>0</v>
      </c>
      <c r="BF386" s="160"/>
      <c r="BG386" s="160"/>
      <c r="BH386" s="160"/>
      <c r="BI386" s="160"/>
      <c r="BJ386" s="160"/>
      <c r="BK386" s="160"/>
      <c r="BL386" s="160"/>
      <c r="BM386" s="160"/>
      <c r="BN386" s="160"/>
      <c r="BO386" s="160"/>
      <c r="BP386" s="160"/>
      <c r="BQ386" s="160"/>
      <c r="BR386" s="160"/>
      <c r="BS386" s="160"/>
      <c r="BT386" s="160"/>
      <c r="BU386" s="160"/>
      <c r="BV386" s="160"/>
      <c r="BW386" s="160"/>
      <c r="BX386" s="160"/>
      <c r="BY386" s="160"/>
      <c r="BZ386" s="160"/>
      <c r="CA386" s="160">
        <f>COUNTIF(AJ386:AX386,"*OK*")</f>
        <v>0</v>
      </c>
      <c r="CB386" s="160"/>
      <c r="CC386" s="160">
        <f>COUNTIF(AJ386:AX386,"*OP*")</f>
        <v>0</v>
      </c>
    </row>
    <row r="387" spans="1:81" ht="15" hidden="1" customHeight="1">
      <c r="A387" s="240">
        <v>33070</v>
      </c>
      <c r="B387" s="171"/>
      <c r="C387" s="468" t="str">
        <f>T387</f>
        <v> </v>
      </c>
      <c r="D387" s="171">
        <f>COUNTIF(AJ387:AX387,"*OK*")</f>
        <v>0</v>
      </c>
      <c r="E387" s="171"/>
      <c r="F387" s="183" t="s">
        <v>1088</v>
      </c>
      <c r="G387" s="183"/>
      <c r="H387" s="179"/>
      <c r="I387" s="179"/>
      <c r="J387" s="183"/>
      <c r="K387" s="183" t="s">
        <v>68</v>
      </c>
      <c r="L387" s="183" t="s">
        <v>733</v>
      </c>
      <c r="M387" s="183"/>
      <c r="N387" s="183" t="s">
        <v>136</v>
      </c>
      <c r="O387" s="172">
        <v>51.12</v>
      </c>
      <c r="P387" s="172">
        <v>51.08</v>
      </c>
      <c r="Q387" s="172">
        <v>48.68</v>
      </c>
      <c r="R387" s="193">
        <v>50.24</v>
      </c>
      <c r="S387" s="510">
        <v>50.919400000000003</v>
      </c>
      <c r="T387" s="550" t="s">
        <v>59</v>
      </c>
      <c r="U387" s="175"/>
      <c r="V387" s="176">
        <v>50</v>
      </c>
      <c r="W387" s="194"/>
      <c r="X387" s="211" t="s">
        <v>70</v>
      </c>
      <c r="Y387" s="177" t="s">
        <v>80</v>
      </c>
      <c r="Z387" s="178" t="s">
        <v>1089</v>
      </c>
      <c r="AA387" s="176" t="s">
        <v>59</v>
      </c>
      <c r="AB387" s="178" t="s">
        <v>104</v>
      </c>
      <c r="AC387" s="179"/>
      <c r="AD387" s="171"/>
      <c r="AE387" s="171"/>
      <c r="AF387" s="171"/>
      <c r="AG387" s="171"/>
      <c r="AH387" s="171"/>
      <c r="AI387" s="180" t="s">
        <v>59</v>
      </c>
      <c r="AJ387" s="170"/>
      <c r="AK387" s="170"/>
      <c r="AL387" s="170"/>
      <c r="AM387" s="545"/>
      <c r="AN387" s="170"/>
      <c r="AO387" s="170"/>
      <c r="AP387" s="170"/>
      <c r="AQ387" s="170"/>
      <c r="AR387" s="170"/>
      <c r="AS387" s="170"/>
      <c r="AT387" s="170"/>
      <c r="AU387" s="170"/>
      <c r="AV387" s="170"/>
      <c r="AW387" s="170"/>
      <c r="AX387" s="170"/>
      <c r="AY387" s="170"/>
      <c r="AZ387" s="180" t="s">
        <v>59</v>
      </c>
      <c r="BA387" s="171">
        <f>(COUNTIF(AJ387:AL387,"*OK*")*3) + (COUNTIF(AM387:AO387,"*OK*")*2) + COUNTIF(AP387:AR387,"*OK*")+COUNTIF(AZ387:AZ387,"SI")*0.5</f>
        <v>0</v>
      </c>
      <c r="BB387" s="171" t="str">
        <f>IF(BA387&lt;0.6,"Demasiado Riesgo",IF(BA387&lt;=5,"Riesgo Medio",IF(BA387&lt;=11,"Riesgo Bajo","Cliente Blindado")))</f>
        <v>Demasiado Riesgo</v>
      </c>
      <c r="BC387" s="171"/>
      <c r="BD387" s="171"/>
      <c r="BE387" s="171">
        <v>0</v>
      </c>
      <c r="BF387" s="171"/>
      <c r="BG387" s="171"/>
      <c r="BH387" s="171"/>
      <c r="BI387" s="171"/>
      <c r="BJ387" s="171"/>
      <c r="BK387" s="171"/>
      <c r="BL387" s="171"/>
      <c r="BM387" s="171"/>
      <c r="BN387" s="171"/>
      <c r="BO387" s="171"/>
      <c r="BP387" s="171"/>
      <c r="BQ387" s="171"/>
      <c r="BR387" s="171"/>
      <c r="BS387" s="171"/>
      <c r="BT387" s="171"/>
      <c r="BU387" s="171"/>
      <c r="BV387" s="171"/>
      <c r="BW387" s="171"/>
      <c r="BX387" s="171"/>
      <c r="BY387" s="171"/>
      <c r="BZ387" s="171"/>
      <c r="CA387" s="171">
        <f>COUNTIF(AJ387:AX387,"*OK*")</f>
        <v>0</v>
      </c>
      <c r="CB387" s="171"/>
      <c r="CC387" s="171">
        <f>COUNTIF(AJ387:AX387,"*OP*")</f>
        <v>0</v>
      </c>
    </row>
    <row r="388" spans="1:81" ht="15" hidden="1" customHeight="1">
      <c r="A388" s="241"/>
      <c r="B388" s="160"/>
      <c r="C388" s="468" t="str">
        <f>T388</f>
        <v> </v>
      </c>
      <c r="D388" s="160">
        <f>COUNTIF(AJ388:AX388,"*OK*")</f>
        <v>0</v>
      </c>
      <c r="E388" s="160"/>
      <c r="F388" s="182" t="s">
        <v>1090</v>
      </c>
      <c r="G388" s="182"/>
      <c r="H388" s="168"/>
      <c r="I388" s="168"/>
      <c r="J388" s="182"/>
      <c r="K388" s="182" t="s">
        <v>68</v>
      </c>
      <c r="L388" s="182" t="s">
        <v>733</v>
      </c>
      <c r="M388" s="182"/>
      <c r="N388" s="182"/>
      <c r="O388" s="161">
        <v>50.32</v>
      </c>
      <c r="P388" s="161">
        <v>50.27</v>
      </c>
      <c r="Q388" s="161">
        <v>47.91</v>
      </c>
      <c r="R388" s="186">
        <v>49.45</v>
      </c>
      <c r="S388" s="510">
        <v>50.113500000000002</v>
      </c>
      <c r="T388" s="551" t="s">
        <v>59</v>
      </c>
      <c r="U388" s="164"/>
      <c r="V388" s="165">
        <v>200</v>
      </c>
      <c r="W388" s="187"/>
      <c r="X388" s="207" t="s">
        <v>70</v>
      </c>
      <c r="Y388" s="166" t="s">
        <v>302</v>
      </c>
      <c r="Z388" s="167" t="s">
        <v>1091</v>
      </c>
      <c r="AA388" s="165" t="s">
        <v>222</v>
      </c>
      <c r="AB388" s="167" t="s">
        <v>104</v>
      </c>
      <c r="AC388" s="168"/>
      <c r="AD388" s="160"/>
      <c r="AE388" s="160"/>
      <c r="AF388" s="160"/>
      <c r="AG388" s="160"/>
      <c r="AH388" s="160"/>
      <c r="AI388" s="167" t="s">
        <v>59</v>
      </c>
      <c r="AJ388" s="170"/>
      <c r="AK388" s="170"/>
      <c r="AL388" s="170"/>
      <c r="AM388" s="170"/>
      <c r="AN388" s="545"/>
      <c r="AO388" s="170"/>
      <c r="AP388" s="170"/>
      <c r="AQ388" s="170"/>
      <c r="AR388" s="170"/>
      <c r="AS388" s="170"/>
      <c r="AT388" s="170"/>
      <c r="AU388" s="170"/>
      <c r="AV388" s="170"/>
      <c r="AW388" s="170"/>
      <c r="AX388" s="170"/>
      <c r="AY388" s="170"/>
      <c r="AZ388" s="167" t="s">
        <v>59</v>
      </c>
      <c r="BA388" s="160">
        <f>(COUNTIF(AJ388:AL388,"*OK*")*3) + (COUNTIF(AM388:AO388,"*OK*")*2) + COUNTIF(AP388:AR388,"*OK*")+COUNTIF(AZ388:AZ388,"SI")*0.5</f>
        <v>0</v>
      </c>
      <c r="BB388" s="160" t="str">
        <f>IF(BA388&lt;0.6,"Demasiado Riesgo",IF(BA388&lt;=5,"Riesgo Medio",IF(BA388&lt;=11,"Riesgo Bajo","Cliente Blindado")))</f>
        <v>Demasiado Riesgo</v>
      </c>
      <c r="BC388" s="160"/>
      <c r="BD388" s="160"/>
      <c r="BE388" s="160">
        <v>0</v>
      </c>
      <c r="BF388" s="160"/>
      <c r="BG388" s="160"/>
      <c r="BH388" s="160"/>
      <c r="BI388" s="160"/>
      <c r="BJ388" s="160"/>
      <c r="BK388" s="160"/>
      <c r="BL388" s="160"/>
      <c r="BM388" s="160"/>
      <c r="BN388" s="160"/>
      <c r="BO388" s="160"/>
      <c r="BP388" s="160"/>
      <c r="BQ388" s="160"/>
      <c r="BR388" s="160"/>
      <c r="BS388" s="160"/>
      <c r="BT388" s="160"/>
      <c r="BU388" s="160"/>
      <c r="BV388" s="160"/>
      <c r="BW388" s="160"/>
      <c r="BX388" s="160"/>
      <c r="BY388" s="160"/>
      <c r="BZ388" s="160"/>
      <c r="CA388" s="160">
        <f>COUNTIF(AJ388:AX388,"*OK*")</f>
        <v>0</v>
      </c>
      <c r="CB388" s="160"/>
      <c r="CC388" s="160">
        <f>COUNTIF(AJ388:AX388,"*OP*")</f>
        <v>0</v>
      </c>
    </row>
    <row r="389" spans="1:81" ht="15" hidden="1" customHeight="1">
      <c r="A389" s="240"/>
      <c r="B389" s="171"/>
      <c r="C389" s="468" t="str">
        <f>T389</f>
        <v> </v>
      </c>
      <c r="D389" s="171">
        <f>COUNTIF(AJ389:AX389,"*OK*")</f>
        <v>0</v>
      </c>
      <c r="E389" s="171"/>
      <c r="F389" s="183" t="s">
        <v>1092</v>
      </c>
      <c r="G389" s="183"/>
      <c r="H389" s="179"/>
      <c r="I389" s="179"/>
      <c r="J389" s="183"/>
      <c r="K389" s="183" t="s">
        <v>68</v>
      </c>
      <c r="L389" s="183" t="s">
        <v>733</v>
      </c>
      <c r="M389" s="183"/>
      <c r="N389" s="183"/>
      <c r="O389" s="172">
        <v>45.47</v>
      </c>
      <c r="P389" s="172">
        <v>45.42</v>
      </c>
      <c r="Q389" s="172">
        <v>43.29</v>
      </c>
      <c r="R389" s="193">
        <v>44.68</v>
      </c>
      <c r="S389" s="510">
        <v>0</v>
      </c>
      <c r="T389" s="550" t="s">
        <v>59</v>
      </c>
      <c r="U389" s="175"/>
      <c r="V389" s="176">
        <v>50</v>
      </c>
      <c r="W389" s="194"/>
      <c r="X389" s="177" t="s">
        <v>383</v>
      </c>
      <c r="Y389" s="177" t="s">
        <v>71</v>
      </c>
      <c r="Z389" s="178" t="s">
        <v>74</v>
      </c>
      <c r="AA389" s="176" t="s">
        <v>59</v>
      </c>
      <c r="AB389" s="178" t="s">
        <v>65</v>
      </c>
      <c r="AC389" s="179"/>
      <c r="AD389" s="171"/>
      <c r="AE389" s="171"/>
      <c r="AF389" s="171"/>
      <c r="AG389" s="171"/>
      <c r="AH389" s="171"/>
      <c r="AI389" s="178" t="s">
        <v>59</v>
      </c>
      <c r="AJ389" s="170"/>
      <c r="AK389" s="170"/>
      <c r="AL389" s="170"/>
      <c r="AM389" s="170"/>
      <c r="AN389" s="170"/>
      <c r="AO389" s="545"/>
      <c r="AP389" s="170"/>
      <c r="AQ389" s="170"/>
      <c r="AR389" s="170"/>
      <c r="AS389" s="170"/>
      <c r="AT389" s="170"/>
      <c r="AU389" s="170"/>
      <c r="AV389" s="170"/>
      <c r="AW389" s="170"/>
      <c r="AX389" s="170"/>
      <c r="AY389" s="170"/>
      <c r="AZ389" s="178" t="s">
        <v>59</v>
      </c>
      <c r="BA389" s="171">
        <f>(COUNTIF(AJ389:AL389,"*OK*")*3) + (COUNTIF(AM389:AO389,"*OK*")*2) + COUNTIF(AP389:AR389,"*OK*")+COUNTIF(AZ389:AZ389,"SI")*0.5</f>
        <v>0</v>
      </c>
      <c r="BB389" s="171" t="str">
        <f>IF(BA389&lt;0.6,"Demasiado Riesgo",IF(BA389&lt;=5,"Riesgo Medio",IF(BA389&lt;=11,"Riesgo Bajo","Cliente Blindado")))</f>
        <v>Demasiado Riesgo</v>
      </c>
      <c r="BC389" s="171"/>
      <c r="BD389" s="171"/>
      <c r="BE389" s="171">
        <v>0</v>
      </c>
      <c r="BF389" s="171"/>
      <c r="BG389" s="171"/>
      <c r="BH389" s="171"/>
      <c r="BI389" s="171"/>
      <c r="BJ389" s="171"/>
      <c r="BK389" s="171"/>
      <c r="BL389" s="171"/>
      <c r="BM389" s="171"/>
      <c r="BN389" s="171"/>
      <c r="BO389" s="171"/>
      <c r="BP389" s="171"/>
      <c r="BQ389" s="171"/>
      <c r="BR389" s="171"/>
      <c r="BS389" s="171"/>
      <c r="BT389" s="171"/>
      <c r="BU389" s="171"/>
      <c r="BV389" s="171"/>
      <c r="BW389" s="171"/>
      <c r="BX389" s="171"/>
      <c r="BY389" s="171"/>
      <c r="BZ389" s="171"/>
      <c r="CA389" s="171">
        <f>COUNTIF(AJ389:AX389,"*OK*")</f>
        <v>0</v>
      </c>
      <c r="CB389" s="171"/>
      <c r="CC389" s="171">
        <f>COUNTIF(AJ389:AX389,"*OP*")</f>
        <v>0</v>
      </c>
    </row>
    <row r="390" spans="1:81" ht="15" hidden="1" customHeight="1">
      <c r="A390" s="241">
        <v>32806</v>
      </c>
      <c r="B390" s="160"/>
      <c r="C390" s="468" t="str">
        <f>T390</f>
        <v> </v>
      </c>
      <c r="D390" s="160">
        <f>COUNTIF(AJ390:AX390,"*OK*")</f>
        <v>0</v>
      </c>
      <c r="E390" s="160"/>
      <c r="F390" s="182" t="s">
        <v>1093</v>
      </c>
      <c r="G390" s="182"/>
      <c r="H390" s="168"/>
      <c r="I390" s="168"/>
      <c r="J390" s="182"/>
      <c r="K390" s="182" t="s">
        <v>68</v>
      </c>
      <c r="L390" s="182" t="s">
        <v>733</v>
      </c>
      <c r="M390" s="182"/>
      <c r="N390" s="182"/>
      <c r="O390" s="161"/>
      <c r="P390" s="161">
        <v>39.659999999999997</v>
      </c>
      <c r="Q390" s="161">
        <v>37.79</v>
      </c>
      <c r="R390" s="186">
        <v>39.01</v>
      </c>
      <c r="S390" s="510">
        <v>0</v>
      </c>
      <c r="T390" s="551" t="s">
        <v>59</v>
      </c>
      <c r="U390" s="164"/>
      <c r="V390" s="165">
        <v>50</v>
      </c>
      <c r="W390" s="187"/>
      <c r="X390" s="207" t="s">
        <v>70</v>
      </c>
      <c r="Y390" s="166" t="s">
        <v>80</v>
      </c>
      <c r="Z390" s="167" t="s">
        <v>1094</v>
      </c>
      <c r="AA390" s="165" t="s">
        <v>222</v>
      </c>
      <c r="AB390" s="167" t="s">
        <v>104</v>
      </c>
      <c r="AC390" s="168"/>
      <c r="AD390" s="160"/>
      <c r="AE390" s="160"/>
      <c r="AF390" s="160"/>
      <c r="AG390" s="160"/>
      <c r="AH390" s="160"/>
      <c r="AI390" s="169" t="s">
        <v>59</v>
      </c>
      <c r="AJ390" s="170"/>
      <c r="AK390" s="170"/>
      <c r="AL390" s="170"/>
      <c r="AM390" s="170"/>
      <c r="AN390" s="170"/>
      <c r="AO390" s="170"/>
      <c r="AP390" s="170"/>
      <c r="AQ390" s="170"/>
      <c r="AR390" s="170"/>
      <c r="AS390" s="170"/>
      <c r="AT390" s="170"/>
      <c r="AU390" s="170"/>
      <c r="AV390" s="170"/>
      <c r="AW390" s="170"/>
      <c r="AX390" s="170"/>
      <c r="AY390" s="170"/>
      <c r="AZ390" s="169" t="s">
        <v>59</v>
      </c>
      <c r="BA390" s="160">
        <f>(COUNTIF(AJ390:AL390,"*OK*")*3) + (COUNTIF(AM390:AO390,"*OK*")*2) + COUNTIF(AP390:AR390,"*OK*")+COUNTIF(AZ390:AZ390,"SI")*0.5</f>
        <v>0</v>
      </c>
      <c r="BB390" s="160" t="str">
        <f>IF(BA390&lt;0.6,"Demasiado Riesgo",IF(BA390&lt;=5,"Riesgo Medio",IF(BA390&lt;=11,"Riesgo Bajo","Cliente Blindado")))</f>
        <v>Demasiado Riesgo</v>
      </c>
      <c r="BC390" s="160"/>
      <c r="BD390" s="160"/>
      <c r="BE390" s="160">
        <v>0</v>
      </c>
      <c r="BF390" s="160"/>
      <c r="BG390" s="160"/>
      <c r="BH390" s="160"/>
      <c r="BI390" s="160"/>
      <c r="BJ390" s="160"/>
      <c r="BK390" s="160"/>
      <c r="BL390" s="160"/>
      <c r="BM390" s="160"/>
      <c r="BN390" s="160"/>
      <c r="BO390" s="160"/>
      <c r="BP390" s="160"/>
      <c r="BQ390" s="160"/>
      <c r="BR390" s="160"/>
      <c r="BS390" s="160"/>
      <c r="BT390" s="160"/>
      <c r="BU390" s="160"/>
      <c r="BV390" s="160"/>
      <c r="BW390" s="160"/>
      <c r="BX390" s="160"/>
      <c r="BY390" s="160"/>
      <c r="BZ390" s="160"/>
      <c r="CA390" s="160">
        <f>COUNTIF(AJ390:AX390,"*OK*")</f>
        <v>0</v>
      </c>
      <c r="CB390" s="160"/>
      <c r="CC390" s="160">
        <f>COUNTIF(AJ390:AX390,"*OP*")</f>
        <v>0</v>
      </c>
    </row>
    <row r="391" spans="1:81" ht="15" hidden="1" customHeight="1">
      <c r="A391" s="240"/>
      <c r="B391" s="171"/>
      <c r="C391" s="468" t="str">
        <f>T391</f>
        <v> </v>
      </c>
      <c r="D391" s="171">
        <f>COUNTIF(AJ391:AX391,"*OK*")</f>
        <v>0</v>
      </c>
      <c r="E391" s="171"/>
      <c r="F391" s="183" t="s">
        <v>1095</v>
      </c>
      <c r="G391" s="183"/>
      <c r="H391" s="179"/>
      <c r="I391" s="179"/>
      <c r="J391" s="183"/>
      <c r="K391" s="183" t="s">
        <v>68</v>
      </c>
      <c r="L391" s="183" t="s">
        <v>733</v>
      </c>
      <c r="M391" s="183"/>
      <c r="N391" s="183"/>
      <c r="O391" s="172">
        <v>88.98</v>
      </c>
      <c r="P391" s="172">
        <v>84.99</v>
      </c>
      <c r="Q391" s="172">
        <v>84.72</v>
      </c>
      <c r="R391" s="193">
        <v>30.73</v>
      </c>
      <c r="S391" s="510">
        <v>0</v>
      </c>
      <c r="T391" s="550" t="s">
        <v>59</v>
      </c>
      <c r="U391" s="175"/>
      <c r="V391" s="176">
        <v>100</v>
      </c>
      <c r="W391" s="194"/>
      <c r="X391" s="211" t="s">
        <v>70</v>
      </c>
      <c r="Y391" s="177" t="s">
        <v>89</v>
      </c>
      <c r="Z391" s="178" t="s">
        <v>1096</v>
      </c>
      <c r="AA391" s="176" t="s">
        <v>59</v>
      </c>
      <c r="AB391" s="178" t="s">
        <v>65</v>
      </c>
      <c r="AC391" s="179"/>
      <c r="AD391" s="171"/>
      <c r="AE391" s="171"/>
      <c r="AF391" s="171"/>
      <c r="AG391" s="171"/>
      <c r="AH391" s="171"/>
      <c r="AI391" s="174" t="s">
        <v>59</v>
      </c>
      <c r="AJ391" s="170"/>
      <c r="AK391" s="170"/>
      <c r="AL391" s="170"/>
      <c r="AM391" s="170"/>
      <c r="AN391" s="170"/>
      <c r="AO391" s="170"/>
      <c r="AP391" s="170"/>
      <c r="AQ391" s="170"/>
      <c r="AR391" s="170"/>
      <c r="AS391" s="170"/>
      <c r="AT391" s="170"/>
      <c r="AU391" s="170"/>
      <c r="AV391" s="170"/>
      <c r="AW391" s="170"/>
      <c r="AX391" s="170"/>
      <c r="AY391" s="170"/>
      <c r="AZ391" s="180" t="s">
        <v>59</v>
      </c>
      <c r="BA391" s="171">
        <f>(COUNTIF(AJ391:AL391,"*OK*")*3) + (COUNTIF(AM391:AO391,"*OK*")*2) + COUNTIF(AP391:AR391,"*OK*")+COUNTIF(AZ391:AZ391,"SI")*0.5</f>
        <v>0</v>
      </c>
      <c r="BB391" s="171" t="str">
        <f>IF(BA391&lt;0.6,"Demasiado Riesgo",IF(BA391&lt;=5,"Riesgo Medio",IF(BA391&lt;=11,"Riesgo Bajo","Cliente Blindado")))</f>
        <v>Demasiado Riesgo</v>
      </c>
      <c r="BC391" s="171"/>
      <c r="BD391" s="171"/>
      <c r="BE391" s="171">
        <v>0</v>
      </c>
      <c r="BF391" s="171"/>
      <c r="BG391" s="171"/>
      <c r="BH391" s="171"/>
      <c r="BI391" s="171"/>
      <c r="BJ391" s="171"/>
      <c r="BK391" s="171"/>
      <c r="BL391" s="171"/>
      <c r="BM391" s="171"/>
      <c r="BN391" s="171"/>
      <c r="BO391" s="171"/>
      <c r="BP391" s="171"/>
      <c r="BQ391" s="171"/>
      <c r="BR391" s="171"/>
      <c r="BS391" s="171"/>
      <c r="BT391" s="171"/>
      <c r="BU391" s="171"/>
      <c r="BV391" s="171"/>
      <c r="BW391" s="171"/>
      <c r="BX391" s="171"/>
      <c r="BY391" s="171"/>
      <c r="BZ391" s="171"/>
      <c r="CA391" s="171">
        <f>COUNTIF(AJ391:AX391,"*OK*")</f>
        <v>0</v>
      </c>
      <c r="CB391" s="171"/>
      <c r="CC391" s="171">
        <f>COUNTIF(AJ391:AX391,"*OP*")</f>
        <v>0</v>
      </c>
    </row>
    <row r="392" spans="1:81" ht="15" hidden="1" customHeight="1">
      <c r="A392" s="241"/>
      <c r="B392" s="160"/>
      <c r="C392" s="468" t="str">
        <f>T392</f>
        <v> </v>
      </c>
      <c r="D392" s="160">
        <f>COUNTIF(AJ392:AX392,"*OK*")</f>
        <v>0</v>
      </c>
      <c r="E392" s="160"/>
      <c r="F392" s="182" t="s">
        <v>1097</v>
      </c>
      <c r="G392" s="182"/>
      <c r="H392" s="168"/>
      <c r="I392" s="168"/>
      <c r="J392" s="182"/>
      <c r="K392" s="185" t="s">
        <v>68</v>
      </c>
      <c r="L392" s="182" t="s">
        <v>733</v>
      </c>
      <c r="M392" s="182"/>
      <c r="N392" s="182"/>
      <c r="O392" s="161">
        <v>26.39</v>
      </c>
      <c r="P392" s="161">
        <v>26.37</v>
      </c>
      <c r="Q392" s="161">
        <v>28.72</v>
      </c>
      <c r="R392" s="186">
        <v>29.64</v>
      </c>
      <c r="S392" s="510">
        <v>0</v>
      </c>
      <c r="T392" s="551" t="s">
        <v>59</v>
      </c>
      <c r="U392" s="164"/>
      <c r="V392" s="165">
        <v>100</v>
      </c>
      <c r="W392" s="187"/>
      <c r="X392" s="207" t="s">
        <v>70</v>
      </c>
      <c r="Y392" s="166" t="s">
        <v>162</v>
      </c>
      <c r="Z392" s="167" t="s">
        <v>1098</v>
      </c>
      <c r="AA392" s="165" t="s">
        <v>162</v>
      </c>
      <c r="AB392" s="167" t="s">
        <v>240</v>
      </c>
      <c r="AC392" s="168"/>
      <c r="AD392" s="160"/>
      <c r="AE392" s="160"/>
      <c r="AF392" s="160"/>
      <c r="AG392" s="160"/>
      <c r="AH392" s="160"/>
      <c r="AI392" s="163" t="s">
        <v>59</v>
      </c>
      <c r="AJ392" s="170"/>
      <c r="AK392" s="170"/>
      <c r="AL392" s="170"/>
      <c r="AM392" s="170"/>
      <c r="AN392" s="170"/>
      <c r="AO392" s="170"/>
      <c r="AP392" s="170"/>
      <c r="AQ392" s="170"/>
      <c r="AR392" s="170"/>
      <c r="AS392" s="170"/>
      <c r="AT392" s="170"/>
      <c r="AU392" s="170"/>
      <c r="AV392" s="170"/>
      <c r="AW392" s="170"/>
      <c r="AX392" s="170"/>
      <c r="AY392" s="170"/>
      <c r="AZ392" s="169" t="s">
        <v>59</v>
      </c>
      <c r="BA392" s="160">
        <f>(COUNTIF(AJ392:AL392,"*OK*")*3) + (COUNTIF(AM392:AO392,"*OK*")*2) + COUNTIF(AP392:AR392,"*OK*")+COUNTIF(AZ392:AZ392,"SI")*0.5</f>
        <v>0</v>
      </c>
      <c r="BB392" s="160" t="str">
        <f>IF(BA392&lt;0.6,"Demasiado Riesgo",IF(BA392&lt;=5,"Riesgo Medio",IF(BA392&lt;=11,"Riesgo Bajo","Cliente Blindado")))</f>
        <v>Demasiado Riesgo</v>
      </c>
      <c r="BC392" s="160"/>
      <c r="BD392" s="160"/>
      <c r="BE392" s="160">
        <v>0</v>
      </c>
      <c r="BF392" s="160"/>
      <c r="BG392" s="160"/>
      <c r="BH392" s="160"/>
      <c r="BI392" s="160"/>
      <c r="BJ392" s="160"/>
      <c r="BK392" s="160"/>
      <c r="BL392" s="160"/>
      <c r="BM392" s="160"/>
      <c r="BN392" s="160"/>
      <c r="BO392" s="160"/>
      <c r="BP392" s="160"/>
      <c r="BQ392" s="160"/>
      <c r="BR392" s="160"/>
      <c r="BS392" s="160"/>
      <c r="BT392" s="160"/>
      <c r="BU392" s="160"/>
      <c r="BV392" s="160"/>
      <c r="BW392" s="160"/>
      <c r="BX392" s="160"/>
      <c r="BY392" s="160"/>
      <c r="BZ392" s="160"/>
      <c r="CA392" s="160">
        <f>COUNTIF(AJ392:AX392,"*OK*")</f>
        <v>0</v>
      </c>
      <c r="CB392" s="160"/>
      <c r="CC392" s="160">
        <f>COUNTIF(AJ392:AX392,"*OP*")</f>
        <v>0</v>
      </c>
    </row>
    <row r="393" spans="1:81" ht="15" hidden="1" customHeight="1">
      <c r="A393" s="240"/>
      <c r="B393" s="171"/>
      <c r="C393" s="468" t="str">
        <f>T393</f>
        <v> </v>
      </c>
      <c r="D393" s="171">
        <f>COUNTIF(AJ393:AX393,"*OK*")</f>
        <v>0</v>
      </c>
      <c r="E393" s="171"/>
      <c r="F393" s="183" t="s">
        <v>1099</v>
      </c>
      <c r="G393" s="183"/>
      <c r="H393" s="179"/>
      <c r="I393" s="179"/>
      <c r="J393" s="183"/>
      <c r="K393" s="198" t="s">
        <v>68</v>
      </c>
      <c r="L393" s="183" t="s">
        <v>733</v>
      </c>
      <c r="M393" s="183"/>
      <c r="N393" s="183"/>
      <c r="O393" s="172">
        <v>37.89</v>
      </c>
      <c r="P393" s="172">
        <v>33.65</v>
      </c>
      <c r="Q393" s="172">
        <v>28.06</v>
      </c>
      <c r="R393" s="193">
        <v>24.8</v>
      </c>
      <c r="S393" s="510">
        <v>0</v>
      </c>
      <c r="T393" s="550" t="s">
        <v>59</v>
      </c>
      <c r="U393" s="175"/>
      <c r="V393" s="176">
        <v>50</v>
      </c>
      <c r="W393" s="194"/>
      <c r="X393" s="211" t="s">
        <v>70</v>
      </c>
      <c r="Y393" s="177" t="s">
        <v>162</v>
      </c>
      <c r="Z393" s="178" t="s">
        <v>1100</v>
      </c>
      <c r="AA393" s="176" t="s">
        <v>71</v>
      </c>
      <c r="AB393" s="178" t="s">
        <v>159</v>
      </c>
      <c r="AC393" s="179"/>
      <c r="AD393" s="171"/>
      <c r="AE393" s="171"/>
      <c r="AF393" s="171"/>
      <c r="AG393" s="171"/>
      <c r="AH393" s="171"/>
      <c r="AI393" s="178" t="s">
        <v>59</v>
      </c>
      <c r="AJ393" s="170"/>
      <c r="AK393" s="170"/>
      <c r="AL393" s="545"/>
      <c r="AM393" s="170"/>
      <c r="AN393" s="170"/>
      <c r="AO393" s="170"/>
      <c r="AP393" s="545"/>
      <c r="AQ393" s="545"/>
      <c r="AR393" s="170"/>
      <c r="AS393" s="170"/>
      <c r="AT393" s="170"/>
      <c r="AU393" s="170"/>
      <c r="AV393" s="170"/>
      <c r="AW393" s="170"/>
      <c r="AX393" s="170"/>
      <c r="AY393" s="170"/>
      <c r="AZ393" s="178" t="s">
        <v>59</v>
      </c>
      <c r="BA393" s="171">
        <f>(COUNTIF(AJ393:AL393,"*OK*")*3) + (COUNTIF(AM393:AO393,"*OK*")*2) + COUNTIF(AP393:AR393,"*OK*")+COUNTIF(AZ393:AZ393,"SI")*0.5</f>
        <v>0</v>
      </c>
      <c r="BB393" s="171" t="str">
        <f>IF(BA393&lt;0.6,"Demasiado Riesgo",IF(BA393&lt;=5,"Riesgo Medio",IF(BA393&lt;=11,"Riesgo Bajo","Cliente Blindado")))</f>
        <v>Demasiado Riesgo</v>
      </c>
      <c r="BC393" s="171"/>
      <c r="BD393" s="171"/>
      <c r="BE393" s="171">
        <v>0</v>
      </c>
      <c r="BF393" s="171"/>
      <c r="BG393" s="171"/>
      <c r="BH393" s="171"/>
      <c r="BI393" s="171"/>
      <c r="BJ393" s="171"/>
      <c r="BK393" s="171"/>
      <c r="BL393" s="171"/>
      <c r="BM393" s="171"/>
      <c r="BN393" s="171"/>
      <c r="BO393" s="171"/>
      <c r="BP393" s="171"/>
      <c r="BQ393" s="171"/>
      <c r="BR393" s="171"/>
      <c r="BS393" s="171"/>
      <c r="BT393" s="171"/>
      <c r="BU393" s="171"/>
      <c r="BV393" s="171"/>
      <c r="BW393" s="171"/>
      <c r="BX393" s="171"/>
      <c r="BY393" s="171"/>
      <c r="BZ393" s="171"/>
      <c r="CA393" s="171">
        <f>COUNTIF(AJ393:AX393,"*OK*")</f>
        <v>0</v>
      </c>
      <c r="CB393" s="171"/>
      <c r="CC393" s="171">
        <f>COUNTIF(AJ393:AX393,"*OP*")</f>
        <v>0</v>
      </c>
    </row>
    <row r="394" spans="1:81" ht="15" hidden="1" customHeight="1">
      <c r="A394" s="241"/>
      <c r="B394" s="160"/>
      <c r="C394" s="468" t="str">
        <f>T394</f>
        <v> </v>
      </c>
      <c r="D394" s="160">
        <f>COUNTIF(AJ394:AX394,"*OK*")</f>
        <v>0</v>
      </c>
      <c r="E394" s="160"/>
      <c r="F394" s="182" t="s">
        <v>1101</v>
      </c>
      <c r="G394" s="182"/>
      <c r="H394" s="168"/>
      <c r="I394" s="168"/>
      <c r="J394" s="182"/>
      <c r="K394" s="196" t="s">
        <v>68</v>
      </c>
      <c r="L394" s="182" t="s">
        <v>733</v>
      </c>
      <c r="M394" s="182"/>
      <c r="N394" s="182"/>
      <c r="O394" s="161">
        <v>18.04</v>
      </c>
      <c r="P394" s="161">
        <v>18.03</v>
      </c>
      <c r="Q394" s="161">
        <v>17.18</v>
      </c>
      <c r="R394" s="186">
        <v>17.73</v>
      </c>
      <c r="S394" s="510">
        <v>0</v>
      </c>
      <c r="T394" s="551" t="s">
        <v>59</v>
      </c>
      <c r="U394" s="164"/>
      <c r="V394" s="165">
        <v>50</v>
      </c>
      <c r="W394" s="187"/>
      <c r="X394" s="207" t="s">
        <v>70</v>
      </c>
      <c r="Y394" s="166" t="s">
        <v>152</v>
      </c>
      <c r="Z394" s="167" t="s">
        <v>1102</v>
      </c>
      <c r="AA394" s="165" t="s">
        <v>59</v>
      </c>
      <c r="AB394" s="167" t="s">
        <v>65</v>
      </c>
      <c r="AC394" s="168"/>
      <c r="AD394" s="160"/>
      <c r="AE394" s="160"/>
      <c r="AF394" s="160"/>
      <c r="AG394" s="160"/>
      <c r="AH394" s="160"/>
      <c r="AI394" s="169" t="s">
        <v>59</v>
      </c>
      <c r="AJ394" s="170"/>
      <c r="AK394" s="170"/>
      <c r="AL394" s="170"/>
      <c r="AM394" s="170"/>
      <c r="AN394" s="170"/>
      <c r="AO394" s="170"/>
      <c r="AP394" s="170"/>
      <c r="AQ394" s="170"/>
      <c r="AR394" s="170"/>
      <c r="AS394" s="170"/>
      <c r="AT394" s="170"/>
      <c r="AU394" s="170"/>
      <c r="AV394" s="170"/>
      <c r="AW394" s="170"/>
      <c r="AX394" s="170"/>
      <c r="AY394" s="170"/>
      <c r="AZ394" s="169" t="s">
        <v>59</v>
      </c>
      <c r="BA394" s="160">
        <f>(COUNTIF(AJ394:AL394,"*OK*")*3) + (COUNTIF(AM394:AO394,"*OK*")*2) + COUNTIF(AP394:AR394,"*OK*")+COUNTIF(AZ394:AZ394,"SI")*0.5</f>
        <v>0</v>
      </c>
      <c r="BB394" s="160" t="str">
        <f>IF(BA394&lt;0.6,"Demasiado Riesgo",IF(BA394&lt;=5,"Riesgo Medio",IF(BA394&lt;=11,"Riesgo Bajo","Cliente Blindado")))</f>
        <v>Demasiado Riesgo</v>
      </c>
      <c r="BC394" s="160"/>
      <c r="BD394" s="160"/>
      <c r="BE394" s="160">
        <v>0</v>
      </c>
      <c r="BF394" s="160"/>
      <c r="BG394" s="160"/>
      <c r="BH394" s="160"/>
      <c r="BI394" s="160"/>
      <c r="BJ394" s="160"/>
      <c r="BK394" s="160"/>
      <c r="BL394" s="160"/>
      <c r="BM394" s="160"/>
      <c r="BN394" s="160"/>
      <c r="BO394" s="160"/>
      <c r="BP394" s="160"/>
      <c r="BQ394" s="160"/>
      <c r="BR394" s="160"/>
      <c r="BS394" s="160"/>
      <c r="BT394" s="160"/>
      <c r="BU394" s="160"/>
      <c r="BV394" s="160"/>
      <c r="BW394" s="160"/>
      <c r="BX394" s="160"/>
      <c r="BY394" s="160"/>
      <c r="BZ394" s="160"/>
      <c r="CA394" s="160">
        <f>COUNTIF(AJ394:AX394,"*OK*")</f>
        <v>0</v>
      </c>
      <c r="CB394" s="160"/>
      <c r="CC394" s="160">
        <f>COUNTIF(AJ394:AX394,"*OP*")</f>
        <v>0</v>
      </c>
    </row>
    <row r="395" spans="1:81" ht="15" hidden="1" customHeight="1">
      <c r="A395" s="240"/>
      <c r="B395" s="171"/>
      <c r="C395" s="468" t="str">
        <f>T395</f>
        <v> </v>
      </c>
      <c r="D395" s="171">
        <f>COUNTIF(AN395:AY395,"OK")</f>
        <v>0</v>
      </c>
      <c r="E395" s="171"/>
      <c r="F395" s="171" t="s">
        <v>1103</v>
      </c>
      <c r="G395" s="171"/>
      <c r="H395" s="179"/>
      <c r="I395" s="179"/>
      <c r="J395" s="171"/>
      <c r="K395" s="236" t="s">
        <v>68</v>
      </c>
      <c r="L395" s="171" t="s">
        <v>768</v>
      </c>
      <c r="M395" s="171"/>
      <c r="N395" s="171"/>
      <c r="O395" s="161"/>
      <c r="P395" s="161"/>
      <c r="Q395" s="161"/>
      <c r="R395" s="186">
        <v>53.31</v>
      </c>
      <c r="S395" s="510">
        <v>0</v>
      </c>
      <c r="T395" s="555" t="s">
        <v>59</v>
      </c>
      <c r="U395" s="175"/>
      <c r="V395" s="176" t="s">
        <v>59</v>
      </c>
      <c r="W395" s="171"/>
      <c r="X395" s="205"/>
      <c r="Y395" s="177"/>
      <c r="Z395" s="178"/>
      <c r="AA395" s="174" t="s">
        <v>59</v>
      </c>
      <c r="AB395" s="178"/>
      <c r="AC395" s="179"/>
      <c r="AD395" s="171"/>
      <c r="AE395" s="171"/>
      <c r="AF395" s="171"/>
      <c r="AG395" s="171"/>
      <c r="AH395" s="171"/>
      <c r="AI395" s="174"/>
      <c r="AJ395" s="170"/>
      <c r="AK395" s="170"/>
      <c r="AL395" s="170"/>
      <c r="AM395" s="170"/>
      <c r="AN395" s="170"/>
      <c r="AO395" s="170"/>
      <c r="AP395" s="170"/>
      <c r="AQ395" s="170"/>
      <c r="AR395" s="170"/>
      <c r="AS395" s="170"/>
      <c r="AT395" s="170"/>
      <c r="AU395" s="170"/>
      <c r="AV395" s="170"/>
      <c r="AW395" s="170"/>
      <c r="AX395" s="170"/>
      <c r="AY395" s="170"/>
      <c r="AZ395" s="180" t="s">
        <v>59</v>
      </c>
      <c r="BA395" s="171">
        <f>(COUNTIF(AJ395:AL395,"*OK*")*3) + (COUNTIF(AM395:AO395,"*OK*")*2) + COUNTIF(AP395:AR395,"*OK*")+COUNTIF(AZ395:AZ395,"SI")*0.5</f>
        <v>0</v>
      </c>
      <c r="BB395" s="171" t="str">
        <f>IF(BA395&lt;0.6,"Demasiado Riesgo",IF(BA395&lt;=5,"Riesgo Medio",IF(BA395&lt;=11,"Riesgo Bajo","Cliente Blindado")))</f>
        <v>Demasiado Riesgo</v>
      </c>
      <c r="BC395" s="171"/>
      <c r="BD395" s="171"/>
      <c r="BE395" s="171"/>
      <c r="BF395" s="171"/>
      <c r="BG395" s="171"/>
      <c r="BH395" s="171"/>
      <c r="BI395" s="171"/>
      <c r="BJ395" s="171"/>
      <c r="BK395" s="171"/>
      <c r="BL395" s="171"/>
      <c r="BM395" s="171"/>
      <c r="BN395" s="171"/>
      <c r="BO395" s="171"/>
      <c r="BP395" s="171"/>
      <c r="BQ395" s="171"/>
      <c r="BR395" s="171"/>
      <c r="BS395" s="171"/>
      <c r="BT395" s="171"/>
      <c r="BU395" s="171"/>
      <c r="BV395" s="171"/>
      <c r="BW395" s="171"/>
      <c r="BX395" s="171"/>
      <c r="BY395" s="171"/>
      <c r="BZ395" s="171"/>
      <c r="CA395" s="171">
        <f>COUNTIF(AJ395:AX395,"*OK*")</f>
        <v>0</v>
      </c>
      <c r="CB395" s="171"/>
      <c r="CC395" s="171">
        <f>COUNTIF(AJ395:AX395,"*OP*")</f>
        <v>0</v>
      </c>
    </row>
    <row r="396" spans="1:81" ht="15" hidden="1" customHeight="1">
      <c r="A396" s="240"/>
      <c r="B396" s="171"/>
      <c r="C396" s="468" t="str">
        <f>T396</f>
        <v> </v>
      </c>
      <c r="D396" s="171">
        <f>COUNTIF(AN396:AY396,"OK")</f>
        <v>0</v>
      </c>
      <c r="E396" s="171"/>
      <c r="F396" s="171" t="s">
        <v>1104</v>
      </c>
      <c r="G396" s="171"/>
      <c r="H396" s="179"/>
      <c r="I396" s="179"/>
      <c r="J396" s="171"/>
      <c r="K396" s="236" t="s">
        <v>68</v>
      </c>
      <c r="L396" s="171" t="s">
        <v>768</v>
      </c>
      <c r="M396" s="171"/>
      <c r="N396" s="171"/>
      <c r="O396" s="161"/>
      <c r="P396" s="161"/>
      <c r="Q396" s="161"/>
      <c r="R396" s="186">
        <v>3.42</v>
      </c>
      <c r="S396" s="510">
        <v>3.4662999999999999</v>
      </c>
      <c r="T396" s="552" t="s">
        <v>59</v>
      </c>
      <c r="U396" s="175"/>
      <c r="V396" s="176" t="s">
        <v>59</v>
      </c>
      <c r="W396" s="171"/>
      <c r="X396" s="177"/>
      <c r="Y396" s="177"/>
      <c r="Z396" s="178"/>
      <c r="AA396" s="174" t="s">
        <v>59</v>
      </c>
      <c r="AB396" s="178"/>
      <c r="AC396" s="179"/>
      <c r="AD396" s="171"/>
      <c r="AE396" s="171"/>
      <c r="AF396" s="171"/>
      <c r="AG396" s="171"/>
      <c r="AH396" s="171"/>
      <c r="AI396" s="174"/>
      <c r="AJ396" s="170"/>
      <c r="AK396" s="170"/>
      <c r="AL396" s="170"/>
      <c r="AM396" s="170"/>
      <c r="AN396" s="170"/>
      <c r="AO396" s="170"/>
      <c r="AP396" s="170"/>
      <c r="AQ396" s="170"/>
      <c r="AR396" s="170"/>
      <c r="AS396" s="170"/>
      <c r="AT396" s="170"/>
      <c r="AU396" s="170"/>
      <c r="AV396" s="170"/>
      <c r="AW396" s="170"/>
      <c r="AX396" s="170"/>
      <c r="AY396" s="170"/>
      <c r="AZ396" s="180" t="s">
        <v>59</v>
      </c>
      <c r="BA396" s="171">
        <f>(COUNTIF(AJ396:AL396,"*OK*")*3) + (COUNTIF(AM396:AO396,"*OK*")*2) + COUNTIF(AP396:AR396,"*OK*")+COUNTIF(AZ396:AZ396,"SI")*0.5</f>
        <v>0</v>
      </c>
      <c r="BB396" s="171" t="str">
        <f>IF(BA396&lt;0.6,"Demasiado Riesgo",IF(BA396&lt;=5,"Riesgo Medio",IF(BA396&lt;=11,"Riesgo Bajo","Cliente Blindado")))</f>
        <v>Demasiado Riesgo</v>
      </c>
      <c r="BC396" s="171"/>
      <c r="BD396" s="171"/>
      <c r="BE396" s="171"/>
      <c r="BF396" s="171"/>
      <c r="BG396" s="171"/>
      <c r="BH396" s="171"/>
      <c r="BI396" s="171"/>
      <c r="BJ396" s="171"/>
      <c r="BK396" s="171"/>
      <c r="BL396" s="171"/>
      <c r="BM396" s="171"/>
      <c r="BN396" s="171"/>
      <c r="BO396" s="171"/>
      <c r="BP396" s="171"/>
      <c r="BQ396" s="171"/>
      <c r="BR396" s="171"/>
      <c r="BS396" s="171"/>
      <c r="BT396" s="171"/>
      <c r="BU396" s="171"/>
      <c r="BV396" s="171"/>
      <c r="BW396" s="171"/>
      <c r="BX396" s="171"/>
      <c r="BY396" s="171"/>
      <c r="BZ396" s="171"/>
      <c r="CA396" s="171">
        <f>COUNTIF(AJ396:AX396,"*OK*")</f>
        <v>0</v>
      </c>
      <c r="CB396" s="171"/>
      <c r="CC396" s="171">
        <f>COUNTIF(AJ396:AX396,"*OP*")</f>
        <v>0</v>
      </c>
    </row>
    <row r="397" spans="1:81" ht="15" hidden="1" customHeight="1">
      <c r="A397" s="240">
        <v>24372</v>
      </c>
      <c r="B397" s="171"/>
      <c r="C397" s="468">
        <f>T397</f>
        <v>33.590000000000003</v>
      </c>
      <c r="D397" s="171">
        <f>COUNTIF(AJ397:AX397,"*OK*")</f>
        <v>0</v>
      </c>
      <c r="E397" s="171"/>
      <c r="F397" s="422" t="s">
        <v>1105</v>
      </c>
      <c r="G397" s="183"/>
      <c r="H397" s="194"/>
      <c r="I397" s="194"/>
      <c r="J397" s="183"/>
      <c r="K397" s="192" t="s">
        <v>68</v>
      </c>
      <c r="L397" s="183" t="s">
        <v>1106</v>
      </c>
      <c r="M397" s="183"/>
      <c r="N397" s="183" t="s">
        <v>136</v>
      </c>
      <c r="O397" s="172">
        <v>296.22000000000003</v>
      </c>
      <c r="P397" s="172">
        <v>245.91</v>
      </c>
      <c r="Q397" s="172">
        <v>197.83</v>
      </c>
      <c r="R397" s="193">
        <v>116.24</v>
      </c>
      <c r="S397" s="510">
        <v>41.3889</v>
      </c>
      <c r="T397" s="550">
        <v>33.590000000000003</v>
      </c>
      <c r="U397" s="175"/>
      <c r="V397" s="176">
        <v>100</v>
      </c>
      <c r="W397" s="194"/>
      <c r="X397" s="211" t="s">
        <v>70</v>
      </c>
      <c r="Y397" s="177" t="s">
        <v>71</v>
      </c>
      <c r="Z397" s="178" t="s">
        <v>1107</v>
      </c>
      <c r="AA397" s="176" t="s">
        <v>59</v>
      </c>
      <c r="AB397" s="178" t="s">
        <v>65</v>
      </c>
      <c r="AC397" s="194" t="s">
        <v>84</v>
      </c>
      <c r="AD397" s="171"/>
      <c r="AE397" s="171" t="s">
        <v>1108</v>
      </c>
      <c r="AF397" s="171"/>
      <c r="AG397" s="171"/>
      <c r="AH397" s="171"/>
      <c r="AI397" s="174"/>
      <c r="AJ397" s="170"/>
      <c r="AK397" s="170"/>
      <c r="AL397" s="170"/>
      <c r="AM397" s="170"/>
      <c r="AN397" s="170"/>
      <c r="AO397" s="170"/>
      <c r="AP397" s="170"/>
      <c r="AQ397" s="170"/>
      <c r="AR397" s="170"/>
      <c r="AS397" s="170"/>
      <c r="AT397" s="170"/>
      <c r="AU397" s="170"/>
      <c r="AV397" s="170"/>
      <c r="AW397" s="170"/>
      <c r="AX397" s="170"/>
      <c r="AY397" s="170"/>
      <c r="AZ397" s="180" t="s">
        <v>59</v>
      </c>
      <c r="BA397" s="171">
        <f>(COUNTIF(AJ397:AL397,"*OK*")*3) + (COUNTIF(AM397:AO397,"*OK*")*2) + COUNTIF(AP397:AR397,"*OK*")+COUNTIF(AZ397:AZ397,"SI")*0.5</f>
        <v>0</v>
      </c>
      <c r="BB397" s="171" t="str">
        <f>IF(BA397&lt;0.6,"Demasiado Riesgo",IF(BA397&lt;=5,"Riesgo Medio",IF(BA397&lt;=11,"Riesgo Bajo","Cliente Blindado")))</f>
        <v>Demasiado Riesgo</v>
      </c>
      <c r="BC397" s="171"/>
      <c r="BD397" s="171"/>
      <c r="BE397" s="171">
        <v>0</v>
      </c>
      <c r="BF397" s="171"/>
      <c r="BG397" s="171"/>
      <c r="BH397" s="171"/>
      <c r="BI397" s="171"/>
      <c r="BJ397" s="171"/>
      <c r="BK397" s="171"/>
      <c r="BL397" s="171"/>
      <c r="BM397" s="171"/>
      <c r="BN397" s="171"/>
      <c r="BO397" s="171"/>
      <c r="BP397" s="171"/>
      <c r="BQ397" s="171"/>
      <c r="BR397" s="171"/>
      <c r="BS397" s="171"/>
      <c r="BT397" s="171"/>
      <c r="BU397" s="171"/>
      <c r="BV397" s="171"/>
      <c r="BW397" s="171"/>
      <c r="BX397" s="171"/>
      <c r="BY397" s="171"/>
      <c r="BZ397" s="171"/>
      <c r="CA397" s="171">
        <f>COUNTIF(AJ397:AX397,"*OK*")</f>
        <v>0</v>
      </c>
      <c r="CB397" s="171"/>
      <c r="CC397" s="171">
        <f>COUNTIF(AJ397:AX397,"*OP*")</f>
        <v>0</v>
      </c>
    </row>
    <row r="398" spans="1:81" ht="15" hidden="1" customHeight="1">
      <c r="A398" s="240">
        <v>23927</v>
      </c>
      <c r="B398" s="171"/>
      <c r="C398" s="468">
        <f>T398</f>
        <v>44.51</v>
      </c>
      <c r="D398" s="171">
        <f>COUNTIF(AJ398:AX398,"*OK*")</f>
        <v>0</v>
      </c>
      <c r="E398" s="171"/>
      <c r="F398" s="183" t="s">
        <v>1109</v>
      </c>
      <c r="G398" s="183" t="s">
        <v>1110</v>
      </c>
      <c r="H398" s="194"/>
      <c r="I398" s="194"/>
      <c r="J398" s="183"/>
      <c r="K398" s="198" t="s">
        <v>79</v>
      </c>
      <c r="L398" s="183" t="s">
        <v>1106</v>
      </c>
      <c r="M398" s="183"/>
      <c r="N398" s="183"/>
      <c r="O398" s="172">
        <v>668.21</v>
      </c>
      <c r="P398" s="172">
        <v>667.59</v>
      </c>
      <c r="Q398" s="172">
        <v>636.21</v>
      </c>
      <c r="R398" s="193">
        <v>656.69</v>
      </c>
      <c r="S398" s="510">
        <v>0</v>
      </c>
      <c r="T398" s="550">
        <v>44.51</v>
      </c>
      <c r="U398" s="175"/>
      <c r="V398" s="176">
        <v>150</v>
      </c>
      <c r="W398" s="194"/>
      <c r="X398" s="177" t="s">
        <v>70</v>
      </c>
      <c r="Y398" s="177" t="s">
        <v>243</v>
      </c>
      <c r="Z398" s="178" t="s">
        <v>1111</v>
      </c>
      <c r="AA398" s="176" t="s">
        <v>59</v>
      </c>
      <c r="AB398" s="178" t="s">
        <v>65</v>
      </c>
      <c r="AC398" s="194" t="s">
        <v>92</v>
      </c>
      <c r="AD398" s="171"/>
      <c r="AE398" s="171" t="s">
        <v>1108</v>
      </c>
      <c r="AF398" s="171"/>
      <c r="AG398" s="171"/>
      <c r="AH398" s="171"/>
      <c r="AI398" s="174" t="s">
        <v>59</v>
      </c>
      <c r="AJ398" s="170"/>
      <c r="AK398" s="170"/>
      <c r="AL398" s="170"/>
      <c r="AM398" s="170"/>
      <c r="AN398" s="170"/>
      <c r="AO398" s="170"/>
      <c r="AP398" s="170"/>
      <c r="AQ398" s="170"/>
      <c r="AR398" s="170"/>
      <c r="AS398" s="170"/>
      <c r="AT398" s="170"/>
      <c r="AU398" s="170"/>
      <c r="AV398" s="170"/>
      <c r="AW398" s="170"/>
      <c r="AX398" s="170"/>
      <c r="AY398" s="170"/>
      <c r="AZ398" s="180" t="s">
        <v>59</v>
      </c>
      <c r="BA398" s="171">
        <f>(COUNTIF(AJ398:AL398,"*OK*")*3) + (COUNTIF(AM398:AO398,"*OK*")*2) + COUNTIF(AP398:AR398,"*OK*")+COUNTIF(AZ398:AZ398,"SI")*0.5</f>
        <v>0</v>
      </c>
      <c r="BB398" s="171" t="str">
        <f>IF(BA398&lt;0.6,"Demasiado Riesgo",IF(BA398&lt;=5,"Riesgo Medio",IF(BA398&lt;=11,"Riesgo Bajo","Cliente Blindado")))</f>
        <v>Demasiado Riesgo</v>
      </c>
      <c r="BC398" s="171"/>
      <c r="BD398" s="171"/>
      <c r="BE398" s="171">
        <v>0</v>
      </c>
      <c r="BF398" s="171"/>
      <c r="BG398" s="171"/>
      <c r="BH398" s="171"/>
      <c r="BI398" s="171"/>
      <c r="BJ398" s="171"/>
      <c r="BK398" s="171"/>
      <c r="BL398" s="171"/>
      <c r="BM398" s="171"/>
      <c r="BN398" s="171"/>
      <c r="BO398" s="171"/>
      <c r="BP398" s="171"/>
      <c r="BQ398" s="171"/>
      <c r="BR398" s="171"/>
      <c r="BS398" s="171"/>
      <c r="BT398" s="171"/>
      <c r="BU398" s="171"/>
      <c r="BV398" s="171"/>
      <c r="BW398" s="171"/>
      <c r="BX398" s="171"/>
      <c r="BY398" s="171"/>
      <c r="BZ398" s="171"/>
      <c r="CA398" s="171">
        <f>COUNTIF(AJ398:AX398,"*OK*")</f>
        <v>0</v>
      </c>
      <c r="CB398" s="171"/>
      <c r="CC398" s="171">
        <f>COUNTIF(AJ398:AX398,"*OP*")</f>
        <v>0</v>
      </c>
    </row>
    <row r="399" spans="1:81" ht="15" hidden="1" customHeight="1">
      <c r="A399" s="241">
        <v>18595</v>
      </c>
      <c r="B399" s="160"/>
      <c r="C399" s="468">
        <f>T399</f>
        <v>104.72</v>
      </c>
      <c r="D399" s="160">
        <f>COUNTIF(AJ399:AX399,"*OK*")</f>
        <v>0</v>
      </c>
      <c r="E399" s="160"/>
      <c r="F399" s="423" t="s">
        <v>1112</v>
      </c>
      <c r="G399" s="182" t="s">
        <v>1113</v>
      </c>
      <c r="H399" s="187"/>
      <c r="I399" s="187"/>
      <c r="J399" s="182"/>
      <c r="K399" s="196" t="s">
        <v>79</v>
      </c>
      <c r="L399" s="182" t="s">
        <v>1106</v>
      </c>
      <c r="M399" s="182"/>
      <c r="N399" s="182"/>
      <c r="O399" s="161">
        <v>128.37</v>
      </c>
      <c r="P399" s="161">
        <v>120.24</v>
      </c>
      <c r="Q399" s="161">
        <v>110.76</v>
      </c>
      <c r="R399" s="186">
        <v>108.42</v>
      </c>
      <c r="S399" s="510">
        <v>105.8794</v>
      </c>
      <c r="T399" s="551">
        <v>104.72</v>
      </c>
      <c r="U399" s="164"/>
      <c r="V399" s="165">
        <v>100</v>
      </c>
      <c r="W399" s="187"/>
      <c r="X399" s="207" t="s">
        <v>70</v>
      </c>
      <c r="Y399" s="166" t="s">
        <v>71</v>
      </c>
      <c r="Z399" s="167" t="s">
        <v>1114</v>
      </c>
      <c r="AA399" s="165" t="s">
        <v>59</v>
      </c>
      <c r="AB399" s="167" t="s">
        <v>240</v>
      </c>
      <c r="AC399" s="187" t="s">
        <v>97</v>
      </c>
      <c r="AD399" s="160"/>
      <c r="AE399" s="160" t="s">
        <v>1115</v>
      </c>
      <c r="AF399" s="160"/>
      <c r="AG399" s="160"/>
      <c r="AH399" s="160" t="s">
        <v>1116</v>
      </c>
      <c r="AI399" s="163"/>
      <c r="AJ399" s="170"/>
      <c r="AK399" s="170"/>
      <c r="AL399" s="170"/>
      <c r="AM399" s="170"/>
      <c r="AN399" s="170"/>
      <c r="AO399" s="170"/>
      <c r="AP399" s="170"/>
      <c r="AQ399" s="170"/>
      <c r="AR399" s="170"/>
      <c r="AS399" s="170"/>
      <c r="AT399" s="170"/>
      <c r="AU399" s="170"/>
      <c r="AV399" s="170"/>
      <c r="AW399" s="170"/>
      <c r="AX399" s="170"/>
      <c r="AY399" s="170" t="s">
        <v>1117</v>
      </c>
      <c r="AZ399" s="169" t="s">
        <v>59</v>
      </c>
      <c r="BA399" s="160">
        <f>(COUNTIF(AJ399:AL399,"*OK*")*3) + (COUNTIF(AM399:AO399,"*OK*")*2) + COUNTIF(AP399:AR399,"*OK*")+COUNTIF(AZ399:AZ399,"SI")*0.5</f>
        <v>0</v>
      </c>
      <c r="BB399" s="160" t="str">
        <f>IF(BA399&lt;0.6,"Demasiado Riesgo",IF(BA399&lt;=5,"Riesgo Medio",IF(BA399&lt;=11,"Riesgo Bajo","Cliente Blindado")))</f>
        <v>Demasiado Riesgo</v>
      </c>
      <c r="BC399" s="160"/>
      <c r="BD399" s="160"/>
      <c r="BE399" s="160">
        <v>0</v>
      </c>
      <c r="BF399" s="160"/>
      <c r="BG399" s="160"/>
      <c r="BH399" s="160"/>
      <c r="BI399" s="160"/>
      <c r="BJ399" s="160"/>
      <c r="BK399" s="160"/>
      <c r="BL399" s="160"/>
      <c r="BM399" s="160"/>
      <c r="BN399" s="160"/>
      <c r="BO399" s="160"/>
      <c r="BP399" s="160"/>
      <c r="BQ399" s="160"/>
      <c r="BR399" s="160"/>
      <c r="BS399" s="160"/>
      <c r="BT399" s="160"/>
      <c r="BU399" s="160"/>
      <c r="BV399" s="160"/>
      <c r="BW399" s="160"/>
      <c r="BX399" s="160"/>
      <c r="BY399" s="160"/>
      <c r="BZ399" s="160"/>
      <c r="CA399" s="160">
        <f>COUNTIF(AJ399:AX399,"*OK*")</f>
        <v>0</v>
      </c>
      <c r="CB399" s="160"/>
      <c r="CC399" s="160">
        <f>COUNTIF(AJ399:AX399,"*OP*")</f>
        <v>0</v>
      </c>
    </row>
    <row r="400" spans="1:81" ht="15" hidden="1" customHeight="1">
      <c r="A400" s="500"/>
      <c r="B400" s="173"/>
      <c r="C400" s="468">
        <f>T400</f>
        <v>111.19</v>
      </c>
      <c r="D400" s="171">
        <f>COUNTIF(AJ400:AX400,"*OK*")</f>
        <v>0</v>
      </c>
      <c r="E400" s="171"/>
      <c r="F400" s="183" t="s">
        <v>1118</v>
      </c>
      <c r="G400" s="183" t="s">
        <v>1119</v>
      </c>
      <c r="H400" s="194"/>
      <c r="I400" s="194"/>
      <c r="J400" s="183"/>
      <c r="K400" s="198" t="s">
        <v>79</v>
      </c>
      <c r="L400" s="183" t="s">
        <v>1106</v>
      </c>
      <c r="M400" s="183"/>
      <c r="N400" s="183"/>
      <c r="O400" s="172">
        <v>119.37</v>
      </c>
      <c r="P400" s="172">
        <v>119.26</v>
      </c>
      <c r="Q400" s="172">
        <v>109.02</v>
      </c>
      <c r="R400" s="193">
        <v>117.31</v>
      </c>
      <c r="S400" s="510">
        <v>111.61369999999999</v>
      </c>
      <c r="T400" s="550">
        <v>111.19</v>
      </c>
      <c r="U400" s="175"/>
      <c r="V400" s="176">
        <v>100</v>
      </c>
      <c r="W400" s="194"/>
      <c r="X400" s="205" t="s">
        <v>100</v>
      </c>
      <c r="Y400" s="177" t="s">
        <v>71</v>
      </c>
      <c r="Z400" s="178" t="s">
        <v>1120</v>
      </c>
      <c r="AA400" s="176" t="s">
        <v>59</v>
      </c>
      <c r="AB400" s="178" t="s">
        <v>65</v>
      </c>
      <c r="AC400" s="194" t="s">
        <v>92</v>
      </c>
      <c r="AD400" s="171"/>
      <c r="AE400" s="171" t="s">
        <v>1121</v>
      </c>
      <c r="AF400" s="171"/>
      <c r="AG400" s="171"/>
      <c r="AH400" s="171"/>
      <c r="AI400" s="174" t="s">
        <v>59</v>
      </c>
      <c r="AJ400" s="170"/>
      <c r="AK400" s="170"/>
      <c r="AL400" s="170"/>
      <c r="AM400" s="170"/>
      <c r="AN400" s="170"/>
      <c r="AO400" s="170"/>
      <c r="AP400" s="170"/>
      <c r="AQ400" s="170"/>
      <c r="AR400" s="170"/>
      <c r="AS400" s="170"/>
      <c r="AT400" s="170"/>
      <c r="AU400" s="170"/>
      <c r="AV400" s="170"/>
      <c r="AW400" s="170"/>
      <c r="AX400" s="170"/>
      <c r="AY400" s="170"/>
      <c r="AZ400" s="180" t="s">
        <v>59</v>
      </c>
      <c r="BA400" s="171">
        <f>(COUNTIF(AJ400:AL400,"*OK*")*3) + (COUNTIF(AM400:AO400,"*OK*")*2) + COUNTIF(AP400:AR400,"*OK*")+COUNTIF(AZ400:AZ400,"SI")*0.5</f>
        <v>0</v>
      </c>
      <c r="BB400" s="171" t="str">
        <f>IF(BA400&lt;0.6,"Demasiado Riesgo",IF(BA400&lt;=5,"Riesgo Medio",IF(BA400&lt;=11,"Riesgo Bajo","Cliente Blindado")))</f>
        <v>Demasiado Riesgo</v>
      </c>
      <c r="BC400" s="171"/>
      <c r="BD400" s="171"/>
      <c r="BE400" s="171">
        <v>0</v>
      </c>
      <c r="BF400" s="171"/>
      <c r="BG400" s="171"/>
      <c r="BH400" s="171"/>
      <c r="BI400" s="171"/>
      <c r="BJ400" s="171"/>
      <c r="BK400" s="171"/>
      <c r="BL400" s="171"/>
      <c r="BM400" s="171"/>
      <c r="BN400" s="171"/>
      <c r="BO400" s="171"/>
      <c r="BP400" s="171"/>
      <c r="BQ400" s="171"/>
      <c r="BR400" s="171"/>
      <c r="BS400" s="171"/>
      <c r="BT400" s="171"/>
      <c r="BU400" s="171"/>
      <c r="BV400" s="171"/>
      <c r="BW400" s="171"/>
      <c r="BX400" s="171"/>
      <c r="BY400" s="171"/>
      <c r="BZ400" s="171"/>
      <c r="CA400" s="171">
        <f>COUNTIF(AJ400:AX400,"*OK*")</f>
        <v>0</v>
      </c>
      <c r="CB400" s="171"/>
      <c r="CC400" s="171">
        <f>COUNTIF(AJ400:AX400,"*OP*")</f>
        <v>0</v>
      </c>
    </row>
    <row r="401" spans="1:81" ht="15" hidden="1" customHeight="1">
      <c r="A401" s="241"/>
      <c r="B401" s="160"/>
      <c r="C401" s="468">
        <f>T401</f>
        <v>123.42</v>
      </c>
      <c r="D401" s="160">
        <f>COUNTIF(AJ401:AX401,"*OK*")</f>
        <v>0</v>
      </c>
      <c r="E401" s="160" t="s">
        <v>1122</v>
      </c>
      <c r="F401" s="423" t="s">
        <v>1123</v>
      </c>
      <c r="G401" s="182" t="s">
        <v>1124</v>
      </c>
      <c r="H401" s="187"/>
      <c r="I401" s="187"/>
      <c r="J401" s="182"/>
      <c r="K401" s="196" t="s">
        <v>79</v>
      </c>
      <c r="L401" s="182" t="s">
        <v>1106</v>
      </c>
      <c r="M401" s="182"/>
      <c r="N401" s="182"/>
      <c r="O401" s="161">
        <v>116.01</v>
      </c>
      <c r="P401" s="161">
        <v>115.9</v>
      </c>
      <c r="Q401" s="161">
        <v>114.87</v>
      </c>
      <c r="R401" s="186">
        <v>118.57</v>
      </c>
      <c r="S401" s="510">
        <v>122.4747</v>
      </c>
      <c r="T401" s="553">
        <v>123.42</v>
      </c>
      <c r="U401" s="164"/>
      <c r="V401" s="165">
        <v>200</v>
      </c>
      <c r="W401" s="187"/>
      <c r="X401" s="208" t="s">
        <v>70</v>
      </c>
      <c r="Y401" s="166" t="s">
        <v>363</v>
      </c>
      <c r="Z401" s="167" t="s">
        <v>1125</v>
      </c>
      <c r="AA401" s="165" t="s">
        <v>59</v>
      </c>
      <c r="AB401" s="167" t="s">
        <v>65</v>
      </c>
      <c r="AC401" s="187" t="s">
        <v>92</v>
      </c>
      <c r="AD401" s="160"/>
      <c r="AE401" s="160" t="s">
        <v>1121</v>
      </c>
      <c r="AF401" s="160"/>
      <c r="AG401" s="160"/>
      <c r="AH401" s="160"/>
      <c r="AI401" s="163"/>
      <c r="AJ401" s="170"/>
      <c r="AK401" s="170"/>
      <c r="AL401" s="170"/>
      <c r="AM401" s="170"/>
      <c r="AN401" s="170"/>
      <c r="AO401" s="170"/>
      <c r="AP401" s="170"/>
      <c r="AQ401" s="170"/>
      <c r="AR401" s="170"/>
      <c r="AS401" s="170"/>
      <c r="AT401" s="170"/>
      <c r="AU401" s="170"/>
      <c r="AV401" s="170"/>
      <c r="AW401" s="170"/>
      <c r="AX401" s="170"/>
      <c r="AY401" s="170"/>
      <c r="AZ401" s="169" t="s">
        <v>59</v>
      </c>
      <c r="BA401" s="160">
        <f>(COUNTIF(AJ401:AL401,"*OK*")*3) + (COUNTIF(AM401:AO401,"*OK*")*2) + COUNTIF(AP401:AR401,"*OK*")+COUNTIF(AZ401:AZ401,"SI")*0.5</f>
        <v>0</v>
      </c>
      <c r="BB401" s="160" t="str">
        <f>IF(BA401&lt;0.6,"Demasiado Riesgo",IF(BA401&lt;=5,"Riesgo Medio",IF(BA401&lt;=11,"Riesgo Bajo","Cliente Blindado")))</f>
        <v>Demasiado Riesgo</v>
      </c>
      <c r="BC401" s="160"/>
      <c r="BD401" s="160"/>
      <c r="BE401" s="160">
        <v>0</v>
      </c>
      <c r="BF401" s="160"/>
      <c r="BG401" s="160"/>
      <c r="BH401" s="160"/>
      <c r="BI401" s="160"/>
      <c r="BJ401" s="160"/>
      <c r="BK401" s="160"/>
      <c r="BL401" s="160"/>
      <c r="BM401" s="160"/>
      <c r="BN401" s="160"/>
      <c r="BO401" s="160"/>
      <c r="BP401" s="160"/>
      <c r="BQ401" s="160"/>
      <c r="BR401" s="160"/>
      <c r="BS401" s="160"/>
      <c r="BT401" s="160"/>
      <c r="BU401" s="160"/>
      <c r="BV401" s="160"/>
      <c r="BW401" s="160"/>
      <c r="BX401" s="160"/>
      <c r="BY401" s="160"/>
      <c r="BZ401" s="160"/>
      <c r="CA401" s="160">
        <f>COUNTIF(AJ401:AX401,"*OK*")</f>
        <v>0</v>
      </c>
      <c r="CB401" s="160"/>
      <c r="CC401" s="160">
        <f>COUNTIF(AJ401:AX401,"*OP*")</f>
        <v>0</v>
      </c>
    </row>
    <row r="402" spans="1:81" ht="15" hidden="1" customHeight="1">
      <c r="A402" s="241"/>
      <c r="B402" s="160"/>
      <c r="C402" s="468">
        <f>T402</f>
        <v>128.79</v>
      </c>
      <c r="D402" s="160">
        <f>COUNTIF(AJ402:AX402,"*OK*")</f>
        <v>0</v>
      </c>
      <c r="E402" s="160"/>
      <c r="F402" s="182" t="s">
        <v>1126</v>
      </c>
      <c r="G402" s="182" t="s">
        <v>1119</v>
      </c>
      <c r="H402" s="187"/>
      <c r="I402" s="187"/>
      <c r="J402" s="182"/>
      <c r="K402" s="196" t="s">
        <v>79</v>
      </c>
      <c r="L402" s="182" t="s">
        <v>1106</v>
      </c>
      <c r="M402" s="182"/>
      <c r="N402" s="182"/>
      <c r="O402" s="161">
        <v>123.43</v>
      </c>
      <c r="P402" s="161">
        <v>135.49</v>
      </c>
      <c r="Q402" s="161">
        <v>141.49</v>
      </c>
      <c r="R402" s="186">
        <v>153.22999999999999</v>
      </c>
      <c r="S402" s="510">
        <v>135.8776</v>
      </c>
      <c r="T402" s="551">
        <v>128.79</v>
      </c>
      <c r="U402" s="164"/>
      <c r="V402" s="165">
        <v>100</v>
      </c>
      <c r="W402" s="187"/>
      <c r="X402" s="207" t="s">
        <v>70</v>
      </c>
      <c r="Y402" s="166" t="s">
        <v>71</v>
      </c>
      <c r="Z402" s="167" t="s">
        <v>1127</v>
      </c>
      <c r="AA402" s="165" t="s">
        <v>59</v>
      </c>
      <c r="AB402" s="167" t="s">
        <v>65</v>
      </c>
      <c r="AC402" s="187" t="s">
        <v>92</v>
      </c>
      <c r="AD402" s="160"/>
      <c r="AE402" s="160" t="s">
        <v>1121</v>
      </c>
      <c r="AF402" s="160"/>
      <c r="AG402" s="160"/>
      <c r="AH402" s="160"/>
      <c r="AI402" s="163" t="s">
        <v>59</v>
      </c>
      <c r="AJ402" s="170"/>
      <c r="AK402" s="170"/>
      <c r="AL402" s="170"/>
      <c r="AM402" s="170"/>
      <c r="AN402" s="170"/>
      <c r="AO402" s="170"/>
      <c r="AP402" s="170"/>
      <c r="AQ402" s="170"/>
      <c r="AR402" s="170"/>
      <c r="AS402" s="170"/>
      <c r="AT402" s="170"/>
      <c r="AU402" s="170"/>
      <c r="AV402" s="170"/>
      <c r="AW402" s="170"/>
      <c r="AX402" s="170"/>
      <c r="AY402" s="170"/>
      <c r="AZ402" s="169" t="s">
        <v>59</v>
      </c>
      <c r="BA402" s="160">
        <f>(COUNTIF(AJ402:AL402,"*OK*")*3) + (COUNTIF(AM402:AO402,"*OK*")*2) + COUNTIF(AP402:AR402,"*OK*")+COUNTIF(AZ402:AZ402,"SI")*0.5</f>
        <v>0</v>
      </c>
      <c r="BB402" s="160" t="str">
        <f>IF(BA402&lt;0.6,"Demasiado Riesgo",IF(BA402&lt;=5,"Riesgo Medio",IF(BA402&lt;=11,"Riesgo Bajo","Cliente Blindado")))</f>
        <v>Demasiado Riesgo</v>
      </c>
      <c r="BC402" s="160"/>
      <c r="BD402" s="160"/>
      <c r="BE402" s="160">
        <v>0</v>
      </c>
      <c r="BF402" s="160"/>
      <c r="BG402" s="160"/>
      <c r="BH402" s="160"/>
      <c r="BI402" s="160"/>
      <c r="BJ402" s="160"/>
      <c r="BK402" s="160"/>
      <c r="BL402" s="160"/>
      <c r="BM402" s="160"/>
      <c r="BN402" s="160"/>
      <c r="BO402" s="160"/>
      <c r="BP402" s="160"/>
      <c r="BQ402" s="160"/>
      <c r="BR402" s="160"/>
      <c r="BS402" s="160"/>
      <c r="BT402" s="160"/>
      <c r="BU402" s="160"/>
      <c r="BV402" s="160"/>
      <c r="BW402" s="160"/>
      <c r="BX402" s="160"/>
      <c r="BY402" s="160"/>
      <c r="BZ402" s="160"/>
      <c r="CA402" s="160">
        <f>COUNTIF(AJ402:AX402,"*OK*")</f>
        <v>0</v>
      </c>
      <c r="CB402" s="160"/>
      <c r="CC402" s="160">
        <f>COUNTIF(AJ402:AX402,"*OP*")</f>
        <v>0</v>
      </c>
    </row>
    <row r="403" spans="1:81" ht="15" hidden="1" customHeight="1">
      <c r="A403" s="240"/>
      <c r="B403" s="171"/>
      <c r="C403" s="468">
        <f>T403</f>
        <v>130.27000000000001</v>
      </c>
      <c r="D403" s="171">
        <f>COUNTIF(AJ403:AX403,"*OK*")</f>
        <v>0</v>
      </c>
      <c r="E403" s="171" t="s">
        <v>1122</v>
      </c>
      <c r="F403" s="422" t="s">
        <v>1128</v>
      </c>
      <c r="G403" s="183" t="s">
        <v>1124</v>
      </c>
      <c r="H403" s="194"/>
      <c r="I403" s="194"/>
      <c r="J403" s="183"/>
      <c r="K403" s="198" t="s">
        <v>79</v>
      </c>
      <c r="L403" s="183" t="s">
        <v>1106</v>
      </c>
      <c r="M403" s="183"/>
      <c r="N403" s="183"/>
      <c r="O403" s="172">
        <v>127.61</v>
      </c>
      <c r="P403" s="172">
        <v>127.49</v>
      </c>
      <c r="Q403" s="172">
        <v>121.5</v>
      </c>
      <c r="R403" s="193">
        <v>125.41</v>
      </c>
      <c r="S403" s="510">
        <v>129.40719999999999</v>
      </c>
      <c r="T403" s="554">
        <v>130.27000000000001</v>
      </c>
      <c r="U403" s="175"/>
      <c r="V403" s="176">
        <v>500</v>
      </c>
      <c r="W403" s="194"/>
      <c r="X403" s="205" t="s">
        <v>253</v>
      </c>
      <c r="Y403" s="177" t="s">
        <v>108</v>
      </c>
      <c r="Z403" s="178" t="s">
        <v>1129</v>
      </c>
      <c r="AA403" s="176" t="s">
        <v>59</v>
      </c>
      <c r="AB403" s="178" t="s">
        <v>65</v>
      </c>
      <c r="AC403" s="194" t="s">
        <v>92</v>
      </c>
      <c r="AD403" s="171"/>
      <c r="AE403" s="171" t="s">
        <v>1121</v>
      </c>
      <c r="AF403" s="171"/>
      <c r="AG403" s="171"/>
      <c r="AH403" s="171"/>
      <c r="AI403" s="174"/>
      <c r="AJ403" s="170"/>
      <c r="AK403" s="170"/>
      <c r="AL403" s="170"/>
      <c r="AM403" s="170"/>
      <c r="AN403" s="170"/>
      <c r="AO403" s="170"/>
      <c r="AP403" s="170"/>
      <c r="AQ403" s="170"/>
      <c r="AR403" s="170"/>
      <c r="AS403" s="170"/>
      <c r="AT403" s="170"/>
      <c r="AU403" s="170"/>
      <c r="AV403" s="170"/>
      <c r="AW403" s="170"/>
      <c r="AX403" s="170"/>
      <c r="AY403" s="170"/>
      <c r="AZ403" s="180" t="s">
        <v>59</v>
      </c>
      <c r="BA403" s="171">
        <f>(COUNTIF(AJ403:AL403,"*OK*")*3) + (COUNTIF(AM403:AO403,"*OK*")*2) + COUNTIF(AP403:AR403,"*OK*")+COUNTIF(AZ403:AZ403,"SI")*0.5</f>
        <v>0</v>
      </c>
      <c r="BB403" s="171" t="str">
        <f>IF(BA403&lt;0.6,"Demasiado Riesgo",IF(BA403&lt;=5,"Riesgo Medio",IF(BA403&lt;=11,"Riesgo Bajo","Cliente Blindado")))</f>
        <v>Demasiado Riesgo</v>
      </c>
      <c r="BC403" s="171"/>
      <c r="BD403" s="171"/>
      <c r="BE403" s="171">
        <v>0</v>
      </c>
      <c r="BF403" s="171"/>
      <c r="BG403" s="171"/>
      <c r="BH403" s="171"/>
      <c r="BI403" s="171"/>
      <c r="BJ403" s="171"/>
      <c r="BK403" s="171"/>
      <c r="BL403" s="171"/>
      <c r="BM403" s="171"/>
      <c r="BN403" s="171"/>
      <c r="BO403" s="171"/>
      <c r="BP403" s="171"/>
      <c r="BQ403" s="171"/>
      <c r="BR403" s="171"/>
      <c r="BS403" s="171"/>
      <c r="BT403" s="171"/>
      <c r="BU403" s="171"/>
      <c r="BV403" s="171"/>
      <c r="BW403" s="171"/>
      <c r="BX403" s="171"/>
      <c r="BY403" s="171"/>
      <c r="BZ403" s="171"/>
      <c r="CA403" s="171">
        <f>COUNTIF(AJ403:AX403,"*OK*")</f>
        <v>0</v>
      </c>
      <c r="CB403" s="171"/>
      <c r="CC403" s="171">
        <f>COUNTIF(AJ403:AX403,"*OP*")</f>
        <v>0</v>
      </c>
    </row>
    <row r="404" spans="1:81" ht="15" hidden="1" customHeight="1">
      <c r="A404" s="241"/>
      <c r="B404" s="160"/>
      <c r="C404" s="468">
        <f>T404</f>
        <v>131.99</v>
      </c>
      <c r="D404" s="160">
        <f>COUNTIF(AJ404:AX404,"*OK*")</f>
        <v>0</v>
      </c>
      <c r="E404" s="160"/>
      <c r="F404" s="182" t="s">
        <v>1130</v>
      </c>
      <c r="G404" s="182" t="s">
        <v>1119</v>
      </c>
      <c r="H404" s="187"/>
      <c r="I404" s="187"/>
      <c r="J404" s="182"/>
      <c r="K404" s="196" t="s">
        <v>79</v>
      </c>
      <c r="L404" s="182" t="s">
        <v>1106</v>
      </c>
      <c r="M404" s="182"/>
      <c r="N404" s="182"/>
      <c r="O404" s="161">
        <v>133.99</v>
      </c>
      <c r="P404" s="161">
        <v>143.6</v>
      </c>
      <c r="Q404" s="161">
        <v>133.76</v>
      </c>
      <c r="R404" s="186">
        <v>142.05000000000001</v>
      </c>
      <c r="S404" s="510">
        <v>135.06880000000001</v>
      </c>
      <c r="T404" s="551">
        <v>131.99</v>
      </c>
      <c r="U404" s="164"/>
      <c r="V404" s="165">
        <v>100</v>
      </c>
      <c r="W404" s="187"/>
      <c r="X404" s="203" t="s">
        <v>488</v>
      </c>
      <c r="Y404" s="166" t="s">
        <v>152</v>
      </c>
      <c r="Z404" s="167" t="s">
        <v>1131</v>
      </c>
      <c r="AA404" s="165" t="s">
        <v>59</v>
      </c>
      <c r="AB404" s="167" t="s">
        <v>65</v>
      </c>
      <c r="AC404" s="187" t="s">
        <v>92</v>
      </c>
      <c r="AD404" s="160"/>
      <c r="AE404" s="160" t="s">
        <v>1121</v>
      </c>
      <c r="AF404" s="160"/>
      <c r="AG404" s="160"/>
      <c r="AH404" s="160"/>
      <c r="AI404" s="163" t="s">
        <v>59</v>
      </c>
      <c r="AJ404" s="170"/>
      <c r="AK404" s="170"/>
      <c r="AL404" s="170"/>
      <c r="AM404" s="170"/>
      <c r="AN404" s="170"/>
      <c r="AO404" s="170"/>
      <c r="AP404" s="170"/>
      <c r="AQ404" s="170"/>
      <c r="AR404" s="170"/>
      <c r="AS404" s="170"/>
      <c r="AT404" s="170"/>
      <c r="AU404" s="170"/>
      <c r="AV404" s="170"/>
      <c r="AW404" s="170"/>
      <c r="AX404" s="170"/>
      <c r="AY404" s="170"/>
      <c r="AZ404" s="169" t="s">
        <v>59</v>
      </c>
      <c r="BA404" s="160">
        <f>(COUNTIF(AJ404:AL404,"*OK*")*3) + (COUNTIF(AM404:AO404,"*OK*")*2) + COUNTIF(AP404:AR404,"*OK*")+COUNTIF(AZ404:AZ404,"SI")*0.5</f>
        <v>0</v>
      </c>
      <c r="BB404" s="160" t="str">
        <f>IF(BA404&lt;0.6,"Demasiado Riesgo",IF(BA404&lt;=5,"Riesgo Medio",IF(BA404&lt;=11,"Riesgo Bajo","Cliente Blindado")))</f>
        <v>Demasiado Riesgo</v>
      </c>
      <c r="BC404" s="160"/>
      <c r="BD404" s="160"/>
      <c r="BE404" s="160">
        <v>0</v>
      </c>
      <c r="BF404" s="160"/>
      <c r="BG404" s="160"/>
      <c r="BH404" s="160"/>
      <c r="BI404" s="160"/>
      <c r="BJ404" s="160"/>
      <c r="BK404" s="160"/>
      <c r="BL404" s="160"/>
      <c r="BM404" s="160"/>
      <c r="BN404" s="160"/>
      <c r="BO404" s="160"/>
      <c r="BP404" s="160"/>
      <c r="BQ404" s="160"/>
      <c r="BR404" s="160"/>
      <c r="BS404" s="160"/>
      <c r="BT404" s="160"/>
      <c r="BU404" s="160"/>
      <c r="BV404" s="160"/>
      <c r="BW404" s="160"/>
      <c r="BX404" s="160"/>
      <c r="BY404" s="160"/>
      <c r="BZ404" s="160"/>
      <c r="CA404" s="160">
        <f>COUNTIF(AJ404:AX404,"*OK*")</f>
        <v>0</v>
      </c>
      <c r="CB404" s="160"/>
      <c r="CC404" s="160">
        <f>COUNTIF(AJ404:AX404,"*OP*")</f>
        <v>0</v>
      </c>
    </row>
    <row r="405" spans="1:81" ht="15" hidden="1" customHeight="1">
      <c r="A405" s="240"/>
      <c r="B405" s="171"/>
      <c r="C405" s="468">
        <f>T405</f>
        <v>139.19</v>
      </c>
      <c r="D405" s="171">
        <f>COUNTIF(AJ405:AX405,"*OK*")</f>
        <v>0</v>
      </c>
      <c r="E405" s="171"/>
      <c r="F405" s="183" t="s">
        <v>1132</v>
      </c>
      <c r="G405" s="183" t="s">
        <v>1119</v>
      </c>
      <c r="H405" s="194"/>
      <c r="I405" s="194"/>
      <c r="J405" s="183"/>
      <c r="K405" s="198" t="s">
        <v>79</v>
      </c>
      <c r="L405" s="183" t="s">
        <v>1106</v>
      </c>
      <c r="M405" s="183"/>
      <c r="N405" s="183"/>
      <c r="O405" s="172">
        <v>136.43</v>
      </c>
      <c r="P405" s="172">
        <v>146.04</v>
      </c>
      <c r="Q405" s="172">
        <v>135.30000000000001</v>
      </c>
      <c r="R405" s="193">
        <v>150.03</v>
      </c>
      <c r="S405" s="510">
        <v>143.1567</v>
      </c>
      <c r="T405" s="550">
        <v>139.19</v>
      </c>
      <c r="U405" s="175"/>
      <c r="V405" s="176">
        <v>150</v>
      </c>
      <c r="W405" s="194"/>
      <c r="X405" s="209" t="s">
        <v>70</v>
      </c>
      <c r="Y405" s="177" t="s">
        <v>89</v>
      </c>
      <c r="Z405" s="178" t="s">
        <v>1133</v>
      </c>
      <c r="AA405" s="176" t="s">
        <v>59</v>
      </c>
      <c r="AB405" s="178" t="s">
        <v>65</v>
      </c>
      <c r="AC405" s="194" t="s">
        <v>92</v>
      </c>
      <c r="AD405" s="171"/>
      <c r="AE405" s="171" t="s">
        <v>1121</v>
      </c>
      <c r="AF405" s="171"/>
      <c r="AG405" s="171"/>
      <c r="AH405" s="171"/>
      <c r="AI405" s="178" t="s">
        <v>59</v>
      </c>
      <c r="AJ405" s="170"/>
      <c r="AK405" s="170"/>
      <c r="AL405" s="545"/>
      <c r="AM405" s="170"/>
      <c r="AN405" s="545"/>
      <c r="AO405" s="170"/>
      <c r="AP405" s="170"/>
      <c r="AQ405" s="170"/>
      <c r="AR405" s="170"/>
      <c r="AS405" s="170"/>
      <c r="AT405" s="170"/>
      <c r="AU405" s="170"/>
      <c r="AV405" s="170"/>
      <c r="AW405" s="170"/>
      <c r="AX405" s="170"/>
      <c r="AY405" s="170"/>
      <c r="AZ405" s="178" t="s">
        <v>59</v>
      </c>
      <c r="BA405" s="171">
        <f>(COUNTIF(AJ405:AL405,"*OK*")*3) + (COUNTIF(AM405:AO405,"*OK*")*2) + COUNTIF(AP405:AR405,"*OK*")+COUNTIF(AZ405:AZ405,"SI")*0.5</f>
        <v>0</v>
      </c>
      <c r="BB405" s="171" t="str">
        <f>IF(BA405&lt;0.6,"Demasiado Riesgo",IF(BA405&lt;=5,"Riesgo Medio",IF(BA405&lt;=11,"Riesgo Bajo","Cliente Blindado")))</f>
        <v>Demasiado Riesgo</v>
      </c>
      <c r="BC405" s="171"/>
      <c r="BD405" s="171"/>
      <c r="BE405" s="171">
        <v>0</v>
      </c>
      <c r="BF405" s="171"/>
      <c r="BG405" s="171"/>
      <c r="BH405" s="171"/>
      <c r="BI405" s="171"/>
      <c r="BJ405" s="171"/>
      <c r="BK405" s="171"/>
      <c r="BL405" s="171"/>
      <c r="BM405" s="171"/>
      <c r="BN405" s="171"/>
      <c r="BO405" s="171"/>
      <c r="BP405" s="171"/>
      <c r="BQ405" s="171"/>
      <c r="BR405" s="171"/>
      <c r="BS405" s="171"/>
      <c r="BT405" s="171"/>
      <c r="BU405" s="171"/>
      <c r="BV405" s="171"/>
      <c r="BW405" s="171"/>
      <c r="BX405" s="171"/>
      <c r="BY405" s="171"/>
      <c r="BZ405" s="171"/>
      <c r="CA405" s="171">
        <f>COUNTIF(AJ405:AX405,"*OK*")</f>
        <v>0</v>
      </c>
      <c r="CB405" s="171"/>
      <c r="CC405" s="171">
        <f>COUNTIF(AJ405:AX405,"*OP*")</f>
        <v>0</v>
      </c>
    </row>
    <row r="406" spans="1:81" ht="15" hidden="1" customHeight="1">
      <c r="A406" s="501"/>
      <c r="B406" s="162"/>
      <c r="C406" s="468">
        <f>T406</f>
        <v>141.69999999999999</v>
      </c>
      <c r="D406" s="160">
        <f>COUNTIF(AJ406:AX406,"*OK*")</f>
        <v>0</v>
      </c>
      <c r="E406" s="160" t="s">
        <v>1122</v>
      </c>
      <c r="F406" s="423" t="s">
        <v>1134</v>
      </c>
      <c r="G406" s="182" t="s">
        <v>1124</v>
      </c>
      <c r="H406" s="187"/>
      <c r="I406" s="187"/>
      <c r="J406" s="182"/>
      <c r="K406" s="196" t="s">
        <v>79</v>
      </c>
      <c r="L406" s="182" t="s">
        <v>1106</v>
      </c>
      <c r="M406" s="182"/>
      <c r="N406" s="182"/>
      <c r="O406" s="161">
        <v>139.21</v>
      </c>
      <c r="P406" s="161">
        <v>139.08000000000001</v>
      </c>
      <c r="Q406" s="161">
        <v>132.54</v>
      </c>
      <c r="R406" s="186">
        <v>139.09</v>
      </c>
      <c r="S406" s="510">
        <v>140.9614</v>
      </c>
      <c r="T406" s="553">
        <v>141.69999999999999</v>
      </c>
      <c r="U406" s="164"/>
      <c r="V406" s="165">
        <v>300</v>
      </c>
      <c r="W406" s="187"/>
      <c r="X406" s="208" t="s">
        <v>70</v>
      </c>
      <c r="Y406" s="166" t="s">
        <v>108</v>
      </c>
      <c r="Z406" s="167" t="s">
        <v>1135</v>
      </c>
      <c r="AA406" s="165" t="s">
        <v>59</v>
      </c>
      <c r="AB406" s="167" t="s">
        <v>65</v>
      </c>
      <c r="AC406" s="187" t="s">
        <v>92</v>
      </c>
      <c r="AD406" s="160"/>
      <c r="AE406" s="160" t="s">
        <v>1121</v>
      </c>
      <c r="AF406" s="160"/>
      <c r="AG406" s="160"/>
      <c r="AH406" s="160"/>
      <c r="AI406" s="169"/>
      <c r="AJ406" s="170"/>
      <c r="AK406" s="170"/>
      <c r="AL406" s="170"/>
      <c r="AM406" s="170"/>
      <c r="AN406" s="170"/>
      <c r="AO406" s="170"/>
      <c r="AP406" s="170"/>
      <c r="AQ406" s="170"/>
      <c r="AR406" s="170"/>
      <c r="AS406" s="170"/>
      <c r="AT406" s="170"/>
      <c r="AU406" s="170"/>
      <c r="AV406" s="170"/>
      <c r="AW406" s="170"/>
      <c r="AX406" s="170"/>
      <c r="AY406" s="170"/>
      <c r="AZ406" s="169" t="s">
        <v>59</v>
      </c>
      <c r="BA406" s="160">
        <f>(COUNTIF(AJ406:AL406,"*OK*")*3) + (COUNTIF(AM406:AO406,"*OK*")*2) + COUNTIF(AP406:AR406,"*OK*")+COUNTIF(AZ406:AZ406,"SI")*0.5</f>
        <v>0</v>
      </c>
      <c r="BB406" s="160" t="str">
        <f>IF(BA406&lt;0.6,"Demasiado Riesgo",IF(BA406&lt;=5,"Riesgo Medio",IF(BA406&lt;=11,"Riesgo Bajo","Cliente Blindado")))</f>
        <v>Demasiado Riesgo</v>
      </c>
      <c r="BC406" s="160"/>
      <c r="BD406" s="160"/>
      <c r="BE406" s="160">
        <v>0</v>
      </c>
      <c r="BF406" s="160"/>
      <c r="BG406" s="160"/>
      <c r="BH406" s="160"/>
      <c r="BI406" s="160"/>
      <c r="BJ406" s="160"/>
      <c r="BK406" s="160"/>
      <c r="BL406" s="160"/>
      <c r="BM406" s="160"/>
      <c r="BN406" s="160"/>
      <c r="BO406" s="160"/>
      <c r="BP406" s="160"/>
      <c r="BQ406" s="160"/>
      <c r="BR406" s="160"/>
      <c r="BS406" s="160"/>
      <c r="BT406" s="160"/>
      <c r="BU406" s="160"/>
      <c r="BV406" s="160"/>
      <c r="BW406" s="160"/>
      <c r="BX406" s="160"/>
      <c r="BY406" s="160"/>
      <c r="BZ406" s="160"/>
      <c r="CA406" s="160">
        <f>COUNTIF(AJ406:AX406,"*OK*")</f>
        <v>0</v>
      </c>
      <c r="CB406" s="160"/>
      <c r="CC406" s="160">
        <f>COUNTIF(AJ406:AX406,"*OP*")</f>
        <v>0</v>
      </c>
    </row>
    <row r="407" spans="1:81" ht="15" hidden="1" customHeight="1">
      <c r="A407" s="241"/>
      <c r="B407" s="160"/>
      <c r="C407" s="468">
        <f>T407</f>
        <v>142.38999999999999</v>
      </c>
      <c r="D407" s="160">
        <f>COUNTIF(AJ407:AX407,"*OK*")</f>
        <v>0</v>
      </c>
      <c r="E407" s="160"/>
      <c r="F407" s="197" t="s">
        <v>1136</v>
      </c>
      <c r="G407" s="182" t="s">
        <v>1119</v>
      </c>
      <c r="H407" s="187" t="s">
        <v>1137</v>
      </c>
      <c r="I407" s="187"/>
      <c r="J407" s="182"/>
      <c r="K407" s="196" t="s">
        <v>79</v>
      </c>
      <c r="L407" s="182" t="s">
        <v>1106</v>
      </c>
      <c r="M407" s="182"/>
      <c r="N407" s="182"/>
      <c r="O407" s="161">
        <v>134.80000000000001</v>
      </c>
      <c r="P407" s="161">
        <v>141.16999999999999</v>
      </c>
      <c r="Q407" s="161">
        <v>262.10000000000002</v>
      </c>
      <c r="R407" s="186">
        <v>145.25</v>
      </c>
      <c r="S407" s="510">
        <v>145.5831</v>
      </c>
      <c r="T407" s="551">
        <v>142.38999999999999</v>
      </c>
      <c r="U407" s="164"/>
      <c r="V407" s="165">
        <v>200</v>
      </c>
      <c r="W407" s="187"/>
      <c r="X407" s="207" t="s">
        <v>70</v>
      </c>
      <c r="Y407" s="166" t="s">
        <v>80</v>
      </c>
      <c r="Z407" s="167" t="s">
        <v>1138</v>
      </c>
      <c r="AA407" s="165" t="s">
        <v>59</v>
      </c>
      <c r="AB407" s="167" t="s">
        <v>65</v>
      </c>
      <c r="AC407" s="187" t="s">
        <v>92</v>
      </c>
      <c r="AD407" s="160"/>
      <c r="AE407" s="160" t="s">
        <v>1121</v>
      </c>
      <c r="AF407" s="160"/>
      <c r="AG407" s="160"/>
      <c r="AH407" s="160"/>
      <c r="AI407" s="163" t="s">
        <v>59</v>
      </c>
      <c r="AJ407" s="170"/>
      <c r="AK407" s="170" t="s">
        <v>173</v>
      </c>
      <c r="AL407" s="170" t="s">
        <v>1139</v>
      </c>
      <c r="AM407" s="170" t="s">
        <v>1140</v>
      </c>
      <c r="AN407" s="170"/>
      <c r="AO407" s="170"/>
      <c r="AP407" s="170"/>
      <c r="AQ407" s="170"/>
      <c r="AR407" s="170"/>
      <c r="AS407" s="170"/>
      <c r="AT407" s="170"/>
      <c r="AU407" s="170"/>
      <c r="AV407" s="170"/>
      <c r="AW407" s="170"/>
      <c r="AX407" s="170"/>
      <c r="AY407" s="170"/>
      <c r="AZ407" s="169" t="s">
        <v>59</v>
      </c>
      <c r="BA407" s="160">
        <f>(COUNTIF(AJ407:AL407,"*OK*")*3) + (COUNTIF(AM407:AO407,"*OK*")*2) + COUNTIF(AP407:AR407,"*OK*")+COUNTIF(AZ407:AZ407,"SI")*0.5</f>
        <v>0</v>
      </c>
      <c r="BB407" s="160" t="str">
        <f>IF(BA407&lt;0.6,"Demasiado Riesgo",IF(BA407&lt;=5,"Riesgo Medio",IF(BA407&lt;=11,"Riesgo Bajo","Cliente Blindado")))</f>
        <v>Demasiado Riesgo</v>
      </c>
      <c r="BC407" s="160"/>
      <c r="BD407" s="160"/>
      <c r="BE407" s="160">
        <v>0</v>
      </c>
      <c r="BF407" s="160"/>
      <c r="BG407" s="160"/>
      <c r="BH407" s="160"/>
      <c r="BI407" s="160"/>
      <c r="BJ407" s="160"/>
      <c r="BK407" s="160"/>
      <c r="BL407" s="160"/>
      <c r="BM407" s="160"/>
      <c r="BN407" s="160"/>
      <c r="BO407" s="160"/>
      <c r="BP407" s="160"/>
      <c r="BQ407" s="160"/>
      <c r="BR407" s="160"/>
      <c r="BS407" s="160"/>
      <c r="BT407" s="160"/>
      <c r="BU407" s="160"/>
      <c r="BV407" s="160"/>
      <c r="BW407" s="160"/>
      <c r="BX407" s="160"/>
      <c r="BY407" s="160"/>
      <c r="BZ407" s="160"/>
      <c r="CA407" s="160">
        <f>COUNTIF(AJ407:AX407,"*OK*")</f>
        <v>0</v>
      </c>
      <c r="CB407" s="160"/>
      <c r="CC407" s="160">
        <f>COUNTIF(AJ407:AX407,"*OP*")</f>
        <v>3</v>
      </c>
    </row>
    <row r="408" spans="1:81" ht="15" hidden="1" customHeight="1">
      <c r="A408" s="500">
        <v>23247</v>
      </c>
      <c r="B408" s="173"/>
      <c r="C408" s="468">
        <f>T408</f>
        <v>144.61000000000001</v>
      </c>
      <c r="D408" s="171">
        <f>COUNTIF(AJ408:AX408,"*OK*")</f>
        <v>1</v>
      </c>
      <c r="E408" s="171"/>
      <c r="F408" s="422" t="s">
        <v>1141</v>
      </c>
      <c r="G408" s="183"/>
      <c r="H408" s="194"/>
      <c r="I408" s="194"/>
      <c r="J408" s="183"/>
      <c r="K408" s="192" t="s">
        <v>68</v>
      </c>
      <c r="L408" s="183" t="s">
        <v>1106</v>
      </c>
      <c r="M408" s="183"/>
      <c r="N408" s="183"/>
      <c r="O408" s="172">
        <v>149.75</v>
      </c>
      <c r="P408" s="172">
        <v>148.97999999999999</v>
      </c>
      <c r="Q408" s="172">
        <v>146.1</v>
      </c>
      <c r="R408" s="193">
        <v>144.79</v>
      </c>
      <c r="S408" s="510">
        <v>146.17930000000001</v>
      </c>
      <c r="T408" s="550">
        <v>144.61000000000001</v>
      </c>
      <c r="U408" s="175"/>
      <c r="V408" s="176">
        <v>100</v>
      </c>
      <c r="W408" s="194"/>
      <c r="X408" s="209" t="s">
        <v>70</v>
      </c>
      <c r="Y408" s="177" t="s">
        <v>80</v>
      </c>
      <c r="Z408" s="178" t="s">
        <v>1142</v>
      </c>
      <c r="AA408" s="176" t="s">
        <v>59</v>
      </c>
      <c r="AB408" s="178" t="s">
        <v>104</v>
      </c>
      <c r="AC408" s="194" t="s">
        <v>92</v>
      </c>
      <c r="AD408" s="171"/>
      <c r="AE408" s="171" t="s">
        <v>1108</v>
      </c>
      <c r="AF408" s="171"/>
      <c r="AG408" s="171"/>
      <c r="AH408" s="171"/>
      <c r="AI408" s="174"/>
      <c r="AJ408" s="170"/>
      <c r="AK408" s="170"/>
      <c r="AL408" s="170"/>
      <c r="AM408" s="170"/>
      <c r="AN408" s="170"/>
      <c r="AO408" s="170"/>
      <c r="AP408" s="170"/>
      <c r="AQ408" s="189" t="s">
        <v>111</v>
      </c>
      <c r="AR408" s="170"/>
      <c r="AS408" s="170"/>
      <c r="AT408" s="170"/>
      <c r="AU408" s="170"/>
      <c r="AV408" s="170"/>
      <c r="AW408" s="170"/>
      <c r="AX408" s="170"/>
      <c r="AY408" s="170"/>
      <c r="AZ408" s="180" t="s">
        <v>178</v>
      </c>
      <c r="BA408" s="171">
        <f>(COUNTIF(AJ408:AL408,"*OK*")*3) + (COUNTIF(AM408:AO408,"*OK*")*2) + COUNTIF(AP408:AR408,"*OK*")+COUNTIF(AZ408:AZ408,"SI")*0.5</f>
        <v>1</v>
      </c>
      <c r="BB408" s="171" t="str">
        <f>IF(BA408&lt;0.6,"Demasiado Riesgo",IF(BA408&lt;=5,"Riesgo Medio",IF(BA408&lt;=11,"Riesgo Bajo","Cliente Blindado")))</f>
        <v>Riesgo Medio</v>
      </c>
      <c r="BC408" s="171"/>
      <c r="BD408" s="171"/>
      <c r="BE408" s="171">
        <v>0</v>
      </c>
      <c r="BF408" s="171"/>
      <c r="BG408" s="171"/>
      <c r="BH408" s="171"/>
      <c r="BI408" s="171"/>
      <c r="BJ408" s="171"/>
      <c r="BK408" s="171"/>
      <c r="BL408" s="171"/>
      <c r="BM408" s="171"/>
      <c r="BN408" s="171"/>
      <c r="BO408" s="171"/>
      <c r="BP408" s="171"/>
      <c r="BQ408" s="171"/>
      <c r="BR408" s="171"/>
      <c r="BS408" s="171"/>
      <c r="BT408" s="171"/>
      <c r="BU408" s="171"/>
      <c r="BV408" s="171"/>
      <c r="BW408" s="171"/>
      <c r="BX408" s="171"/>
      <c r="BY408" s="171"/>
      <c r="BZ408" s="171"/>
      <c r="CA408" s="171">
        <f>COUNTIF(AJ408:AX408,"*OK*")</f>
        <v>1</v>
      </c>
      <c r="CB408" s="171"/>
      <c r="CC408" s="171">
        <f>COUNTIF(AJ408:AX408,"*OP*")</f>
        <v>0</v>
      </c>
    </row>
    <row r="409" spans="1:81" ht="15" hidden="1" customHeight="1">
      <c r="A409" s="241"/>
      <c r="B409" s="160"/>
      <c r="C409" s="468">
        <f>T409</f>
        <v>145.76</v>
      </c>
      <c r="D409" s="160">
        <f>COUNTIF(AJ409:AX409,"*OK*")</f>
        <v>0</v>
      </c>
      <c r="E409" s="160"/>
      <c r="F409" s="423" t="s">
        <v>1143</v>
      </c>
      <c r="G409" s="182" t="s">
        <v>1144</v>
      </c>
      <c r="H409" s="187"/>
      <c r="I409" s="187"/>
      <c r="J409" s="182"/>
      <c r="K409" s="196" t="s">
        <v>79</v>
      </c>
      <c r="L409" s="182" t="s">
        <v>1106</v>
      </c>
      <c r="M409" s="182" t="s">
        <v>135</v>
      </c>
      <c r="N409" s="182"/>
      <c r="O409" s="161">
        <v>168.42</v>
      </c>
      <c r="P409" s="161">
        <v>165.86</v>
      </c>
      <c r="Q409" s="161">
        <v>143.19999999999999</v>
      </c>
      <c r="R409" s="186">
        <v>151.35</v>
      </c>
      <c r="S409" s="510">
        <v>176.14400000000001</v>
      </c>
      <c r="T409" s="551">
        <v>145.76</v>
      </c>
      <c r="U409" s="164"/>
      <c r="V409" s="165">
        <v>1000</v>
      </c>
      <c r="W409" s="187"/>
      <c r="X409" s="208" t="s">
        <v>70</v>
      </c>
      <c r="Y409" s="166" t="s">
        <v>363</v>
      </c>
      <c r="Z409" s="167" t="s">
        <v>1145</v>
      </c>
      <c r="AA409" s="165" t="s">
        <v>59</v>
      </c>
      <c r="AB409" s="167" t="s">
        <v>65</v>
      </c>
      <c r="AC409" s="187" t="s">
        <v>92</v>
      </c>
      <c r="AD409" s="160"/>
      <c r="AE409" s="160" t="s">
        <v>1115</v>
      </c>
      <c r="AF409" s="160"/>
      <c r="AG409" s="160"/>
      <c r="AH409" s="160"/>
      <c r="AI409" s="163"/>
      <c r="AJ409" s="170"/>
      <c r="AK409" s="170"/>
      <c r="AL409" s="170"/>
      <c r="AM409" s="170"/>
      <c r="AN409" s="170"/>
      <c r="AO409" s="170"/>
      <c r="AP409" s="170"/>
      <c r="AQ409" s="170"/>
      <c r="AR409" s="170"/>
      <c r="AS409" s="170"/>
      <c r="AT409" s="170"/>
      <c r="AU409" s="170"/>
      <c r="AV409" s="170"/>
      <c r="AW409" s="170"/>
      <c r="AX409" s="170"/>
      <c r="AY409" s="170"/>
      <c r="AZ409" s="169" t="s">
        <v>59</v>
      </c>
      <c r="BA409" s="160">
        <f>(COUNTIF(AJ409:AL409,"*OK*")*3) + (COUNTIF(AM409:AO409,"*OK*")*2) + COUNTIF(AP409:AR409,"*OK*")+COUNTIF(AZ409:AZ409,"SI")*0.5</f>
        <v>0</v>
      </c>
      <c r="BB409" s="160" t="str">
        <f>IF(BA409&lt;0.6,"Demasiado Riesgo",IF(BA409&lt;=5,"Riesgo Medio",IF(BA409&lt;=11,"Riesgo Bajo","Cliente Blindado")))</f>
        <v>Demasiado Riesgo</v>
      </c>
      <c r="BC409" s="160"/>
      <c r="BD409" s="160"/>
      <c r="BE409" s="160">
        <v>0</v>
      </c>
      <c r="BF409" s="160"/>
      <c r="BG409" s="160"/>
      <c r="BH409" s="160"/>
      <c r="BI409" s="160"/>
      <c r="BJ409" s="160"/>
      <c r="BK409" s="160"/>
      <c r="BL409" s="160"/>
      <c r="BM409" s="160"/>
      <c r="BN409" s="160"/>
      <c r="BO409" s="160"/>
      <c r="BP409" s="160"/>
      <c r="BQ409" s="160"/>
      <c r="BR409" s="160"/>
      <c r="BS409" s="160"/>
      <c r="BT409" s="160"/>
      <c r="BU409" s="160"/>
      <c r="BV409" s="160"/>
      <c r="BW409" s="160"/>
      <c r="BX409" s="160"/>
      <c r="BY409" s="160"/>
      <c r="BZ409" s="160"/>
      <c r="CA409" s="160">
        <f>COUNTIF(AJ409:AX409,"*OK*")</f>
        <v>0</v>
      </c>
      <c r="CB409" s="160"/>
      <c r="CC409" s="160">
        <f>COUNTIF(AJ409:AX409,"*OP*")</f>
        <v>0</v>
      </c>
    </row>
    <row r="410" spans="1:81" ht="15" hidden="1" customHeight="1">
      <c r="A410" s="240"/>
      <c r="B410" s="171"/>
      <c r="C410" s="468">
        <f>T410</f>
        <v>171.41</v>
      </c>
      <c r="D410" s="171">
        <f>COUNTIF(AJ410:AX410,"*OK*")</f>
        <v>0</v>
      </c>
      <c r="E410" s="171" t="s">
        <v>1122</v>
      </c>
      <c r="F410" s="422" t="s">
        <v>1146</v>
      </c>
      <c r="G410" s="183" t="s">
        <v>1124</v>
      </c>
      <c r="H410" s="194"/>
      <c r="I410" s="194"/>
      <c r="J410" s="183"/>
      <c r="K410" s="198" t="s">
        <v>79</v>
      </c>
      <c r="L410" s="183" t="s">
        <v>1106</v>
      </c>
      <c r="M410" s="183"/>
      <c r="N410" s="183"/>
      <c r="O410" s="172">
        <v>169.37</v>
      </c>
      <c r="P410" s="172">
        <v>171.53</v>
      </c>
      <c r="Q410" s="172">
        <v>167.89</v>
      </c>
      <c r="R410" s="193">
        <v>168.73</v>
      </c>
      <c r="S410" s="510">
        <v>173.3133</v>
      </c>
      <c r="T410" s="550">
        <v>171.41</v>
      </c>
      <c r="U410" s="175"/>
      <c r="V410" s="176">
        <v>200</v>
      </c>
      <c r="W410" s="194"/>
      <c r="X410" s="209" t="s">
        <v>70</v>
      </c>
      <c r="Y410" s="177" t="s">
        <v>71</v>
      </c>
      <c r="Z410" s="178" t="s">
        <v>1147</v>
      </c>
      <c r="AA410" s="176" t="s">
        <v>59</v>
      </c>
      <c r="AB410" s="178" t="s">
        <v>65</v>
      </c>
      <c r="AC410" s="194" t="s">
        <v>92</v>
      </c>
      <c r="AD410" s="171"/>
      <c r="AE410" s="171" t="s">
        <v>1121</v>
      </c>
      <c r="AF410" s="171"/>
      <c r="AG410" s="171"/>
      <c r="AH410" s="171"/>
      <c r="AI410" s="174"/>
      <c r="AJ410" s="170"/>
      <c r="AK410" s="170"/>
      <c r="AL410" s="170"/>
      <c r="AM410" s="170"/>
      <c r="AN410" s="170"/>
      <c r="AO410" s="170"/>
      <c r="AP410" s="170"/>
      <c r="AQ410" s="170"/>
      <c r="AR410" s="170"/>
      <c r="AS410" s="170"/>
      <c r="AT410" s="545"/>
      <c r="AU410" s="170"/>
      <c r="AV410" s="170"/>
      <c r="AW410" s="170"/>
      <c r="AX410" s="170"/>
      <c r="AY410" s="170"/>
      <c r="AZ410" s="180" t="s">
        <v>59</v>
      </c>
      <c r="BA410" s="171">
        <f>(COUNTIF(AJ410:AL410,"*OK*")*3) + (COUNTIF(AM410:AO410,"*OK*")*2) + COUNTIF(AP410:AR410,"*OK*")+COUNTIF(AZ410:AZ410,"SI")*0.5</f>
        <v>0</v>
      </c>
      <c r="BB410" s="171" t="str">
        <f>IF(BA410&lt;0.6,"Demasiado Riesgo",IF(BA410&lt;=5,"Riesgo Medio",IF(BA410&lt;=11,"Riesgo Bajo","Cliente Blindado")))</f>
        <v>Demasiado Riesgo</v>
      </c>
      <c r="BC410" s="171"/>
      <c r="BD410" s="171"/>
      <c r="BE410" s="171">
        <v>0</v>
      </c>
      <c r="BF410" s="171"/>
      <c r="BG410" s="171"/>
      <c r="BH410" s="171"/>
      <c r="BI410" s="171"/>
      <c r="BJ410" s="171"/>
      <c r="BK410" s="171"/>
      <c r="BL410" s="171"/>
      <c r="BM410" s="171"/>
      <c r="BN410" s="171"/>
      <c r="BO410" s="171"/>
      <c r="BP410" s="171"/>
      <c r="BQ410" s="171"/>
      <c r="BR410" s="171"/>
      <c r="BS410" s="171"/>
      <c r="BT410" s="171"/>
      <c r="BU410" s="171"/>
      <c r="BV410" s="171"/>
      <c r="BW410" s="171"/>
      <c r="BX410" s="171"/>
      <c r="BY410" s="171"/>
      <c r="BZ410" s="171"/>
      <c r="CA410" s="171">
        <f>COUNTIF(AJ410:AX410,"*OK*")</f>
        <v>0</v>
      </c>
      <c r="CB410" s="171"/>
      <c r="CC410" s="171">
        <f>COUNTIF(AJ410:AX410,"*OP*")</f>
        <v>0</v>
      </c>
    </row>
    <row r="411" spans="1:81" ht="15" hidden="1" customHeight="1">
      <c r="A411" s="241"/>
      <c r="B411" s="160"/>
      <c r="C411" s="468">
        <f>T411</f>
        <v>187.41</v>
      </c>
      <c r="D411" s="160">
        <f>COUNTIF(AJ411:AX411,"*OK*")</f>
        <v>0</v>
      </c>
      <c r="E411" s="160" t="s">
        <v>1122</v>
      </c>
      <c r="F411" s="423" t="s">
        <v>1148</v>
      </c>
      <c r="G411" s="182" t="s">
        <v>1124</v>
      </c>
      <c r="H411" s="187"/>
      <c r="I411" s="187"/>
      <c r="J411" s="182"/>
      <c r="K411" s="196" t="s">
        <v>79</v>
      </c>
      <c r="L411" s="182" t="s">
        <v>1106</v>
      </c>
      <c r="M411" s="182"/>
      <c r="N411" s="182"/>
      <c r="O411" s="161">
        <v>187.93</v>
      </c>
      <c r="P411" s="161">
        <v>187.76</v>
      </c>
      <c r="Q411" s="161">
        <v>187.77</v>
      </c>
      <c r="R411" s="186">
        <v>184.69</v>
      </c>
      <c r="S411" s="510">
        <v>191.8</v>
      </c>
      <c r="T411" s="551">
        <v>187.41</v>
      </c>
      <c r="U411" s="164"/>
      <c r="V411" s="165">
        <v>500</v>
      </c>
      <c r="W411" s="187"/>
      <c r="X411" s="166" t="s">
        <v>253</v>
      </c>
      <c r="Y411" s="166" t="s">
        <v>108</v>
      </c>
      <c r="Z411" s="167" t="s">
        <v>1149</v>
      </c>
      <c r="AA411" s="165" t="s">
        <v>59</v>
      </c>
      <c r="AB411" s="167" t="s">
        <v>65</v>
      </c>
      <c r="AC411" s="187" t="s">
        <v>92</v>
      </c>
      <c r="AD411" s="160"/>
      <c r="AE411" s="160" t="s">
        <v>1121</v>
      </c>
      <c r="AF411" s="160"/>
      <c r="AG411" s="160"/>
      <c r="AH411" s="160"/>
      <c r="AI411" s="163"/>
      <c r="AJ411" s="170"/>
      <c r="AK411" s="170"/>
      <c r="AL411" s="170"/>
      <c r="AM411" s="170"/>
      <c r="AN411" s="170"/>
      <c r="AO411" s="170"/>
      <c r="AP411" s="170"/>
      <c r="AQ411" s="170"/>
      <c r="AR411" s="170"/>
      <c r="AS411" s="170"/>
      <c r="AT411" s="170"/>
      <c r="AU411" s="170"/>
      <c r="AV411" s="170"/>
      <c r="AW411" s="170"/>
      <c r="AX411" s="170"/>
      <c r="AY411" s="170"/>
      <c r="AZ411" s="169" t="s">
        <v>59</v>
      </c>
      <c r="BA411" s="160">
        <f>(COUNTIF(AJ411:AL411,"*OK*")*3) + (COUNTIF(AM411:AO411,"*OK*")*2) + COUNTIF(AP411:AR411,"*OK*")+COUNTIF(AZ411:AZ411,"SI")*0.5</f>
        <v>0</v>
      </c>
      <c r="BB411" s="160" t="str">
        <f>IF(BA411&lt;0.6,"Demasiado Riesgo",IF(BA411&lt;=5,"Riesgo Medio",IF(BA411&lt;=11,"Riesgo Bajo","Cliente Blindado")))</f>
        <v>Demasiado Riesgo</v>
      </c>
      <c r="BC411" s="160"/>
      <c r="BD411" s="160"/>
      <c r="BE411" s="160">
        <v>0</v>
      </c>
      <c r="BF411" s="160"/>
      <c r="BG411" s="160"/>
      <c r="BH411" s="160"/>
      <c r="BI411" s="160"/>
      <c r="BJ411" s="160"/>
      <c r="BK411" s="160"/>
      <c r="BL411" s="160"/>
      <c r="BM411" s="160"/>
      <c r="BN411" s="160"/>
      <c r="BO411" s="160"/>
      <c r="BP411" s="160"/>
      <c r="BQ411" s="160"/>
      <c r="BR411" s="160"/>
      <c r="BS411" s="160"/>
      <c r="BT411" s="160"/>
      <c r="BU411" s="160"/>
      <c r="BV411" s="160"/>
      <c r="BW411" s="160"/>
      <c r="BX411" s="160"/>
      <c r="BY411" s="160"/>
      <c r="BZ411" s="160"/>
      <c r="CA411" s="160">
        <f>COUNTIF(AJ411:AX411,"*OK*")</f>
        <v>0</v>
      </c>
      <c r="CB411" s="160"/>
      <c r="CC411" s="160">
        <f>COUNTIF(AJ411:AX411,"*OP*")</f>
        <v>0</v>
      </c>
    </row>
    <row r="412" spans="1:81" ht="15" hidden="1" customHeight="1">
      <c r="A412" s="240"/>
      <c r="B412" s="171"/>
      <c r="C412" s="468">
        <f>T412</f>
        <v>193.06</v>
      </c>
      <c r="D412" s="171">
        <f>COUNTIF(AJ412:AX412,"*OK*")</f>
        <v>0</v>
      </c>
      <c r="E412" s="171"/>
      <c r="F412" s="422" t="s">
        <v>1150</v>
      </c>
      <c r="G412" s="183"/>
      <c r="H412" s="194"/>
      <c r="I412" s="194"/>
      <c r="J412" s="183"/>
      <c r="K412" s="192" t="s">
        <v>68</v>
      </c>
      <c r="L412" s="183" t="s">
        <v>1106</v>
      </c>
      <c r="M412" s="183"/>
      <c r="N412" s="183"/>
      <c r="O412" s="172">
        <v>1101.27</v>
      </c>
      <c r="P412" s="172">
        <v>200.47</v>
      </c>
      <c r="Q412" s="172">
        <v>185.72</v>
      </c>
      <c r="R412" s="193">
        <v>188.03</v>
      </c>
      <c r="S412" s="510">
        <v>195.20269999999999</v>
      </c>
      <c r="T412" s="550">
        <v>193.06</v>
      </c>
      <c r="U412" s="175"/>
      <c r="V412" s="176">
        <v>1000</v>
      </c>
      <c r="W412" s="194"/>
      <c r="X412" s="205" t="s">
        <v>488</v>
      </c>
      <c r="Y412" s="177" t="s">
        <v>291</v>
      </c>
      <c r="Z412" s="178" t="s">
        <v>1151</v>
      </c>
      <c r="AA412" s="176" t="s">
        <v>59</v>
      </c>
      <c r="AB412" s="178" t="s">
        <v>65</v>
      </c>
      <c r="AC412" s="194" t="s">
        <v>139</v>
      </c>
      <c r="AD412" s="171"/>
      <c r="AE412" s="171" t="s">
        <v>1108</v>
      </c>
      <c r="AF412" s="171"/>
      <c r="AG412" s="171" t="s">
        <v>1152</v>
      </c>
      <c r="AH412" s="171"/>
      <c r="AI412" s="174"/>
      <c r="AJ412" s="170"/>
      <c r="AK412" s="170"/>
      <c r="AL412" s="170"/>
      <c r="AM412" s="170"/>
      <c r="AN412" s="170"/>
      <c r="AO412" s="170"/>
      <c r="AP412" s="170"/>
      <c r="AQ412" s="170"/>
      <c r="AR412" s="170"/>
      <c r="AS412" s="170"/>
      <c r="AT412" s="170"/>
      <c r="AU412" s="170"/>
      <c r="AV412" s="170"/>
      <c r="AW412" s="170"/>
      <c r="AX412" s="170"/>
      <c r="AY412" s="170"/>
      <c r="AZ412" s="180" t="s">
        <v>59</v>
      </c>
      <c r="BA412" s="171">
        <f>(COUNTIF(AJ412:AL412,"*OK*")*3) + (COUNTIF(AM412:AO412,"*OK*")*2) + COUNTIF(AP412:AR412,"*OK*")+COUNTIF(AZ412:AZ412,"SI")*0.5</f>
        <v>0</v>
      </c>
      <c r="BB412" s="171" t="str">
        <f>IF(BA412&lt;0.6,"Demasiado Riesgo",IF(BA412&lt;=5,"Riesgo Medio",IF(BA412&lt;=11,"Riesgo Bajo","Cliente Blindado")))</f>
        <v>Demasiado Riesgo</v>
      </c>
      <c r="BC412" s="171"/>
      <c r="BD412" s="171"/>
      <c r="BE412" s="171">
        <v>0</v>
      </c>
      <c r="BF412" s="171"/>
      <c r="BG412" s="171"/>
      <c r="BH412" s="171"/>
      <c r="BI412" s="171"/>
      <c r="BJ412" s="171"/>
      <c r="BK412" s="171"/>
      <c r="BL412" s="171"/>
      <c r="BM412" s="171"/>
      <c r="BN412" s="171"/>
      <c r="BO412" s="171"/>
      <c r="BP412" s="171"/>
      <c r="BQ412" s="171"/>
      <c r="BR412" s="171"/>
      <c r="BS412" s="171"/>
      <c r="BT412" s="171"/>
      <c r="BU412" s="171"/>
      <c r="BV412" s="171"/>
      <c r="BW412" s="171"/>
      <c r="BX412" s="171"/>
      <c r="BY412" s="171"/>
      <c r="BZ412" s="171"/>
      <c r="CA412" s="171">
        <f>COUNTIF(AJ412:AX412,"*OK*")</f>
        <v>0</v>
      </c>
      <c r="CB412" s="171"/>
      <c r="CC412" s="171">
        <f>COUNTIF(AJ412:AX412,"*OP*")</f>
        <v>0</v>
      </c>
    </row>
    <row r="413" spans="1:81" ht="15" hidden="1" customHeight="1">
      <c r="A413" s="240">
        <v>21105</v>
      </c>
      <c r="B413" s="171"/>
      <c r="C413" s="468">
        <f>T413</f>
        <v>194.51</v>
      </c>
      <c r="D413" s="171">
        <f>COUNTIF(AJ413:AX413,"*OK*")</f>
        <v>1</v>
      </c>
      <c r="E413" s="171"/>
      <c r="F413" s="422" t="s">
        <v>1153</v>
      </c>
      <c r="G413" s="183"/>
      <c r="H413" s="194"/>
      <c r="I413" s="194"/>
      <c r="J413" s="183"/>
      <c r="K413" s="192" t="s">
        <v>68</v>
      </c>
      <c r="L413" s="183" t="s">
        <v>1106</v>
      </c>
      <c r="M413" s="183"/>
      <c r="N413" s="183"/>
      <c r="O413" s="172">
        <v>190.19</v>
      </c>
      <c r="P413" s="172">
        <v>195.15</v>
      </c>
      <c r="Q413" s="172">
        <v>217.95</v>
      </c>
      <c r="R413" s="193">
        <v>232.02</v>
      </c>
      <c r="S413" s="510">
        <v>229.78559999999999</v>
      </c>
      <c r="T413" s="550">
        <v>194.51</v>
      </c>
      <c r="U413" s="175"/>
      <c r="V413" s="176">
        <v>300</v>
      </c>
      <c r="W413" s="194"/>
      <c r="X413" s="211" t="s">
        <v>70</v>
      </c>
      <c r="Y413" s="177" t="s">
        <v>363</v>
      </c>
      <c r="Z413" s="178" t="s">
        <v>1154</v>
      </c>
      <c r="AA413" s="176" t="s">
        <v>59</v>
      </c>
      <c r="AB413" s="178" t="s">
        <v>493</v>
      </c>
      <c r="AC413" s="194" t="s">
        <v>97</v>
      </c>
      <c r="AD413" s="171"/>
      <c r="AE413" s="171" t="s">
        <v>1108</v>
      </c>
      <c r="AF413" s="171"/>
      <c r="AG413" s="171"/>
      <c r="AH413" s="171"/>
      <c r="AI413" s="174"/>
      <c r="AJ413" s="170"/>
      <c r="AK413" s="170"/>
      <c r="AL413" s="170"/>
      <c r="AM413" s="170"/>
      <c r="AN413" s="170"/>
      <c r="AO413" s="170"/>
      <c r="AP413" s="170"/>
      <c r="AQ413" s="170"/>
      <c r="AR413" s="170"/>
      <c r="AS413" s="170"/>
      <c r="AT413" s="170"/>
      <c r="AU413" s="170"/>
      <c r="AV413" s="170"/>
      <c r="AW413" s="170"/>
      <c r="AX413" s="170" t="s">
        <v>617</v>
      </c>
      <c r="AY413" s="170"/>
      <c r="AZ413" s="180" t="s">
        <v>59</v>
      </c>
      <c r="BA413" s="171">
        <f>(COUNTIF(AJ413:AL413,"*OK*")*3) + (COUNTIF(AM413:AO413,"*OK*")*2) + COUNTIF(AP413:AR413,"*OK*")+COUNTIF(AZ413:AZ413,"SI")*0.5</f>
        <v>0</v>
      </c>
      <c r="BB413" s="171" t="str">
        <f>IF(BA413&lt;0.6,"Demasiado Riesgo",IF(BA413&lt;=5,"Riesgo Medio",IF(BA413&lt;=11,"Riesgo Bajo","Cliente Blindado")))</f>
        <v>Demasiado Riesgo</v>
      </c>
      <c r="BC413" s="171"/>
      <c r="BD413" s="171"/>
      <c r="BE413" s="171">
        <v>0</v>
      </c>
      <c r="BF413" s="171"/>
      <c r="BG413" s="171"/>
      <c r="BH413" s="171"/>
      <c r="BI413" s="171"/>
      <c r="BJ413" s="171"/>
      <c r="BK413" s="171"/>
      <c r="BL413" s="171"/>
      <c r="BM413" s="171"/>
      <c r="BN413" s="171"/>
      <c r="BO413" s="171"/>
      <c r="BP413" s="171"/>
      <c r="BQ413" s="171"/>
      <c r="BR413" s="171"/>
      <c r="BS413" s="171"/>
      <c r="BT413" s="171"/>
      <c r="BU413" s="171"/>
      <c r="BV413" s="171"/>
      <c r="BW413" s="171"/>
      <c r="BX413" s="171"/>
      <c r="BY413" s="171"/>
      <c r="BZ413" s="171"/>
      <c r="CA413" s="171">
        <f>COUNTIF(AJ413:AX413,"*OK*")</f>
        <v>1</v>
      </c>
      <c r="CB413" s="171"/>
      <c r="CC413" s="171">
        <f>COUNTIF(AJ413:AX413,"*OP*")</f>
        <v>0</v>
      </c>
    </row>
    <row r="414" spans="1:81" ht="15" hidden="1" customHeight="1">
      <c r="A414" s="241">
        <v>6055</v>
      </c>
      <c r="B414" s="160"/>
      <c r="C414" s="468">
        <f>T414</f>
        <v>213.43</v>
      </c>
      <c r="D414" s="160">
        <f>COUNTIF(AJ414:AX414,"*OK*")</f>
        <v>0</v>
      </c>
      <c r="E414" s="160"/>
      <c r="F414" s="423" t="s">
        <v>1155</v>
      </c>
      <c r="G414" s="182"/>
      <c r="H414" s="187"/>
      <c r="I414" s="187"/>
      <c r="J414" s="182"/>
      <c r="K414" s="185" t="s">
        <v>68</v>
      </c>
      <c r="L414" s="182" t="s">
        <v>1106</v>
      </c>
      <c r="M414" s="182"/>
      <c r="N414" s="182"/>
      <c r="O414" s="161">
        <v>216.67</v>
      </c>
      <c r="P414" s="161">
        <v>216.47</v>
      </c>
      <c r="Q414" s="161">
        <v>206.29</v>
      </c>
      <c r="R414" s="186">
        <v>212.93</v>
      </c>
      <c r="S414" s="510">
        <v>215.79519999999999</v>
      </c>
      <c r="T414" s="551">
        <v>213.43</v>
      </c>
      <c r="U414" s="164"/>
      <c r="V414" s="165">
        <v>300</v>
      </c>
      <c r="W414" s="187"/>
      <c r="X414" s="203" t="s">
        <v>834</v>
      </c>
      <c r="Y414" s="166" t="s">
        <v>291</v>
      </c>
      <c r="Z414" s="167" t="s">
        <v>1156</v>
      </c>
      <c r="AA414" s="165" t="s">
        <v>59</v>
      </c>
      <c r="AB414" s="167" t="s">
        <v>293</v>
      </c>
      <c r="AC414" s="187" t="s">
        <v>92</v>
      </c>
      <c r="AD414" s="160"/>
      <c r="AE414" s="160" t="s">
        <v>1108</v>
      </c>
      <c r="AF414" s="160"/>
      <c r="AG414" s="160"/>
      <c r="AH414" s="160"/>
      <c r="AI414" s="163"/>
      <c r="AJ414" s="170"/>
      <c r="AK414" s="170"/>
      <c r="AL414" s="170"/>
      <c r="AM414" s="170"/>
      <c r="AN414" s="170"/>
      <c r="AO414" s="170"/>
      <c r="AP414" s="170"/>
      <c r="AQ414" s="170"/>
      <c r="AR414" s="170"/>
      <c r="AS414" s="170"/>
      <c r="AT414" s="170"/>
      <c r="AU414" s="170"/>
      <c r="AV414" s="170"/>
      <c r="AW414" s="170"/>
      <c r="AX414" s="170"/>
      <c r="AY414" s="170"/>
      <c r="AZ414" s="169" t="s">
        <v>59</v>
      </c>
      <c r="BA414" s="160">
        <f>(COUNTIF(AJ414:AL414,"*OK*")*3) + (COUNTIF(AM414:AO414,"*OK*")*2) + COUNTIF(AP414:AR414,"*OK*")+COUNTIF(AZ414:AZ414,"SI")*0.5</f>
        <v>0</v>
      </c>
      <c r="BB414" s="160" t="str">
        <f>IF(BA414&lt;0.6,"Demasiado Riesgo",IF(BA414&lt;=5,"Riesgo Medio",IF(BA414&lt;=11,"Riesgo Bajo","Cliente Blindado")))</f>
        <v>Demasiado Riesgo</v>
      </c>
      <c r="BC414" s="160"/>
      <c r="BD414" s="160"/>
      <c r="BE414" s="160">
        <v>0</v>
      </c>
      <c r="BF414" s="160"/>
      <c r="BG414" s="160"/>
      <c r="BH414" s="160"/>
      <c r="BI414" s="160"/>
      <c r="BJ414" s="160"/>
      <c r="BK414" s="160"/>
      <c r="BL414" s="160"/>
      <c r="BM414" s="160"/>
      <c r="BN414" s="160"/>
      <c r="BO414" s="160"/>
      <c r="BP414" s="160"/>
      <c r="BQ414" s="160"/>
      <c r="BR414" s="160"/>
      <c r="BS414" s="160"/>
      <c r="BT414" s="160"/>
      <c r="BU414" s="160"/>
      <c r="BV414" s="160"/>
      <c r="BW414" s="160"/>
      <c r="BX414" s="160"/>
      <c r="BY414" s="160"/>
      <c r="BZ414" s="160"/>
      <c r="CA414" s="160">
        <f>COUNTIF(AJ414:AX414,"*OK*")</f>
        <v>0</v>
      </c>
      <c r="CB414" s="160"/>
      <c r="CC414" s="160">
        <f>COUNTIF(AJ414:AX414,"*OP*")</f>
        <v>0</v>
      </c>
    </row>
    <row r="415" spans="1:81" ht="15" hidden="1" customHeight="1">
      <c r="A415" s="241"/>
      <c r="B415" s="160"/>
      <c r="C415" s="468">
        <f>T415</f>
        <v>265.12</v>
      </c>
      <c r="D415" s="160">
        <f>COUNTIF(AJ415:AX415,"*OK*")</f>
        <v>0</v>
      </c>
      <c r="E415" s="160" t="s">
        <v>1122</v>
      </c>
      <c r="F415" s="423" t="s">
        <v>1157</v>
      </c>
      <c r="G415" s="182" t="s">
        <v>1124</v>
      </c>
      <c r="H415" s="187"/>
      <c r="I415" s="187"/>
      <c r="J415" s="182"/>
      <c r="K415" s="196" t="s">
        <v>79</v>
      </c>
      <c r="L415" s="182" t="s">
        <v>1106</v>
      </c>
      <c r="M415" s="182"/>
      <c r="N415" s="182"/>
      <c r="O415" s="161">
        <v>271.45999999999998</v>
      </c>
      <c r="P415" s="161">
        <v>271.20999999999998</v>
      </c>
      <c r="Q415" s="161">
        <v>258.45999999999998</v>
      </c>
      <c r="R415" s="186">
        <v>266.77999999999997</v>
      </c>
      <c r="S415" s="510">
        <v>272.67950000000002</v>
      </c>
      <c r="T415" s="551">
        <v>265.12</v>
      </c>
      <c r="U415" s="164"/>
      <c r="V415" s="165">
        <v>300</v>
      </c>
      <c r="W415" s="187"/>
      <c r="X415" s="166" t="s">
        <v>834</v>
      </c>
      <c r="Y415" s="166" t="s">
        <v>162</v>
      </c>
      <c r="Z415" s="167" t="s">
        <v>1158</v>
      </c>
      <c r="AA415" s="165" t="s">
        <v>59</v>
      </c>
      <c r="AB415" s="167" t="s">
        <v>240</v>
      </c>
      <c r="AC415" s="187" t="s">
        <v>92</v>
      </c>
      <c r="AD415" s="160"/>
      <c r="AE415" s="160" t="s">
        <v>1121</v>
      </c>
      <c r="AF415" s="160"/>
      <c r="AG415" s="160"/>
      <c r="AH415" s="160"/>
      <c r="AI415" s="163"/>
      <c r="AJ415" s="170"/>
      <c r="AK415" s="170"/>
      <c r="AL415" s="170"/>
      <c r="AM415" s="170"/>
      <c r="AN415" s="170"/>
      <c r="AO415" s="170"/>
      <c r="AP415" s="170"/>
      <c r="AQ415" s="170"/>
      <c r="AR415" s="170"/>
      <c r="AS415" s="170"/>
      <c r="AT415" s="170"/>
      <c r="AU415" s="170"/>
      <c r="AV415" s="170"/>
      <c r="AW415" s="170"/>
      <c r="AX415" s="170"/>
      <c r="AY415" s="170"/>
      <c r="AZ415" s="169" t="s">
        <v>59</v>
      </c>
      <c r="BA415" s="160">
        <f>(COUNTIF(AJ415:AL415,"*OK*")*3) + (COUNTIF(AM415:AO415,"*OK*")*2) + COUNTIF(AP415:AR415,"*OK*")+COUNTIF(AZ415:AZ415,"SI")*0.5</f>
        <v>0</v>
      </c>
      <c r="BB415" s="160" t="str">
        <f>IF(BA415&lt;0.6,"Demasiado Riesgo",IF(BA415&lt;=5,"Riesgo Medio",IF(BA415&lt;=11,"Riesgo Bajo","Cliente Blindado")))</f>
        <v>Demasiado Riesgo</v>
      </c>
      <c r="BC415" s="160"/>
      <c r="BD415" s="160"/>
      <c r="BE415" s="160">
        <v>0</v>
      </c>
      <c r="BF415" s="160"/>
      <c r="BG415" s="160"/>
      <c r="BH415" s="160"/>
      <c r="BI415" s="160"/>
      <c r="BJ415" s="160"/>
      <c r="BK415" s="160"/>
      <c r="BL415" s="160"/>
      <c r="BM415" s="160"/>
      <c r="BN415" s="160"/>
      <c r="BO415" s="160"/>
      <c r="BP415" s="160"/>
      <c r="BQ415" s="160"/>
      <c r="BR415" s="160"/>
      <c r="BS415" s="160"/>
      <c r="BT415" s="160"/>
      <c r="BU415" s="160"/>
      <c r="BV415" s="160"/>
      <c r="BW415" s="160"/>
      <c r="BX415" s="160"/>
      <c r="BY415" s="160"/>
      <c r="BZ415" s="160"/>
      <c r="CA415" s="160">
        <f>COUNTIF(AJ415:AX415,"*OK*")</f>
        <v>0</v>
      </c>
      <c r="CB415" s="160"/>
      <c r="CC415" s="160">
        <f>COUNTIF(AJ415:AX415,"*OP*")</f>
        <v>0</v>
      </c>
    </row>
    <row r="416" spans="1:81" ht="15" hidden="1" customHeight="1">
      <c r="A416" s="501">
        <v>20427</v>
      </c>
      <c r="B416" s="162"/>
      <c r="C416" s="468">
        <f>T416</f>
        <v>273.39999999999998</v>
      </c>
      <c r="D416" s="160">
        <f>COUNTIF(AJ416:AX416,"*OK*")</f>
        <v>0</v>
      </c>
      <c r="E416" s="160"/>
      <c r="F416" s="423" t="s">
        <v>1159</v>
      </c>
      <c r="G416" s="182" t="s">
        <v>1160</v>
      </c>
      <c r="H416" s="187"/>
      <c r="I416" s="187"/>
      <c r="J416" s="182"/>
      <c r="K416" s="185" t="s">
        <v>68</v>
      </c>
      <c r="L416" s="182" t="s">
        <v>1106</v>
      </c>
      <c r="M416" s="182" t="s">
        <v>135</v>
      </c>
      <c r="N416" s="182"/>
      <c r="O416" s="161"/>
      <c r="P416" s="161"/>
      <c r="Q416" s="161">
        <v>294.08</v>
      </c>
      <c r="R416" s="186">
        <v>302.69</v>
      </c>
      <c r="S416" s="510">
        <v>276.43459999999999</v>
      </c>
      <c r="T416" s="551">
        <v>273.39999999999998</v>
      </c>
      <c r="U416" s="164"/>
      <c r="V416" s="165">
        <v>100</v>
      </c>
      <c r="W416" s="187"/>
      <c r="X416" s="207" t="s">
        <v>70</v>
      </c>
      <c r="Y416" s="166" t="s">
        <v>243</v>
      </c>
      <c r="Z416" s="167" t="s">
        <v>1161</v>
      </c>
      <c r="AA416" s="165" t="s">
        <v>59</v>
      </c>
      <c r="AB416" s="167" t="s">
        <v>65</v>
      </c>
      <c r="AC416" s="187" t="s">
        <v>97</v>
      </c>
      <c r="AD416" s="160"/>
      <c r="AE416" s="160" t="s">
        <v>1108</v>
      </c>
      <c r="AF416" s="160"/>
      <c r="AG416" s="160"/>
      <c r="AH416" s="160" t="s">
        <v>1162</v>
      </c>
      <c r="AI416" s="163"/>
      <c r="AJ416" s="170"/>
      <c r="AK416" s="170" t="s">
        <v>1163</v>
      </c>
      <c r="AL416" s="170"/>
      <c r="AM416" s="170"/>
      <c r="AN416" s="170"/>
      <c r="AO416" s="170"/>
      <c r="AP416" s="170" t="s">
        <v>178</v>
      </c>
      <c r="AQ416" s="170"/>
      <c r="AR416" s="170"/>
      <c r="AS416" s="170"/>
      <c r="AT416" s="170"/>
      <c r="AU416" s="170"/>
      <c r="AV416" s="170"/>
      <c r="AW416" s="170"/>
      <c r="AX416" s="170"/>
      <c r="AY416" s="170"/>
      <c r="AZ416" s="169" t="s">
        <v>59</v>
      </c>
      <c r="BA416" s="160">
        <f>(COUNTIF(AJ416:AL416,"*OK*")*3) + (COUNTIF(AM416:AO416,"*OK*")*2) + COUNTIF(AP416:AR416,"*OK*")+COUNTIF(AZ416:AZ416,"SI")*0.5</f>
        <v>0</v>
      </c>
      <c r="BB416" s="160" t="str">
        <f>IF(BA416&lt;0.6,"Demasiado Riesgo",IF(BA416&lt;=5,"Riesgo Medio",IF(BA416&lt;=11,"Riesgo Bajo","Cliente Blindado")))</f>
        <v>Demasiado Riesgo</v>
      </c>
      <c r="BC416" s="160"/>
      <c r="BD416" s="160"/>
      <c r="BE416" s="160">
        <v>0</v>
      </c>
      <c r="BF416" s="160"/>
      <c r="BG416" s="160"/>
      <c r="BH416" s="160"/>
      <c r="BI416" s="160"/>
      <c r="BJ416" s="160"/>
      <c r="BK416" s="160"/>
      <c r="BL416" s="160"/>
      <c r="BM416" s="160"/>
      <c r="BN416" s="160"/>
      <c r="BO416" s="160"/>
      <c r="BP416" s="160"/>
      <c r="BQ416" s="160"/>
      <c r="BR416" s="160"/>
      <c r="BS416" s="160"/>
      <c r="BT416" s="160"/>
      <c r="BU416" s="160"/>
      <c r="BV416" s="160"/>
      <c r="BW416" s="160"/>
      <c r="BX416" s="160"/>
      <c r="BY416" s="160"/>
      <c r="BZ416" s="160"/>
      <c r="CA416" s="160">
        <f>COUNTIF(AJ416:AX416,"*OK*")</f>
        <v>0</v>
      </c>
      <c r="CB416" s="160"/>
      <c r="CC416" s="160">
        <f>COUNTIF(AJ416:AX416,"*OP*")</f>
        <v>1</v>
      </c>
    </row>
    <row r="417" spans="1:81" ht="15" hidden="1" customHeight="1">
      <c r="A417" s="240">
        <v>24373</v>
      </c>
      <c r="B417" s="171"/>
      <c r="C417" s="468">
        <f>T417</f>
        <v>276.85000000000002</v>
      </c>
      <c r="D417" s="171">
        <f>COUNTIF(AJ417:AX417,"*OK*")</f>
        <v>0</v>
      </c>
      <c r="E417" s="171"/>
      <c r="F417" s="422" t="s">
        <v>1164</v>
      </c>
      <c r="G417" s="183"/>
      <c r="H417" s="194"/>
      <c r="I417" s="194"/>
      <c r="J417" s="183"/>
      <c r="K417" s="192" t="s">
        <v>68</v>
      </c>
      <c r="L417" s="183" t="s">
        <v>1106</v>
      </c>
      <c r="M417" s="183"/>
      <c r="N417" s="183"/>
      <c r="O417" s="172">
        <v>281.05</v>
      </c>
      <c r="P417" s="172">
        <v>280.79000000000002</v>
      </c>
      <c r="Q417" s="172">
        <v>267.58999999999997</v>
      </c>
      <c r="R417" s="193">
        <v>276.2</v>
      </c>
      <c r="S417" s="510">
        <v>279.91820000000001</v>
      </c>
      <c r="T417" s="550">
        <v>276.85000000000002</v>
      </c>
      <c r="U417" s="175"/>
      <c r="V417" s="176">
        <v>100</v>
      </c>
      <c r="W417" s="194"/>
      <c r="X417" s="209" t="s">
        <v>70</v>
      </c>
      <c r="Y417" s="177" t="s">
        <v>71</v>
      </c>
      <c r="Z417" s="178" t="s">
        <v>1165</v>
      </c>
      <c r="AA417" s="176" t="s">
        <v>59</v>
      </c>
      <c r="AB417" s="178" t="s">
        <v>65</v>
      </c>
      <c r="AC417" s="194" t="s">
        <v>97</v>
      </c>
      <c r="AD417" s="171"/>
      <c r="AE417" s="171" t="s">
        <v>1121</v>
      </c>
      <c r="AF417" s="171"/>
      <c r="AG417" s="171"/>
      <c r="AH417" s="171" t="s">
        <v>1166</v>
      </c>
      <c r="AI417" s="174"/>
      <c r="AJ417" s="170"/>
      <c r="AK417" s="170"/>
      <c r="AL417" s="170"/>
      <c r="AM417" s="170"/>
      <c r="AN417" s="170"/>
      <c r="AO417" s="170"/>
      <c r="AP417" s="170"/>
      <c r="AQ417" s="170"/>
      <c r="AR417" s="170"/>
      <c r="AS417" s="170"/>
      <c r="AT417" s="170"/>
      <c r="AU417" s="170"/>
      <c r="AV417" s="170"/>
      <c r="AW417" s="170"/>
      <c r="AX417" s="170"/>
      <c r="AY417" s="170"/>
      <c r="AZ417" s="180" t="s">
        <v>59</v>
      </c>
      <c r="BA417" s="171">
        <f>(COUNTIF(AJ417:AL417,"*OK*")*3) + (COUNTIF(AM417:AO417,"*OK*")*2) + COUNTIF(AP417:AR417,"*OK*")+COUNTIF(AZ417:AZ417,"SI")*0.5</f>
        <v>0</v>
      </c>
      <c r="BB417" s="171" t="str">
        <f>IF(BA417&lt;0.6,"Demasiado Riesgo",IF(BA417&lt;=5,"Riesgo Medio",IF(BA417&lt;=11,"Riesgo Bajo","Cliente Blindado")))</f>
        <v>Demasiado Riesgo</v>
      </c>
      <c r="BC417" s="171"/>
      <c r="BD417" s="171"/>
      <c r="BE417" s="171">
        <v>0</v>
      </c>
      <c r="BF417" s="171"/>
      <c r="BG417" s="171"/>
      <c r="BH417" s="171"/>
      <c r="BI417" s="171"/>
      <c r="BJ417" s="171"/>
      <c r="BK417" s="171"/>
      <c r="BL417" s="171"/>
      <c r="BM417" s="171"/>
      <c r="BN417" s="171"/>
      <c r="BO417" s="171"/>
      <c r="BP417" s="171"/>
      <c r="BQ417" s="171"/>
      <c r="BR417" s="171"/>
      <c r="BS417" s="171"/>
      <c r="BT417" s="171"/>
      <c r="BU417" s="171"/>
      <c r="BV417" s="171"/>
      <c r="BW417" s="171"/>
      <c r="BX417" s="171"/>
      <c r="BY417" s="171"/>
      <c r="BZ417" s="171"/>
      <c r="CA417" s="171">
        <f>COUNTIF(AJ417:AX417,"*OK*")</f>
        <v>0</v>
      </c>
      <c r="CB417" s="171"/>
      <c r="CC417" s="171">
        <f>COUNTIF(AJ417:AX417,"*OP*")</f>
        <v>0</v>
      </c>
    </row>
    <row r="418" spans="1:81" ht="15" hidden="1" customHeight="1">
      <c r="A418" s="240">
        <v>23417</v>
      </c>
      <c r="B418" s="171"/>
      <c r="C418" s="468">
        <f>T418</f>
        <v>307.97000000000003</v>
      </c>
      <c r="D418" s="171">
        <f>COUNTIF(AJ418:AX418,"*OK*")</f>
        <v>0</v>
      </c>
      <c r="E418" s="171"/>
      <c r="F418" s="183" t="s">
        <v>1167</v>
      </c>
      <c r="G418" s="183" t="s">
        <v>1119</v>
      </c>
      <c r="H418" s="194"/>
      <c r="I418" s="194"/>
      <c r="J418" s="183"/>
      <c r="K418" s="198" t="s">
        <v>79</v>
      </c>
      <c r="L418" s="183" t="s">
        <v>1106</v>
      </c>
      <c r="M418" s="183"/>
      <c r="N418" s="183"/>
      <c r="O418" s="172">
        <v>306.14</v>
      </c>
      <c r="P418" s="172">
        <v>318.85000000000002</v>
      </c>
      <c r="Q418" s="172">
        <v>303.08</v>
      </c>
      <c r="R418" s="193">
        <v>340.77</v>
      </c>
      <c r="S418" s="510">
        <v>320.28280000000001</v>
      </c>
      <c r="T418" s="550">
        <v>307.97000000000003</v>
      </c>
      <c r="U418" s="175"/>
      <c r="V418" s="176">
        <v>300</v>
      </c>
      <c r="W418" s="194"/>
      <c r="X418" s="209" t="s">
        <v>70</v>
      </c>
      <c r="Y418" s="177" t="s">
        <v>71</v>
      </c>
      <c r="Z418" s="178" t="s">
        <v>1168</v>
      </c>
      <c r="AA418" s="176" t="s">
        <v>59</v>
      </c>
      <c r="AB418" s="178" t="s">
        <v>65</v>
      </c>
      <c r="AC418" s="194" t="s">
        <v>92</v>
      </c>
      <c r="AD418" s="171"/>
      <c r="AE418" s="171" t="s">
        <v>1121</v>
      </c>
      <c r="AF418" s="171"/>
      <c r="AG418" s="171"/>
      <c r="AH418" s="171"/>
      <c r="AI418" s="174" t="s">
        <v>59</v>
      </c>
      <c r="AJ418" s="170"/>
      <c r="AK418" s="170"/>
      <c r="AL418" s="170"/>
      <c r="AM418" s="170"/>
      <c r="AN418" s="170"/>
      <c r="AO418" s="170"/>
      <c r="AP418" s="170"/>
      <c r="AQ418" s="545"/>
      <c r="AR418" s="170"/>
      <c r="AS418" s="170"/>
      <c r="AT418" s="170"/>
      <c r="AU418" s="170"/>
      <c r="AV418" s="170"/>
      <c r="AW418" s="170"/>
      <c r="AX418" s="170"/>
      <c r="AY418" s="170"/>
      <c r="AZ418" s="178" t="s">
        <v>59</v>
      </c>
      <c r="BA418" s="171">
        <f>(COUNTIF(AJ418:AL418,"*OK*")*3) + (COUNTIF(AM418:AO418,"*OK*")*2) + COUNTIF(AP418:AR418,"*OK*")+COUNTIF(AZ418:AZ418,"SI")*0.5</f>
        <v>0</v>
      </c>
      <c r="BB418" s="171" t="str">
        <f>IF(BA418&lt;0.6,"Demasiado Riesgo",IF(BA418&lt;=5,"Riesgo Medio",IF(BA418&lt;=11,"Riesgo Bajo","Cliente Blindado")))</f>
        <v>Demasiado Riesgo</v>
      </c>
      <c r="BC418" s="171"/>
      <c r="BD418" s="171"/>
      <c r="BE418" s="171">
        <v>0</v>
      </c>
      <c r="BF418" s="171"/>
      <c r="BG418" s="171"/>
      <c r="BH418" s="171"/>
      <c r="BI418" s="171"/>
      <c r="BJ418" s="171"/>
      <c r="BK418" s="171"/>
      <c r="BL418" s="171"/>
      <c r="BM418" s="171"/>
      <c r="BN418" s="171"/>
      <c r="BO418" s="171"/>
      <c r="BP418" s="171"/>
      <c r="BQ418" s="171"/>
      <c r="BR418" s="171"/>
      <c r="BS418" s="171"/>
      <c r="BT418" s="171"/>
      <c r="BU418" s="171"/>
      <c r="BV418" s="171"/>
      <c r="BW418" s="171"/>
      <c r="BX418" s="171"/>
      <c r="BY418" s="171"/>
      <c r="BZ418" s="171"/>
      <c r="CA418" s="171">
        <f>COUNTIF(AJ418:AX418,"*OK*")</f>
        <v>0</v>
      </c>
      <c r="CB418" s="171"/>
      <c r="CC418" s="171">
        <f>COUNTIF(AJ418:AX418,"*OP*")</f>
        <v>0</v>
      </c>
    </row>
    <row r="419" spans="1:81" ht="15" hidden="1" customHeight="1">
      <c r="A419" s="241"/>
      <c r="B419" s="160"/>
      <c r="C419" s="468">
        <f>T419</f>
        <v>316.83</v>
      </c>
      <c r="D419" s="160">
        <f>COUNTIF(AJ419:AX419,"*OK*")</f>
        <v>2</v>
      </c>
      <c r="E419" s="160"/>
      <c r="F419" s="259" t="s">
        <v>1169</v>
      </c>
      <c r="G419" s="182"/>
      <c r="H419" s="187"/>
      <c r="I419" s="187"/>
      <c r="J419" s="182"/>
      <c r="K419" s="185" t="s">
        <v>68</v>
      </c>
      <c r="L419" s="182" t="s">
        <v>1106</v>
      </c>
      <c r="M419" s="182"/>
      <c r="N419" s="182"/>
      <c r="O419" s="161">
        <v>317.05</v>
      </c>
      <c r="P419" s="161">
        <v>316.82</v>
      </c>
      <c r="Q419" s="161">
        <v>295.35000000000002</v>
      </c>
      <c r="R419" s="186">
        <v>323.38</v>
      </c>
      <c r="S419" s="510">
        <v>321.43819999999999</v>
      </c>
      <c r="T419" s="551">
        <v>316.83</v>
      </c>
      <c r="U419" s="164"/>
      <c r="V419" s="165">
        <v>300</v>
      </c>
      <c r="W419" s="187"/>
      <c r="X419" s="203" t="s">
        <v>253</v>
      </c>
      <c r="Y419" s="166" t="s">
        <v>80</v>
      </c>
      <c r="Z419" s="167" t="s">
        <v>1170</v>
      </c>
      <c r="AA419" s="165" t="s">
        <v>59</v>
      </c>
      <c r="AB419" s="167" t="s">
        <v>65</v>
      </c>
      <c r="AC419" s="187" t="s">
        <v>92</v>
      </c>
      <c r="AD419" s="160"/>
      <c r="AE419" s="160" t="s">
        <v>1171</v>
      </c>
      <c r="AF419" s="160"/>
      <c r="AG419" s="160"/>
      <c r="AH419" s="160"/>
      <c r="AI419" s="163" t="s">
        <v>127</v>
      </c>
      <c r="AJ419" s="170"/>
      <c r="AK419" s="170"/>
      <c r="AL419" s="189" t="s">
        <v>111</v>
      </c>
      <c r="AM419" s="170"/>
      <c r="AN419" s="189" t="s">
        <v>111</v>
      </c>
      <c r="AO419" s="170"/>
      <c r="AP419" s="170"/>
      <c r="AQ419" s="170"/>
      <c r="AR419" s="170"/>
      <c r="AS419" s="170"/>
      <c r="AT419" s="170"/>
      <c r="AU419" s="170"/>
      <c r="AV419" s="170"/>
      <c r="AW419" s="170"/>
      <c r="AX419" s="170"/>
      <c r="AY419" s="170"/>
      <c r="AZ419" s="169" t="s">
        <v>178</v>
      </c>
      <c r="BA419" s="160">
        <f>(COUNTIF(AJ419:AL419,"*OK*")*3) + (COUNTIF(AM419:AO419,"*OK*")*2) + COUNTIF(AP419:AR419,"*OK*")+COUNTIF(AZ419:AZ419,"SI")*0.5</f>
        <v>5</v>
      </c>
      <c r="BB419" s="160" t="str">
        <f>IF(BA419&lt;0.6,"Demasiado Riesgo",IF(BA419&lt;=5,"Riesgo Medio",IF(BA419&lt;=11,"Riesgo Bajo","Cliente Blindado")))</f>
        <v>Riesgo Medio</v>
      </c>
      <c r="BC419" s="160"/>
      <c r="BD419" s="160"/>
      <c r="BE419" s="160">
        <v>0</v>
      </c>
      <c r="BF419" s="160"/>
      <c r="BG419" s="160"/>
      <c r="BH419" s="160"/>
      <c r="BI419" s="160"/>
      <c r="BJ419" s="160"/>
      <c r="BK419" s="160"/>
      <c r="BL419" s="160"/>
      <c r="BM419" s="160"/>
      <c r="BN419" s="160"/>
      <c r="BO419" s="160"/>
      <c r="BP419" s="160"/>
      <c r="BQ419" s="160"/>
      <c r="BR419" s="160"/>
      <c r="BS419" s="160"/>
      <c r="BT419" s="160"/>
      <c r="BU419" s="160"/>
      <c r="BV419" s="160"/>
      <c r="BW419" s="160"/>
      <c r="BX419" s="160"/>
      <c r="BY419" s="160"/>
      <c r="BZ419" s="160"/>
      <c r="CA419" s="160">
        <f>COUNTIF(AJ419:AX419,"*OK*")</f>
        <v>2</v>
      </c>
      <c r="CB419" s="160"/>
      <c r="CC419" s="160">
        <f>COUNTIF(AJ419:AX419,"*OP*")</f>
        <v>0</v>
      </c>
    </row>
    <row r="420" spans="1:81" ht="15" hidden="1" customHeight="1">
      <c r="A420" s="241"/>
      <c r="B420" s="160"/>
      <c r="C420" s="468">
        <f>T420</f>
        <v>323.39999999999998</v>
      </c>
      <c r="D420" s="160">
        <f>COUNTIF(AJ420:AX420,"*OK*")</f>
        <v>0</v>
      </c>
      <c r="E420" s="160"/>
      <c r="F420" s="182" t="s">
        <v>1172</v>
      </c>
      <c r="G420" s="182" t="s">
        <v>1173</v>
      </c>
      <c r="H420" s="187"/>
      <c r="I420" s="187"/>
      <c r="J420" s="182"/>
      <c r="K420" s="196" t="s">
        <v>79</v>
      </c>
      <c r="L420" s="182" t="s">
        <v>1106</v>
      </c>
      <c r="M420" s="182"/>
      <c r="N420" s="182"/>
      <c r="O420" s="161">
        <v>381.67</v>
      </c>
      <c r="P420" s="161">
        <v>358.72</v>
      </c>
      <c r="Q420" s="161">
        <v>333.01</v>
      </c>
      <c r="R420" s="186">
        <v>339.46</v>
      </c>
      <c r="S420" s="510">
        <v>339.9828</v>
      </c>
      <c r="T420" s="551">
        <v>323.39999999999998</v>
      </c>
      <c r="U420" s="164"/>
      <c r="V420" s="165">
        <v>200</v>
      </c>
      <c r="W420" s="187"/>
      <c r="X420" s="208" t="s">
        <v>70</v>
      </c>
      <c r="Y420" s="166" t="s">
        <v>243</v>
      </c>
      <c r="Z420" s="167" t="s">
        <v>1174</v>
      </c>
      <c r="AA420" s="165" t="s">
        <v>59</v>
      </c>
      <c r="AB420" s="167" t="s">
        <v>65</v>
      </c>
      <c r="AC420" s="187" t="s">
        <v>92</v>
      </c>
      <c r="AD420" s="160"/>
      <c r="AE420" s="160" t="s">
        <v>1121</v>
      </c>
      <c r="AF420" s="160"/>
      <c r="AG420" s="160"/>
      <c r="AH420" s="160"/>
      <c r="AI420" s="163"/>
      <c r="AJ420" s="170"/>
      <c r="AK420" s="170"/>
      <c r="AL420" s="170"/>
      <c r="AM420" s="170"/>
      <c r="AN420" s="170"/>
      <c r="AO420" s="170"/>
      <c r="AP420" s="170"/>
      <c r="AQ420" s="170"/>
      <c r="AR420" s="170"/>
      <c r="AS420" s="170"/>
      <c r="AT420" s="170"/>
      <c r="AU420" s="170"/>
      <c r="AV420" s="170"/>
      <c r="AW420" s="170"/>
      <c r="AX420" s="170"/>
      <c r="AY420" s="170"/>
      <c r="AZ420" s="169" t="s">
        <v>59</v>
      </c>
      <c r="BA420" s="160">
        <f>(COUNTIF(AJ420:AL420,"*OK*")*3) + (COUNTIF(AM420:AO420,"*OK*")*2) + COUNTIF(AP420:AR420,"*OK*")+COUNTIF(AZ420:AZ420,"SI")*0.5</f>
        <v>0</v>
      </c>
      <c r="BB420" s="160" t="str">
        <f>IF(BA420&lt;0.6,"Demasiado Riesgo",IF(BA420&lt;=5,"Riesgo Medio",IF(BA420&lt;=11,"Riesgo Bajo","Cliente Blindado")))</f>
        <v>Demasiado Riesgo</v>
      </c>
      <c r="BC420" s="160"/>
      <c r="BD420" s="160"/>
      <c r="BE420" s="160">
        <v>0</v>
      </c>
      <c r="BF420" s="160"/>
      <c r="BG420" s="160"/>
      <c r="BH420" s="160"/>
      <c r="BI420" s="160"/>
      <c r="BJ420" s="160"/>
      <c r="BK420" s="160"/>
      <c r="BL420" s="160"/>
      <c r="BM420" s="160"/>
      <c r="BN420" s="160"/>
      <c r="BO420" s="160"/>
      <c r="BP420" s="160"/>
      <c r="BQ420" s="160"/>
      <c r="BR420" s="160"/>
      <c r="BS420" s="160"/>
      <c r="BT420" s="160"/>
      <c r="BU420" s="160"/>
      <c r="BV420" s="160"/>
      <c r="BW420" s="160"/>
      <c r="BX420" s="160"/>
      <c r="BY420" s="160"/>
      <c r="BZ420" s="160"/>
      <c r="CA420" s="160">
        <f>COUNTIF(AJ420:AX420,"*OK*")</f>
        <v>0</v>
      </c>
      <c r="CB420" s="160"/>
      <c r="CC420" s="160">
        <f>COUNTIF(AJ420:AX420,"*OP*")</f>
        <v>0</v>
      </c>
    </row>
    <row r="421" spans="1:81" ht="15" hidden="1" customHeight="1">
      <c r="A421" s="240"/>
      <c r="B421" s="171"/>
      <c r="C421" s="468">
        <f>T421</f>
        <v>326.83</v>
      </c>
      <c r="D421" s="171">
        <f>COUNTIF(AJ421:AX421,"*OK*")</f>
        <v>0</v>
      </c>
      <c r="E421" s="171" t="s">
        <v>1122</v>
      </c>
      <c r="F421" s="183" t="s">
        <v>1175</v>
      </c>
      <c r="G421" s="183" t="s">
        <v>1124</v>
      </c>
      <c r="H421" s="194"/>
      <c r="I421" s="194"/>
      <c r="J421" s="183"/>
      <c r="K421" s="198" t="s">
        <v>79</v>
      </c>
      <c r="L421" s="183" t="s">
        <v>1106</v>
      </c>
      <c r="M421" s="183"/>
      <c r="N421" s="183"/>
      <c r="O421" s="172">
        <v>341.06</v>
      </c>
      <c r="P421" s="172">
        <v>333.8</v>
      </c>
      <c r="Q421" s="172">
        <v>320.31</v>
      </c>
      <c r="R421" s="193">
        <v>328.34</v>
      </c>
      <c r="S421" s="510">
        <v>330.45060000000001</v>
      </c>
      <c r="T421" s="550">
        <v>326.83</v>
      </c>
      <c r="U421" s="175"/>
      <c r="V421" s="176">
        <v>500</v>
      </c>
      <c r="W421" s="194"/>
      <c r="X421" s="209" t="s">
        <v>70</v>
      </c>
      <c r="Y421" s="177" t="s">
        <v>108</v>
      </c>
      <c r="Z421" s="178" t="s">
        <v>1176</v>
      </c>
      <c r="AA421" s="176" t="s">
        <v>59</v>
      </c>
      <c r="AB421" s="178" t="s">
        <v>65</v>
      </c>
      <c r="AC421" s="194" t="s">
        <v>92</v>
      </c>
      <c r="AD421" s="171"/>
      <c r="AE421" s="171" t="s">
        <v>1108</v>
      </c>
      <c r="AF421" s="171"/>
      <c r="AG421" s="171"/>
      <c r="AH421" s="171"/>
      <c r="AI421" s="174"/>
      <c r="AJ421" s="170"/>
      <c r="AK421" s="170"/>
      <c r="AL421" s="170"/>
      <c r="AM421" s="170"/>
      <c r="AN421" s="170"/>
      <c r="AO421" s="170"/>
      <c r="AP421" s="170"/>
      <c r="AQ421" s="170"/>
      <c r="AR421" s="170"/>
      <c r="AS421" s="170"/>
      <c r="AT421" s="170"/>
      <c r="AU421" s="170"/>
      <c r="AV421" s="170"/>
      <c r="AW421" s="170"/>
      <c r="AX421" s="170"/>
      <c r="AY421" s="170"/>
      <c r="AZ421" s="180" t="s">
        <v>59</v>
      </c>
      <c r="BA421" s="171">
        <f>(COUNTIF(AJ421:AL421,"*OK*")*3) + (COUNTIF(AM421:AO421,"*OK*")*2) + COUNTIF(AP421:AR421,"*OK*")+COUNTIF(AZ421:AZ421,"SI")*0.5</f>
        <v>0</v>
      </c>
      <c r="BB421" s="171" t="str">
        <f>IF(BA421&lt;0.6,"Demasiado Riesgo",IF(BA421&lt;=5,"Riesgo Medio",IF(BA421&lt;=11,"Riesgo Bajo","Cliente Blindado")))</f>
        <v>Demasiado Riesgo</v>
      </c>
      <c r="BC421" s="171"/>
      <c r="BD421" s="171"/>
      <c r="BE421" s="171">
        <v>0</v>
      </c>
      <c r="BF421" s="171"/>
      <c r="BG421" s="171"/>
      <c r="BH421" s="171"/>
      <c r="BI421" s="171"/>
      <c r="BJ421" s="171"/>
      <c r="BK421" s="171"/>
      <c r="BL421" s="171"/>
      <c r="BM421" s="171"/>
      <c r="BN421" s="171"/>
      <c r="BO421" s="171"/>
      <c r="BP421" s="171"/>
      <c r="BQ421" s="171"/>
      <c r="BR421" s="171"/>
      <c r="BS421" s="171"/>
      <c r="BT421" s="171"/>
      <c r="BU421" s="171"/>
      <c r="BV421" s="171"/>
      <c r="BW421" s="171"/>
      <c r="BX421" s="171"/>
      <c r="BY421" s="171"/>
      <c r="BZ421" s="171"/>
      <c r="CA421" s="171">
        <f>COUNTIF(AJ421:AX421,"*OK*")</f>
        <v>0</v>
      </c>
      <c r="CB421" s="171"/>
      <c r="CC421" s="171">
        <f>COUNTIF(AJ421:AX421,"*OP*")</f>
        <v>0</v>
      </c>
    </row>
    <row r="422" spans="1:81" ht="15" hidden="1" customHeight="1">
      <c r="A422" s="500"/>
      <c r="B422" s="173"/>
      <c r="C422" s="468">
        <f>T422</f>
        <v>349.17</v>
      </c>
      <c r="D422" s="171">
        <f>COUNTIF(AJ422:AX422,"*OK*")</f>
        <v>0</v>
      </c>
      <c r="E422" s="171"/>
      <c r="F422" s="183" t="s">
        <v>1177</v>
      </c>
      <c r="G422" s="183" t="s">
        <v>1178</v>
      </c>
      <c r="H422" s="194"/>
      <c r="I422" s="194"/>
      <c r="J422" s="183"/>
      <c r="K422" s="198" t="s">
        <v>79</v>
      </c>
      <c r="L422" s="183" t="s">
        <v>1106</v>
      </c>
      <c r="M422" s="183"/>
      <c r="N422" s="183"/>
      <c r="O422" s="172">
        <v>334.1</v>
      </c>
      <c r="P422" s="172">
        <v>320.06</v>
      </c>
      <c r="Q422" s="172">
        <v>335.5</v>
      </c>
      <c r="R422" s="193">
        <v>339.57</v>
      </c>
      <c r="S422" s="510">
        <v>366.90410000000003</v>
      </c>
      <c r="T422" s="554">
        <v>349.17</v>
      </c>
      <c r="U422" s="175"/>
      <c r="V422" s="176">
        <v>200</v>
      </c>
      <c r="W422" s="194"/>
      <c r="X422" s="205" t="s">
        <v>183</v>
      </c>
      <c r="Y422" s="177" t="s">
        <v>80</v>
      </c>
      <c r="Z422" s="178" t="s">
        <v>1179</v>
      </c>
      <c r="AA422" s="176" t="s">
        <v>59</v>
      </c>
      <c r="AB422" s="178" t="s">
        <v>65</v>
      </c>
      <c r="AC422" s="194" t="s">
        <v>92</v>
      </c>
      <c r="AD422" s="171"/>
      <c r="AE422" s="171" t="s">
        <v>1108</v>
      </c>
      <c r="AF422" s="171"/>
      <c r="AG422" s="171"/>
      <c r="AH422" s="171"/>
      <c r="AI422" s="174"/>
      <c r="AJ422" s="170"/>
      <c r="AK422" s="170"/>
      <c r="AL422" s="170"/>
      <c r="AM422" s="170"/>
      <c r="AN422" s="170"/>
      <c r="AO422" s="170"/>
      <c r="AP422" s="170"/>
      <c r="AQ422" s="170"/>
      <c r="AR422" s="170"/>
      <c r="AS422" s="170"/>
      <c r="AT422" s="170"/>
      <c r="AU422" s="170"/>
      <c r="AV422" s="170"/>
      <c r="AW422" s="170"/>
      <c r="AX422" s="170"/>
      <c r="AY422" s="170"/>
      <c r="AZ422" s="180" t="s">
        <v>59</v>
      </c>
      <c r="BA422" s="171">
        <f>(COUNTIF(AJ422:AL422,"*OK*")*3) + (COUNTIF(AM422:AO422,"*OK*")*2) + COUNTIF(AP422:AR422,"*OK*")+COUNTIF(AZ422:AZ422,"SI")*0.5</f>
        <v>0</v>
      </c>
      <c r="BB422" s="171" t="str">
        <f>IF(BA422&lt;0.6,"Demasiado Riesgo",IF(BA422&lt;=5,"Riesgo Medio",IF(BA422&lt;=11,"Riesgo Bajo","Cliente Blindado")))</f>
        <v>Demasiado Riesgo</v>
      </c>
      <c r="BC422" s="171"/>
      <c r="BD422" s="171"/>
      <c r="BE422" s="171">
        <v>0</v>
      </c>
      <c r="BF422" s="171"/>
      <c r="BG422" s="171"/>
      <c r="BH422" s="171"/>
      <c r="BI422" s="171"/>
      <c r="BJ422" s="171"/>
      <c r="BK422" s="171"/>
      <c r="BL422" s="171"/>
      <c r="BM422" s="171"/>
      <c r="BN422" s="171"/>
      <c r="BO422" s="171"/>
      <c r="BP422" s="171"/>
      <c r="BQ422" s="171"/>
      <c r="BR422" s="171"/>
      <c r="BS422" s="171"/>
      <c r="BT422" s="171"/>
      <c r="BU422" s="171"/>
      <c r="BV422" s="171"/>
      <c r="BW422" s="171"/>
      <c r="BX422" s="171"/>
      <c r="BY422" s="171"/>
      <c r="BZ422" s="171"/>
      <c r="CA422" s="171">
        <f>COUNTIF(AJ422:AX422,"*OK*")</f>
        <v>0</v>
      </c>
      <c r="CB422" s="171"/>
      <c r="CC422" s="171">
        <f>COUNTIF(AJ422:AX422,"*OP*")</f>
        <v>0</v>
      </c>
    </row>
    <row r="423" spans="1:81" ht="15" hidden="1" customHeight="1">
      <c r="A423" s="241">
        <v>22632</v>
      </c>
      <c r="B423" s="160"/>
      <c r="C423" s="468">
        <f>T423</f>
        <v>407.09</v>
      </c>
      <c r="D423" s="160">
        <f>COUNTIF(AJ423:AX423,"*OK*")</f>
        <v>0</v>
      </c>
      <c r="E423" s="160"/>
      <c r="F423" s="182" t="s">
        <v>1180</v>
      </c>
      <c r="G423" s="182"/>
      <c r="H423" s="187"/>
      <c r="I423" s="187"/>
      <c r="J423" s="182"/>
      <c r="K423" s="185" t="s">
        <v>68</v>
      </c>
      <c r="L423" s="182" t="s">
        <v>1106</v>
      </c>
      <c r="M423" s="182"/>
      <c r="N423" s="182"/>
      <c r="O423" s="161">
        <v>461.95</v>
      </c>
      <c r="P423" s="161">
        <v>452.33</v>
      </c>
      <c r="Q423" s="161">
        <v>413.52</v>
      </c>
      <c r="R423" s="186">
        <v>416.48</v>
      </c>
      <c r="S423" s="510">
        <v>424.70749999999998</v>
      </c>
      <c r="T423" s="551">
        <v>407.09</v>
      </c>
      <c r="U423" s="164"/>
      <c r="V423" s="165">
        <v>100</v>
      </c>
      <c r="W423" s="187"/>
      <c r="X423" s="208" t="s">
        <v>70</v>
      </c>
      <c r="Y423" s="166" t="s">
        <v>71</v>
      </c>
      <c r="Z423" s="167" t="s">
        <v>1181</v>
      </c>
      <c r="AA423" s="165" t="s">
        <v>59</v>
      </c>
      <c r="AB423" s="167" t="s">
        <v>172</v>
      </c>
      <c r="AC423" s="187" t="s">
        <v>84</v>
      </c>
      <c r="AD423" s="160"/>
      <c r="AE423" s="160" t="s">
        <v>1182</v>
      </c>
      <c r="AF423" s="160"/>
      <c r="AG423" s="160"/>
      <c r="AH423" s="160"/>
      <c r="AI423" s="163"/>
      <c r="AJ423" s="170"/>
      <c r="AK423" s="170"/>
      <c r="AL423" s="170"/>
      <c r="AM423" s="170"/>
      <c r="AN423" s="170"/>
      <c r="AO423" s="170"/>
      <c r="AP423" s="170"/>
      <c r="AQ423" s="170"/>
      <c r="AR423" s="170"/>
      <c r="AS423" s="170"/>
      <c r="AT423" s="170"/>
      <c r="AU423" s="170"/>
      <c r="AV423" s="170"/>
      <c r="AW423" s="170"/>
      <c r="AX423" s="170"/>
      <c r="AY423" s="170"/>
      <c r="AZ423" s="169" t="s">
        <v>59</v>
      </c>
      <c r="BA423" s="160">
        <f>(COUNTIF(AJ423:AL423,"*OK*")*3) + (COUNTIF(AM423:AO423,"*OK*")*2) + COUNTIF(AP423:AR423,"*OK*")+COUNTIF(AZ423:AZ423,"SI")*0.5</f>
        <v>0</v>
      </c>
      <c r="BB423" s="160" t="str">
        <f>IF(BA423&lt;0.6,"Demasiado Riesgo",IF(BA423&lt;=5,"Riesgo Medio",IF(BA423&lt;=11,"Riesgo Bajo","Cliente Blindado")))</f>
        <v>Demasiado Riesgo</v>
      </c>
      <c r="BC423" s="160"/>
      <c r="BD423" s="160"/>
      <c r="BE423" s="160">
        <v>0</v>
      </c>
      <c r="BF423" s="160"/>
      <c r="BG423" s="160"/>
      <c r="BH423" s="160"/>
      <c r="BI423" s="160"/>
      <c r="BJ423" s="160"/>
      <c r="BK423" s="160"/>
      <c r="BL423" s="160"/>
      <c r="BM423" s="160"/>
      <c r="BN423" s="160"/>
      <c r="BO423" s="160"/>
      <c r="BP423" s="160"/>
      <c r="BQ423" s="160"/>
      <c r="BR423" s="160"/>
      <c r="BS423" s="160"/>
      <c r="BT423" s="160"/>
      <c r="BU423" s="160"/>
      <c r="BV423" s="160"/>
      <c r="BW423" s="160"/>
      <c r="BX423" s="160"/>
      <c r="BY423" s="160"/>
      <c r="BZ423" s="160"/>
      <c r="CA423" s="160">
        <f>COUNTIF(AJ423:AX423,"*OK*")</f>
        <v>0</v>
      </c>
      <c r="CB423" s="160"/>
      <c r="CC423" s="160">
        <f>COUNTIF(AJ423:AX423,"*OP*")</f>
        <v>0</v>
      </c>
    </row>
    <row r="424" spans="1:81" ht="15" hidden="1" customHeight="1">
      <c r="A424" s="501">
        <v>32381</v>
      </c>
      <c r="B424" s="162"/>
      <c r="C424" s="468">
        <f>T424</f>
        <v>416.52</v>
      </c>
      <c r="D424" s="160">
        <f>COUNTIF(AJ424:AX424,"*OK*")</f>
        <v>0</v>
      </c>
      <c r="E424" s="160"/>
      <c r="F424" s="182" t="s">
        <v>1183</v>
      </c>
      <c r="G424" s="182" t="s">
        <v>1184</v>
      </c>
      <c r="H424" s="187"/>
      <c r="I424" s="187"/>
      <c r="J424" s="182"/>
      <c r="K424" s="196" t="s">
        <v>79</v>
      </c>
      <c r="L424" s="182" t="s">
        <v>1106</v>
      </c>
      <c r="M424" s="182"/>
      <c r="N424" s="182"/>
      <c r="O424" s="161">
        <v>388.08</v>
      </c>
      <c r="P424" s="161">
        <v>341.43</v>
      </c>
      <c r="Q424" s="161">
        <v>322.62</v>
      </c>
      <c r="R424" s="186">
        <v>367.16</v>
      </c>
      <c r="S424" s="510">
        <v>392.29329999999999</v>
      </c>
      <c r="T424" s="553">
        <v>416.52</v>
      </c>
      <c r="U424" s="164"/>
      <c r="V424" s="165">
        <v>100</v>
      </c>
      <c r="W424" s="187"/>
      <c r="X424" s="207" t="s">
        <v>70</v>
      </c>
      <c r="Y424" s="166" t="s">
        <v>71</v>
      </c>
      <c r="Z424" s="167" t="s">
        <v>1185</v>
      </c>
      <c r="AA424" s="165" t="s">
        <v>59</v>
      </c>
      <c r="AB424" s="167" t="s">
        <v>65</v>
      </c>
      <c r="AC424" s="187" t="s">
        <v>92</v>
      </c>
      <c r="AD424" s="160"/>
      <c r="AE424" s="160" t="s">
        <v>1108</v>
      </c>
      <c r="AF424" s="160"/>
      <c r="AG424" s="160"/>
      <c r="AH424" s="160"/>
      <c r="AI424" s="163"/>
      <c r="AJ424" s="170"/>
      <c r="AK424" s="170"/>
      <c r="AL424" s="170"/>
      <c r="AM424" s="170"/>
      <c r="AN424" s="170"/>
      <c r="AO424" s="170"/>
      <c r="AP424" s="170"/>
      <c r="AQ424" s="170"/>
      <c r="AR424" s="170"/>
      <c r="AS424" s="170"/>
      <c r="AT424" s="170"/>
      <c r="AU424" s="170"/>
      <c r="AV424" s="170"/>
      <c r="AW424" s="170"/>
      <c r="AX424" s="170"/>
      <c r="AY424" s="170"/>
      <c r="AZ424" s="169" t="s">
        <v>59</v>
      </c>
      <c r="BA424" s="160">
        <f>(COUNTIF(AJ424:AL424,"*OK*")*3) + (COUNTIF(AM424:AO424,"*OK*")*2) + COUNTIF(AP424:AR424,"*OK*")+COUNTIF(AZ424:AZ424,"SI")*0.5</f>
        <v>0</v>
      </c>
      <c r="BB424" s="160" t="str">
        <f>IF(BA424&lt;0.6,"Demasiado Riesgo",IF(BA424&lt;=5,"Riesgo Medio",IF(BA424&lt;=11,"Riesgo Bajo","Cliente Blindado")))</f>
        <v>Demasiado Riesgo</v>
      </c>
      <c r="BC424" s="160"/>
      <c r="BD424" s="160"/>
      <c r="BE424" s="160">
        <v>0</v>
      </c>
      <c r="BF424" s="160"/>
      <c r="BG424" s="160"/>
      <c r="BH424" s="160"/>
      <c r="BI424" s="160"/>
      <c r="BJ424" s="160"/>
      <c r="BK424" s="160"/>
      <c r="BL424" s="160"/>
      <c r="BM424" s="160"/>
      <c r="BN424" s="160"/>
      <c r="BO424" s="160"/>
      <c r="BP424" s="160"/>
      <c r="BQ424" s="160"/>
      <c r="BR424" s="160"/>
      <c r="BS424" s="160"/>
      <c r="BT424" s="160"/>
      <c r="BU424" s="160"/>
      <c r="BV424" s="160"/>
      <c r="BW424" s="160"/>
      <c r="BX424" s="160"/>
      <c r="BY424" s="160"/>
      <c r="BZ424" s="160"/>
      <c r="CA424" s="160">
        <f>COUNTIF(AJ424:AX424,"*OK*")</f>
        <v>0</v>
      </c>
      <c r="CB424" s="160"/>
      <c r="CC424" s="160">
        <f>COUNTIF(AJ424:AX424,"*OP*")</f>
        <v>0</v>
      </c>
    </row>
    <row r="425" spans="1:81" ht="15" hidden="1" customHeight="1">
      <c r="A425" s="240">
        <v>23652</v>
      </c>
      <c r="B425" s="171"/>
      <c r="C425" s="468">
        <f>T425</f>
        <v>544.78</v>
      </c>
      <c r="D425" s="171">
        <f>COUNTIF(AJ425:AX425,"*OK*")</f>
        <v>0</v>
      </c>
      <c r="E425" s="171"/>
      <c r="F425" s="183" t="s">
        <v>1186</v>
      </c>
      <c r="G425" s="183"/>
      <c r="H425" s="194"/>
      <c r="I425" s="194"/>
      <c r="J425" s="183"/>
      <c r="K425" s="198" t="s">
        <v>79</v>
      </c>
      <c r="L425" s="183" t="s">
        <v>1106</v>
      </c>
      <c r="M425" s="183"/>
      <c r="N425" s="183"/>
      <c r="O425" s="172">
        <v>1791.87</v>
      </c>
      <c r="P425" s="172">
        <v>501.19</v>
      </c>
      <c r="Q425" s="172">
        <v>517.15</v>
      </c>
      <c r="R425" s="193">
        <v>432.99</v>
      </c>
      <c r="S425" s="510">
        <v>517.87900000000002</v>
      </c>
      <c r="T425" s="554">
        <v>544.78</v>
      </c>
      <c r="U425" s="175"/>
      <c r="V425" s="176">
        <v>300</v>
      </c>
      <c r="W425" s="194"/>
      <c r="X425" s="205" t="s">
        <v>70</v>
      </c>
      <c r="Y425" s="177" t="s">
        <v>363</v>
      </c>
      <c r="Z425" s="178" t="s">
        <v>1187</v>
      </c>
      <c r="AA425" s="176" t="s">
        <v>59</v>
      </c>
      <c r="AB425" s="178" t="s">
        <v>65</v>
      </c>
      <c r="AC425" s="194" t="s">
        <v>92</v>
      </c>
      <c r="AD425" s="171"/>
      <c r="AE425" s="171" t="s">
        <v>1108</v>
      </c>
      <c r="AF425" s="171"/>
      <c r="AG425" s="171"/>
      <c r="AH425" s="171"/>
      <c r="AI425" s="174"/>
      <c r="AJ425" s="170"/>
      <c r="AK425" s="170"/>
      <c r="AL425" s="170"/>
      <c r="AM425" s="170"/>
      <c r="AN425" s="170"/>
      <c r="AO425" s="170"/>
      <c r="AP425" s="170"/>
      <c r="AQ425" s="170"/>
      <c r="AR425" s="170"/>
      <c r="AS425" s="170"/>
      <c r="AT425" s="170"/>
      <c r="AU425" s="170"/>
      <c r="AV425" s="170"/>
      <c r="AW425" s="170"/>
      <c r="AX425" s="170"/>
      <c r="AY425" s="170"/>
      <c r="AZ425" s="180" t="s">
        <v>59</v>
      </c>
      <c r="BA425" s="171">
        <f>(COUNTIF(AJ425:AL425,"*OK*")*3) + (COUNTIF(AM425:AO425,"*OK*")*2) + COUNTIF(AP425:AR425,"*OK*")+COUNTIF(AZ425:AZ425,"SI")*0.5</f>
        <v>0</v>
      </c>
      <c r="BB425" s="171" t="str">
        <f>IF(BA425&lt;0.6,"Demasiado Riesgo",IF(BA425&lt;=5,"Riesgo Medio",IF(BA425&lt;=11,"Riesgo Bajo","Cliente Blindado")))</f>
        <v>Demasiado Riesgo</v>
      </c>
      <c r="BC425" s="171"/>
      <c r="BD425" s="171"/>
      <c r="BE425" s="171">
        <v>0</v>
      </c>
      <c r="BF425" s="171"/>
      <c r="BG425" s="171"/>
      <c r="BH425" s="171"/>
      <c r="BI425" s="171"/>
      <c r="BJ425" s="171"/>
      <c r="BK425" s="171"/>
      <c r="BL425" s="171"/>
      <c r="BM425" s="171"/>
      <c r="BN425" s="171"/>
      <c r="BO425" s="171"/>
      <c r="BP425" s="171"/>
      <c r="BQ425" s="171"/>
      <c r="BR425" s="171"/>
      <c r="BS425" s="171"/>
      <c r="BT425" s="171"/>
      <c r="BU425" s="171"/>
      <c r="BV425" s="171"/>
      <c r="BW425" s="171"/>
      <c r="BX425" s="171"/>
      <c r="BY425" s="171"/>
      <c r="BZ425" s="171"/>
      <c r="CA425" s="171">
        <f>COUNTIF(AJ425:AX425,"*OK*")</f>
        <v>0</v>
      </c>
      <c r="CB425" s="171"/>
      <c r="CC425" s="171">
        <f>COUNTIF(AJ425:AX425,"*OP*")</f>
        <v>0</v>
      </c>
    </row>
    <row r="426" spans="1:81" ht="15" hidden="1" customHeight="1">
      <c r="A426" s="241"/>
      <c r="B426" s="160"/>
      <c r="C426" s="468">
        <f>T426</f>
        <v>555.78</v>
      </c>
      <c r="D426" s="160">
        <f>COUNTIF(AJ426:AX426,"*OK*")</f>
        <v>0</v>
      </c>
      <c r="E426" s="160"/>
      <c r="F426" s="182" t="s">
        <v>1188</v>
      </c>
      <c r="G426" s="182" t="s">
        <v>1178</v>
      </c>
      <c r="H426" s="187"/>
      <c r="I426" s="187"/>
      <c r="J426" s="182"/>
      <c r="K426" s="196" t="s">
        <v>79</v>
      </c>
      <c r="L426" s="182" t="s">
        <v>1106</v>
      </c>
      <c r="M426" s="182"/>
      <c r="N426" s="182"/>
      <c r="O426" s="161">
        <v>560.61</v>
      </c>
      <c r="P426" s="161">
        <v>582.99</v>
      </c>
      <c r="Q426" s="161">
        <v>546.85</v>
      </c>
      <c r="R426" s="186">
        <v>571.17999999999995</v>
      </c>
      <c r="S426" s="510">
        <v>597.12180000000001</v>
      </c>
      <c r="T426" s="553">
        <v>555.78</v>
      </c>
      <c r="U426" s="164"/>
      <c r="V426" s="165">
        <v>200</v>
      </c>
      <c r="W426" s="187"/>
      <c r="X426" s="166" t="s">
        <v>70</v>
      </c>
      <c r="Y426" s="166" t="s">
        <v>80</v>
      </c>
      <c r="Z426" s="167" t="s">
        <v>1189</v>
      </c>
      <c r="AA426" s="165" t="s">
        <v>59</v>
      </c>
      <c r="AB426" s="167" t="s">
        <v>65</v>
      </c>
      <c r="AC426" s="187" t="s">
        <v>92</v>
      </c>
      <c r="AD426" s="160"/>
      <c r="AE426" s="160" t="s">
        <v>1108</v>
      </c>
      <c r="AF426" s="160"/>
      <c r="AG426" s="160"/>
      <c r="AH426" s="160"/>
      <c r="AI426" s="163"/>
      <c r="AJ426" s="170"/>
      <c r="AK426" s="170"/>
      <c r="AL426" s="170"/>
      <c r="AM426" s="170"/>
      <c r="AN426" s="170"/>
      <c r="AO426" s="170"/>
      <c r="AP426" s="170"/>
      <c r="AQ426" s="170"/>
      <c r="AR426" s="170"/>
      <c r="AS426" s="170"/>
      <c r="AT426" s="170"/>
      <c r="AU426" s="170"/>
      <c r="AV426" s="170"/>
      <c r="AW426" s="170"/>
      <c r="AX426" s="170"/>
      <c r="AY426" s="170"/>
      <c r="AZ426" s="169" t="s">
        <v>59</v>
      </c>
      <c r="BA426" s="160">
        <f>(COUNTIF(AJ426:AL426,"*OK*")*3) + (COUNTIF(AM426:AO426,"*OK*")*2) + COUNTIF(AP426:AR426,"*OK*")+COUNTIF(AZ426:AZ426,"SI")*0.5</f>
        <v>0</v>
      </c>
      <c r="BB426" s="160" t="str">
        <f>IF(BA426&lt;0.6,"Demasiado Riesgo",IF(BA426&lt;=5,"Riesgo Medio",IF(BA426&lt;=11,"Riesgo Bajo","Cliente Blindado")))</f>
        <v>Demasiado Riesgo</v>
      </c>
      <c r="BC426" s="160"/>
      <c r="BD426" s="160"/>
      <c r="BE426" s="160">
        <v>0</v>
      </c>
      <c r="BF426" s="160"/>
      <c r="BG426" s="160"/>
      <c r="BH426" s="160"/>
      <c r="BI426" s="160"/>
      <c r="BJ426" s="160"/>
      <c r="BK426" s="160"/>
      <c r="BL426" s="160"/>
      <c r="BM426" s="160"/>
      <c r="BN426" s="160"/>
      <c r="BO426" s="160"/>
      <c r="BP426" s="160"/>
      <c r="BQ426" s="160"/>
      <c r="BR426" s="160"/>
      <c r="BS426" s="160"/>
      <c r="BT426" s="160"/>
      <c r="BU426" s="160"/>
      <c r="BV426" s="160"/>
      <c r="BW426" s="160"/>
      <c r="BX426" s="160"/>
      <c r="BY426" s="160"/>
      <c r="BZ426" s="160"/>
      <c r="CA426" s="160">
        <f>COUNTIF(AJ426:AX426,"*OK*")</f>
        <v>0</v>
      </c>
      <c r="CB426" s="160"/>
      <c r="CC426" s="160">
        <f>COUNTIF(AJ426:AX426,"*OP*")</f>
        <v>0</v>
      </c>
    </row>
    <row r="427" spans="1:81" ht="15" hidden="1" customHeight="1">
      <c r="A427" s="240"/>
      <c r="B427" s="171"/>
      <c r="C427" s="468">
        <f>T427</f>
        <v>578.46</v>
      </c>
      <c r="D427" s="171">
        <f>COUNTIF(AJ427:AX427,"*OK*")</f>
        <v>1</v>
      </c>
      <c r="E427" s="171"/>
      <c r="F427" s="183" t="s">
        <v>1190</v>
      </c>
      <c r="G427" s="183"/>
      <c r="H427" s="194"/>
      <c r="I427" s="194"/>
      <c r="J427" s="183"/>
      <c r="K427" s="198" t="s">
        <v>79</v>
      </c>
      <c r="L427" s="183" t="s">
        <v>1106</v>
      </c>
      <c r="M427" s="183"/>
      <c r="N427" s="183"/>
      <c r="O427" s="172">
        <v>627.09</v>
      </c>
      <c r="P427" s="172">
        <v>584.22</v>
      </c>
      <c r="Q427" s="172">
        <v>569.35</v>
      </c>
      <c r="R427" s="193">
        <v>594.17999999999995</v>
      </c>
      <c r="S427" s="510">
        <v>562.22979999999995</v>
      </c>
      <c r="T427" s="550">
        <v>578.46</v>
      </c>
      <c r="U427" s="175"/>
      <c r="V427" s="176">
        <v>150</v>
      </c>
      <c r="W427" s="194"/>
      <c r="X427" s="205" t="s">
        <v>70</v>
      </c>
      <c r="Y427" s="177" t="s">
        <v>71</v>
      </c>
      <c r="Z427" s="178" t="s">
        <v>1191</v>
      </c>
      <c r="AA427" s="176" t="s">
        <v>59</v>
      </c>
      <c r="AB427" s="178" t="s">
        <v>65</v>
      </c>
      <c r="AC427" s="194" t="s">
        <v>97</v>
      </c>
      <c r="AD427" s="171"/>
      <c r="AE427" s="171" t="s">
        <v>1121</v>
      </c>
      <c r="AF427" s="171"/>
      <c r="AG427" s="171"/>
      <c r="AH427" s="171"/>
      <c r="AI427" s="174"/>
      <c r="AJ427" s="170"/>
      <c r="AK427" s="170"/>
      <c r="AL427" s="170"/>
      <c r="AM427" s="170" t="s">
        <v>418</v>
      </c>
      <c r="AN427" s="170"/>
      <c r="AO427" s="170"/>
      <c r="AP427" s="170"/>
      <c r="AQ427" s="170"/>
      <c r="AR427" s="170"/>
      <c r="AS427" s="170"/>
      <c r="AT427" s="170"/>
      <c r="AU427" s="170"/>
      <c r="AV427" s="170"/>
      <c r="AW427" s="170"/>
      <c r="AX427" s="170"/>
      <c r="AY427" s="170"/>
      <c r="AZ427" s="180" t="s">
        <v>59</v>
      </c>
      <c r="BA427" s="171">
        <f>(COUNTIF(AJ427:AL427,"*OK*")*3) + (COUNTIF(AM427:AO427,"*OK*")*2) + COUNTIF(AP427:AR427,"*OK*")+COUNTIF(AZ427:AZ427,"SI")*0.5</f>
        <v>2</v>
      </c>
      <c r="BB427" s="171" t="str">
        <f>IF(BA427&lt;0.6,"Demasiado Riesgo",IF(BA427&lt;=5,"Riesgo Medio",IF(BA427&lt;=11,"Riesgo Bajo","Cliente Blindado")))</f>
        <v>Riesgo Medio</v>
      </c>
      <c r="BC427" s="171"/>
      <c r="BD427" s="171"/>
      <c r="BE427" s="171">
        <v>0</v>
      </c>
      <c r="BF427" s="171"/>
      <c r="BG427" s="171"/>
      <c r="BH427" s="171"/>
      <c r="BI427" s="171"/>
      <c r="BJ427" s="171"/>
      <c r="BK427" s="171"/>
      <c r="BL427" s="171"/>
      <c r="BM427" s="171"/>
      <c r="BN427" s="171"/>
      <c r="BO427" s="171"/>
      <c r="BP427" s="171"/>
      <c r="BQ427" s="171"/>
      <c r="BR427" s="171"/>
      <c r="BS427" s="171"/>
      <c r="BT427" s="171"/>
      <c r="BU427" s="171"/>
      <c r="BV427" s="171"/>
      <c r="BW427" s="171"/>
      <c r="BX427" s="171"/>
      <c r="BY427" s="171"/>
      <c r="BZ427" s="171"/>
      <c r="CA427" s="171">
        <f>COUNTIF(AJ427:AX427,"*OK*")</f>
        <v>1</v>
      </c>
      <c r="CB427" s="171"/>
      <c r="CC427" s="171">
        <f>COUNTIF(AJ427:AX427,"*OP*")</f>
        <v>0</v>
      </c>
    </row>
    <row r="428" spans="1:81" ht="15" hidden="1" customHeight="1">
      <c r="A428" s="240">
        <v>35128</v>
      </c>
      <c r="B428" s="171"/>
      <c r="C428" s="468">
        <f>T428</f>
        <v>679.94</v>
      </c>
      <c r="D428" s="171">
        <f>COUNTIF(AJ428:AX428,"*OK*")</f>
        <v>0</v>
      </c>
      <c r="E428" s="171"/>
      <c r="F428" s="350" t="s">
        <v>1192</v>
      </c>
      <c r="G428" s="183"/>
      <c r="H428" s="351" t="s">
        <v>1193</v>
      </c>
      <c r="I428" s="351"/>
      <c r="J428" s="183"/>
      <c r="K428" s="192" t="s">
        <v>79</v>
      </c>
      <c r="L428" s="183" t="s">
        <v>1106</v>
      </c>
      <c r="M428" s="183"/>
      <c r="N428" s="183"/>
      <c r="O428" s="172">
        <v>684.45</v>
      </c>
      <c r="P428" s="172">
        <v>707</v>
      </c>
      <c r="Q428" s="172">
        <v>680.66</v>
      </c>
      <c r="R428" s="193">
        <v>684.05</v>
      </c>
      <c r="S428" s="510">
        <v>691.80859999999996</v>
      </c>
      <c r="T428" s="550">
        <v>679.94</v>
      </c>
      <c r="U428" s="175"/>
      <c r="V428" s="176">
        <v>200</v>
      </c>
      <c r="W428" s="194"/>
      <c r="X428" s="205" t="s">
        <v>70</v>
      </c>
      <c r="Y428" s="177" t="s">
        <v>71</v>
      </c>
      <c r="Z428" s="178" t="s">
        <v>1194</v>
      </c>
      <c r="AA428" s="176" t="s">
        <v>59</v>
      </c>
      <c r="AB428" s="178" t="s">
        <v>65</v>
      </c>
      <c r="AC428" s="179" t="s">
        <v>84</v>
      </c>
      <c r="AD428" s="171"/>
      <c r="AE428" s="171" t="s">
        <v>1182</v>
      </c>
      <c r="AF428" s="171"/>
      <c r="AG428" s="171"/>
      <c r="AH428" s="171"/>
      <c r="AI428" s="174" t="s">
        <v>59</v>
      </c>
      <c r="AJ428" s="170"/>
      <c r="AK428" s="170"/>
      <c r="AL428" s="170" t="s">
        <v>1195</v>
      </c>
      <c r="AM428" s="170"/>
      <c r="AN428" s="170"/>
      <c r="AO428" s="170"/>
      <c r="AP428" s="170"/>
      <c r="AQ428" s="170"/>
      <c r="AR428" s="170"/>
      <c r="AS428" s="170"/>
      <c r="AT428" s="170"/>
      <c r="AU428" s="170"/>
      <c r="AV428" s="170"/>
      <c r="AW428" s="170"/>
      <c r="AX428" s="170"/>
      <c r="AY428" s="170"/>
      <c r="AZ428" s="180" t="s">
        <v>59</v>
      </c>
      <c r="BA428" s="171">
        <f>(COUNTIF(AJ428:AL428,"*OK*")*3) + (COUNTIF(AM428:AO428,"*OK*")*2) + COUNTIF(AP428:AR428,"*OK*")+COUNTIF(AZ428:AZ428,"SI")*0.5</f>
        <v>0</v>
      </c>
      <c r="BB428" s="171" t="str">
        <f>IF(BA428&lt;0.6,"Demasiado Riesgo",IF(BA428&lt;=5,"Riesgo Medio",IF(BA428&lt;=11,"Riesgo Bajo","Cliente Blindado")))</f>
        <v>Demasiado Riesgo</v>
      </c>
      <c r="BC428" s="171"/>
      <c r="BD428" s="171"/>
      <c r="BE428" s="171">
        <v>0</v>
      </c>
      <c r="BF428" s="171"/>
      <c r="BG428" s="171"/>
      <c r="BH428" s="171"/>
      <c r="BI428" s="171"/>
      <c r="BJ428" s="171"/>
      <c r="BK428" s="171"/>
      <c r="BL428" s="171"/>
      <c r="BM428" s="171"/>
      <c r="BN428" s="171"/>
      <c r="BO428" s="171"/>
      <c r="BP428" s="171"/>
      <c r="BQ428" s="171"/>
      <c r="BR428" s="171"/>
      <c r="BS428" s="171"/>
      <c r="BT428" s="171"/>
      <c r="BU428" s="171"/>
      <c r="BV428" s="171"/>
      <c r="BW428" s="171"/>
      <c r="BX428" s="171"/>
      <c r="BY428" s="171"/>
      <c r="BZ428" s="171"/>
      <c r="CA428" s="171">
        <f>COUNTIF(AJ428:AX428,"*OK*")</f>
        <v>0</v>
      </c>
      <c r="CB428" s="171"/>
      <c r="CC428" s="171">
        <f>COUNTIF(AJ428:AX428,"*OP*")</f>
        <v>1</v>
      </c>
    </row>
    <row r="429" spans="1:81" ht="15" hidden="1" customHeight="1">
      <c r="A429" s="241"/>
      <c r="B429" s="160"/>
      <c r="C429" s="468">
        <f>T429</f>
        <v>699.36</v>
      </c>
      <c r="D429" s="160">
        <f>COUNTIF(AJ429:AX429,"*OK*")</f>
        <v>0</v>
      </c>
      <c r="E429" s="160" t="s">
        <v>1122</v>
      </c>
      <c r="F429" s="182" t="s">
        <v>1196</v>
      </c>
      <c r="G429" s="182" t="s">
        <v>1124</v>
      </c>
      <c r="H429" s="187"/>
      <c r="I429" s="187"/>
      <c r="J429" s="182"/>
      <c r="K429" s="196" t="s">
        <v>79</v>
      </c>
      <c r="L429" s="182" t="s">
        <v>1106</v>
      </c>
      <c r="M429" s="182"/>
      <c r="N429" s="182"/>
      <c r="O429" s="161">
        <v>670.53</v>
      </c>
      <c r="P429" s="161">
        <v>658.32</v>
      </c>
      <c r="Q429" s="161">
        <v>636.21</v>
      </c>
      <c r="R429" s="186">
        <v>658.97</v>
      </c>
      <c r="S429" s="510">
        <v>677.077</v>
      </c>
      <c r="T429" s="553">
        <v>699.36</v>
      </c>
      <c r="U429" s="164"/>
      <c r="V429" s="165">
        <v>200</v>
      </c>
      <c r="W429" s="187"/>
      <c r="X429" s="166" t="s">
        <v>253</v>
      </c>
      <c r="Y429" s="166" t="s">
        <v>108</v>
      </c>
      <c r="Z429" s="167" t="s">
        <v>1197</v>
      </c>
      <c r="AA429" s="165" t="s">
        <v>59</v>
      </c>
      <c r="AB429" s="167" t="s">
        <v>65</v>
      </c>
      <c r="AC429" s="187" t="s">
        <v>92</v>
      </c>
      <c r="AD429" s="160"/>
      <c r="AE429" s="160" t="s">
        <v>1121</v>
      </c>
      <c r="AF429" s="160"/>
      <c r="AG429" s="160"/>
      <c r="AH429" s="160"/>
      <c r="AI429" s="163" t="s">
        <v>59</v>
      </c>
      <c r="AJ429" s="170"/>
      <c r="AK429" s="170"/>
      <c r="AL429" s="170"/>
      <c r="AM429" s="170"/>
      <c r="AN429" s="170"/>
      <c r="AO429" s="170"/>
      <c r="AP429" s="170"/>
      <c r="AQ429" s="170"/>
      <c r="AR429" s="170"/>
      <c r="AS429" s="170"/>
      <c r="AT429" s="170"/>
      <c r="AU429" s="170"/>
      <c r="AV429" s="170"/>
      <c r="AW429" s="170"/>
      <c r="AX429" s="170"/>
      <c r="AY429" s="170"/>
      <c r="AZ429" s="169" t="s">
        <v>59</v>
      </c>
      <c r="BA429" s="160">
        <f>(COUNTIF(AJ429:AL429,"*OK*")*3) + (COUNTIF(AM429:AO429,"*OK*")*2) + COUNTIF(AP429:AR429,"*OK*")+COUNTIF(AZ429:AZ429,"SI")*0.5</f>
        <v>0</v>
      </c>
      <c r="BB429" s="160" t="str">
        <f>IF(BA429&lt;0.6,"Demasiado Riesgo",IF(BA429&lt;=5,"Riesgo Medio",IF(BA429&lt;=11,"Riesgo Bajo","Cliente Blindado")))</f>
        <v>Demasiado Riesgo</v>
      </c>
      <c r="BC429" s="160"/>
      <c r="BD429" s="160"/>
      <c r="BE429" s="160">
        <v>0</v>
      </c>
      <c r="BF429" s="160"/>
      <c r="BG429" s="160"/>
      <c r="BH429" s="160"/>
      <c r="BI429" s="160"/>
      <c r="BJ429" s="160"/>
      <c r="BK429" s="160"/>
      <c r="BL429" s="160"/>
      <c r="BM429" s="160"/>
      <c r="BN429" s="160"/>
      <c r="BO429" s="160"/>
      <c r="BP429" s="160"/>
      <c r="BQ429" s="160"/>
      <c r="BR429" s="160"/>
      <c r="BS429" s="160"/>
      <c r="BT429" s="160"/>
      <c r="BU429" s="160"/>
      <c r="BV429" s="160"/>
      <c r="BW429" s="160"/>
      <c r="BX429" s="160"/>
      <c r="BY429" s="160"/>
      <c r="BZ429" s="160"/>
      <c r="CA429" s="160">
        <f>COUNTIF(AJ429:AX429,"*OK*")</f>
        <v>0</v>
      </c>
      <c r="CB429" s="160"/>
      <c r="CC429" s="160">
        <f>COUNTIF(AJ429:AX429,"*OP*")</f>
        <v>0</v>
      </c>
    </row>
    <row r="430" spans="1:81" ht="15" hidden="1" customHeight="1">
      <c r="A430" s="241"/>
      <c r="B430" s="160"/>
      <c r="C430" s="468">
        <f>T430</f>
        <v>710.34</v>
      </c>
      <c r="D430" s="160">
        <f>COUNTIF(AJ430:AX430,"*OK*")</f>
        <v>1</v>
      </c>
      <c r="E430" s="160"/>
      <c r="F430" s="182" t="s">
        <v>1198</v>
      </c>
      <c r="G430" s="182" t="s">
        <v>1199</v>
      </c>
      <c r="H430" s="187"/>
      <c r="I430" s="575"/>
      <c r="J430" s="570"/>
      <c r="K430" s="196" t="s">
        <v>79</v>
      </c>
      <c r="L430" s="182" t="s">
        <v>1106</v>
      </c>
      <c r="M430" s="182"/>
      <c r="N430" s="182"/>
      <c r="O430" s="161">
        <v>606.61</v>
      </c>
      <c r="P430" s="161">
        <v>606.04999999999995</v>
      </c>
      <c r="Q430" s="161">
        <v>668.02</v>
      </c>
      <c r="R430" s="186">
        <v>667.97</v>
      </c>
      <c r="S430" s="510">
        <v>674.53510000000006</v>
      </c>
      <c r="T430" s="553">
        <v>710.34</v>
      </c>
      <c r="U430" s="164"/>
      <c r="V430" s="165">
        <v>200</v>
      </c>
      <c r="W430" s="187"/>
      <c r="X430" s="203" t="s">
        <v>70</v>
      </c>
      <c r="Y430" s="166" t="s">
        <v>89</v>
      </c>
      <c r="Z430" s="167" t="s">
        <v>1200</v>
      </c>
      <c r="AA430" s="165" t="s">
        <v>59</v>
      </c>
      <c r="AB430" s="167" t="s">
        <v>177</v>
      </c>
      <c r="AC430" s="187" t="s">
        <v>97</v>
      </c>
      <c r="AD430" s="160"/>
      <c r="AE430" s="160" t="s">
        <v>1121</v>
      </c>
      <c r="AF430" s="160"/>
      <c r="AG430" s="160"/>
      <c r="AH430" s="160"/>
      <c r="AI430" s="163" t="s">
        <v>127</v>
      </c>
      <c r="AJ430" s="170"/>
      <c r="AK430" s="170"/>
      <c r="AL430" s="170"/>
      <c r="AM430" s="170"/>
      <c r="AN430" s="170"/>
      <c r="AO430" s="189" t="s">
        <v>111</v>
      </c>
      <c r="AP430" s="170"/>
      <c r="AQ430" s="170"/>
      <c r="AR430" s="170"/>
      <c r="AS430" s="170"/>
      <c r="AT430" s="170"/>
      <c r="AU430" s="170"/>
      <c r="AV430" s="170"/>
      <c r="AW430" s="170"/>
      <c r="AX430" s="170"/>
      <c r="AY430" s="170"/>
      <c r="AZ430" s="169" t="s">
        <v>178</v>
      </c>
      <c r="BA430" s="160">
        <f>(COUNTIF(AJ430:AL430,"*OK*")*3) + (COUNTIF(AM430:AO430,"*OK*")*2) + COUNTIF(AP430:AR430,"*OK*")+COUNTIF(AZ430:AZ430,"SI")*0.5</f>
        <v>2</v>
      </c>
      <c r="BB430" s="160" t="str">
        <f>IF(BA430&lt;0.6,"Demasiado Riesgo",IF(BA430&lt;=5,"Riesgo Medio",IF(BA430&lt;=11,"Riesgo Bajo","Cliente Blindado")))</f>
        <v>Riesgo Medio</v>
      </c>
      <c r="BC430" s="160"/>
      <c r="BD430" s="160"/>
      <c r="BE430" s="160">
        <v>0</v>
      </c>
      <c r="BF430" s="160"/>
      <c r="BG430" s="160"/>
      <c r="BH430" s="160"/>
      <c r="BI430" s="160"/>
      <c r="BJ430" s="160"/>
      <c r="BK430" s="160"/>
      <c r="BL430" s="160"/>
      <c r="BM430" s="160"/>
      <c r="BN430" s="160"/>
      <c r="BO430" s="160"/>
      <c r="BP430" s="160"/>
      <c r="BQ430" s="160"/>
      <c r="BR430" s="160"/>
      <c r="BS430" s="160"/>
      <c r="BT430" s="160"/>
      <c r="BU430" s="160"/>
      <c r="BV430" s="160"/>
      <c r="BW430" s="160"/>
      <c r="BX430" s="160"/>
      <c r="BY430" s="160"/>
      <c r="BZ430" s="160"/>
      <c r="CA430" s="160">
        <f>COUNTIF(AJ430:AX430,"*OK*")</f>
        <v>1</v>
      </c>
      <c r="CB430" s="160"/>
      <c r="CC430" s="160">
        <f>COUNTIF(AJ430:AX430,"*OP*")</f>
        <v>0</v>
      </c>
    </row>
    <row r="431" spans="1:81" ht="15" hidden="1" customHeight="1">
      <c r="A431" s="241"/>
      <c r="B431" s="160"/>
      <c r="C431" s="468">
        <f>T431</f>
        <v>714.56</v>
      </c>
      <c r="D431" s="160">
        <f>COUNTIF(AJ431:AX431,"*OK*")</f>
        <v>0</v>
      </c>
      <c r="E431" s="160"/>
      <c r="F431" s="182" t="s">
        <v>1201</v>
      </c>
      <c r="G431" s="255"/>
      <c r="H431" s="187"/>
      <c r="I431" s="575"/>
      <c r="J431" s="570"/>
      <c r="K431" s="581" t="s">
        <v>79</v>
      </c>
      <c r="L431" s="255" t="s">
        <v>1106</v>
      </c>
      <c r="M431" s="255" t="s">
        <v>135</v>
      </c>
      <c r="N431" s="255"/>
      <c r="O431" s="256">
        <v>820.45</v>
      </c>
      <c r="P431" s="256">
        <v>788.45</v>
      </c>
      <c r="Q431" s="256">
        <v>664.32</v>
      </c>
      <c r="R431" s="257">
        <v>669.17</v>
      </c>
      <c r="S431" s="461">
        <v>650.61789999999996</v>
      </c>
      <c r="T431" s="594">
        <v>714.56</v>
      </c>
      <c r="U431" s="164"/>
      <c r="V431" s="165">
        <v>3000</v>
      </c>
      <c r="W431" s="187"/>
      <c r="X431" s="203" t="s">
        <v>70</v>
      </c>
      <c r="Y431" s="166" t="s">
        <v>363</v>
      </c>
      <c r="Z431" s="167" t="s">
        <v>1202</v>
      </c>
      <c r="AA431" s="165" t="s">
        <v>59</v>
      </c>
      <c r="AB431" s="167" t="s">
        <v>65</v>
      </c>
      <c r="AC431" s="187" t="s">
        <v>97</v>
      </c>
      <c r="AD431" s="160"/>
      <c r="AE431" s="160" t="s">
        <v>1115</v>
      </c>
      <c r="AF431" s="160"/>
      <c r="AG431" s="160"/>
      <c r="AH431" s="160"/>
      <c r="AI431" s="163" t="s">
        <v>59</v>
      </c>
      <c r="AJ431" s="170"/>
      <c r="AK431" s="170"/>
      <c r="AL431" s="170"/>
      <c r="AM431" s="170"/>
      <c r="AN431" s="170"/>
      <c r="AO431" s="170"/>
      <c r="AP431" s="170"/>
      <c r="AQ431" s="170"/>
      <c r="AR431" s="170"/>
      <c r="AS431" s="170"/>
      <c r="AT431" s="170"/>
      <c r="AU431" s="170"/>
      <c r="AV431" s="170"/>
      <c r="AW431" s="170"/>
      <c r="AX431" s="170"/>
      <c r="AY431" s="170"/>
      <c r="AZ431" s="169" t="s">
        <v>59</v>
      </c>
      <c r="BA431" s="160">
        <f>(COUNTIF(AJ431:AL431,"*OK*")*3) + (COUNTIF(AM431:AO431,"*OK*")*2) + COUNTIF(AP431:AR431,"*OK*")+COUNTIF(AZ431:AZ431,"SI")*0.5</f>
        <v>0</v>
      </c>
      <c r="BB431" s="160" t="str">
        <f>IF(BA431&lt;0.6,"Demasiado Riesgo",IF(BA431&lt;=5,"Riesgo Medio",IF(BA431&lt;=11,"Riesgo Bajo","Cliente Blindado")))</f>
        <v>Demasiado Riesgo</v>
      </c>
      <c r="BC431" s="160"/>
      <c r="BD431" s="160"/>
      <c r="BE431" s="160">
        <v>0</v>
      </c>
      <c r="BF431" s="160"/>
      <c r="BG431" s="160"/>
      <c r="BH431" s="160"/>
      <c r="BI431" s="160"/>
      <c r="BJ431" s="160"/>
      <c r="BK431" s="160"/>
      <c r="BL431" s="160"/>
      <c r="BM431" s="160"/>
      <c r="BN431" s="160"/>
      <c r="BO431" s="160"/>
      <c r="BP431" s="160"/>
      <c r="BQ431" s="160"/>
      <c r="BR431" s="160"/>
      <c r="BS431" s="160"/>
      <c r="BT431" s="160"/>
      <c r="BU431" s="160"/>
      <c r="BV431" s="160"/>
      <c r="BW431" s="160"/>
      <c r="BX431" s="160"/>
      <c r="BY431" s="160"/>
      <c r="BZ431" s="160"/>
      <c r="CA431" s="160">
        <f>COUNTIF(AJ431:AX431,"*OK*")</f>
        <v>0</v>
      </c>
      <c r="CB431" s="160"/>
      <c r="CC431" s="160">
        <f>COUNTIF(AJ431:AX431,"*OP*")</f>
        <v>0</v>
      </c>
    </row>
    <row r="432" spans="1:81" s="204" customFormat="1" ht="15" hidden="1" customHeight="1">
      <c r="A432" s="500">
        <v>20416</v>
      </c>
      <c r="B432" s="173"/>
      <c r="C432" s="468">
        <f>T432</f>
        <v>721.78</v>
      </c>
      <c r="D432" s="171">
        <f>COUNTIF(AJ432:AX432,"*OK*")</f>
        <v>3</v>
      </c>
      <c r="E432" s="568"/>
      <c r="F432" s="259" t="s">
        <v>1203</v>
      </c>
      <c r="G432" s="569" t="s">
        <v>1184</v>
      </c>
      <c r="H432" s="194"/>
      <c r="I432" s="576"/>
      <c r="J432" s="569"/>
      <c r="K432" s="579" t="s">
        <v>79</v>
      </c>
      <c r="L432" s="569" t="s">
        <v>1106</v>
      </c>
      <c r="M432" s="569"/>
      <c r="N432" s="569"/>
      <c r="O432" s="534">
        <v>651.63</v>
      </c>
      <c r="P432" s="534">
        <v>668.4</v>
      </c>
      <c r="Q432" s="534">
        <v>628.70000000000005</v>
      </c>
      <c r="R432" s="252">
        <v>663.17</v>
      </c>
      <c r="S432" s="510">
        <v>700.93589999999995</v>
      </c>
      <c r="T432" s="554">
        <v>721.78</v>
      </c>
      <c r="U432" s="254"/>
      <c r="V432" s="176">
        <v>100</v>
      </c>
      <c r="W432" s="194"/>
      <c r="X432" s="211" t="s">
        <v>70</v>
      </c>
      <c r="Y432" s="177" t="s">
        <v>152</v>
      </c>
      <c r="Z432" s="178" t="s">
        <v>1204</v>
      </c>
      <c r="AA432" s="176" t="s">
        <v>59</v>
      </c>
      <c r="AB432" s="178" t="s">
        <v>65</v>
      </c>
      <c r="AC432" s="194" t="s">
        <v>92</v>
      </c>
      <c r="AD432" s="171"/>
      <c r="AE432" s="171" t="s">
        <v>1108</v>
      </c>
      <c r="AF432" s="171"/>
      <c r="AG432" s="171"/>
      <c r="AH432" s="171"/>
      <c r="AI432" s="174" t="s">
        <v>127</v>
      </c>
      <c r="AJ432" s="170"/>
      <c r="AK432" s="170"/>
      <c r="AL432" s="189" t="s">
        <v>111</v>
      </c>
      <c r="AM432" s="170"/>
      <c r="AN432" s="170"/>
      <c r="AO432" s="170"/>
      <c r="AP432" s="189" t="s">
        <v>111</v>
      </c>
      <c r="AQ432" s="189" t="s">
        <v>111</v>
      </c>
      <c r="AR432" s="170"/>
      <c r="AS432" s="170"/>
      <c r="AT432" s="170"/>
      <c r="AU432" s="170"/>
      <c r="AV432" s="170"/>
      <c r="AW432" s="170"/>
      <c r="AX432" s="170"/>
      <c r="AY432" s="170"/>
      <c r="AZ432" s="180" t="s">
        <v>178</v>
      </c>
      <c r="BA432" s="171">
        <f>(COUNTIF(AJ432:AL432,"*OK*")*3) + (COUNTIF(AM432:AO432,"*OK*")*2) + COUNTIF(AP432:AR432,"*OK*")+COUNTIF(AZ432:AZ432,"SI")*0.5</f>
        <v>5</v>
      </c>
      <c r="BB432" s="171" t="str">
        <f>IF(BA432&lt;0.6,"Demasiado Riesgo",IF(BA432&lt;=5,"Riesgo Medio",IF(BA432&lt;=11,"Riesgo Bajo","Cliente Blindado")))</f>
        <v>Riesgo Medio</v>
      </c>
      <c r="BC432" s="171"/>
      <c r="BD432" s="171"/>
      <c r="BE432" s="171">
        <v>0</v>
      </c>
      <c r="BF432" s="171"/>
      <c r="BG432" s="171"/>
      <c r="BH432" s="171"/>
      <c r="BI432" s="171"/>
      <c r="BJ432" s="171"/>
      <c r="BK432" s="171"/>
      <c r="BL432" s="171"/>
      <c r="BM432" s="171"/>
      <c r="BN432" s="171"/>
      <c r="BO432" s="171"/>
      <c r="BP432" s="171"/>
      <c r="BQ432" s="171"/>
      <c r="BR432" s="171"/>
      <c r="BS432" s="171"/>
      <c r="BT432" s="171"/>
      <c r="BU432" s="171"/>
      <c r="BV432" s="171"/>
      <c r="BW432" s="171"/>
      <c r="BX432" s="171"/>
      <c r="BY432" s="171"/>
      <c r="BZ432" s="171"/>
      <c r="CA432" s="171">
        <f>COUNTIF(AJ432:AX432,"*OK*")</f>
        <v>3</v>
      </c>
      <c r="CB432" s="171"/>
      <c r="CC432" s="171">
        <f>COUNTIF(AJ432:AX432,"*OP*")</f>
        <v>0</v>
      </c>
    </row>
    <row r="433" spans="1:81" ht="15" hidden="1" customHeight="1">
      <c r="A433" s="241">
        <v>38149</v>
      </c>
      <c r="B433" s="160"/>
      <c r="C433" s="468">
        <f>T433</f>
        <v>735.35</v>
      </c>
      <c r="D433" s="160">
        <f>COUNTIF(AJ433:AX433,"*OK*")</f>
        <v>1</v>
      </c>
      <c r="E433" s="541"/>
      <c r="F433" s="182" t="s">
        <v>1205</v>
      </c>
      <c r="G433" s="570" t="s">
        <v>1206</v>
      </c>
      <c r="H433" s="187"/>
      <c r="I433" s="575"/>
      <c r="J433" s="570"/>
      <c r="K433" s="580" t="s">
        <v>79</v>
      </c>
      <c r="L433" s="570" t="s">
        <v>1106</v>
      </c>
      <c r="M433" s="570"/>
      <c r="N433" s="570"/>
      <c r="O433" s="250">
        <v>744.41</v>
      </c>
      <c r="P433" s="250">
        <v>720.75</v>
      </c>
      <c r="Q433" s="250">
        <v>700.8</v>
      </c>
      <c r="R433" s="251">
        <v>725.41</v>
      </c>
      <c r="S433" s="510">
        <v>760.1662</v>
      </c>
      <c r="T433" s="551">
        <v>735.35</v>
      </c>
      <c r="U433" s="253"/>
      <c r="V433" s="165">
        <v>2000</v>
      </c>
      <c r="W433" s="187"/>
      <c r="X433" s="166" t="s">
        <v>70</v>
      </c>
      <c r="Y433" s="166" t="s">
        <v>95</v>
      </c>
      <c r="Z433" s="167" t="s">
        <v>1207</v>
      </c>
      <c r="AA433" s="165" t="s">
        <v>59</v>
      </c>
      <c r="AB433" s="167" t="s">
        <v>267</v>
      </c>
      <c r="AC433" s="187" t="s">
        <v>97</v>
      </c>
      <c r="AD433" s="160"/>
      <c r="AE433" s="160" t="s">
        <v>1108</v>
      </c>
      <c r="AF433" s="160"/>
      <c r="AG433" s="160"/>
      <c r="AH433" s="160"/>
      <c r="AI433" s="163" t="s">
        <v>127</v>
      </c>
      <c r="AJ433" s="170"/>
      <c r="AK433" s="170"/>
      <c r="AL433" s="170"/>
      <c r="AM433" s="170" t="s">
        <v>1208</v>
      </c>
      <c r="AN433" s="189" t="s">
        <v>1209</v>
      </c>
      <c r="AO433" s="170"/>
      <c r="AP433" s="170"/>
      <c r="AQ433" s="170"/>
      <c r="AR433" s="170"/>
      <c r="AS433" s="170"/>
      <c r="AT433" s="170"/>
      <c r="AU433" s="170"/>
      <c r="AV433" s="170"/>
      <c r="AW433" s="170"/>
      <c r="AX433" s="170"/>
      <c r="AY433" s="170"/>
      <c r="AZ433" s="169" t="s">
        <v>178</v>
      </c>
      <c r="BA433" s="160">
        <f>(COUNTIF(AJ433:AL433,"*OK*")*3) + (COUNTIF(AM433:AO433,"*OK*")*2) + COUNTIF(AP433:AR433,"*OK*")+COUNTIF(AZ433:AZ433,"SI")*0.5</f>
        <v>2</v>
      </c>
      <c r="BB433" s="160" t="str">
        <f>IF(BA433&lt;0.6,"Demasiado Riesgo",IF(BA433&lt;=5,"Riesgo Medio",IF(BA433&lt;=11,"Riesgo Bajo","Cliente Blindado")))</f>
        <v>Riesgo Medio</v>
      </c>
      <c r="BC433" s="160"/>
      <c r="BD433" s="160"/>
      <c r="BE433" s="160">
        <v>0</v>
      </c>
      <c r="BF433" s="160"/>
      <c r="BG433" s="160"/>
      <c r="BH433" s="160"/>
      <c r="BI433" s="160"/>
      <c r="BJ433" s="160"/>
      <c r="BK433" s="160"/>
      <c r="BL433" s="160"/>
      <c r="BM433" s="160"/>
      <c r="BN433" s="160"/>
      <c r="BO433" s="160"/>
      <c r="BP433" s="160"/>
      <c r="BQ433" s="160"/>
      <c r="BR433" s="160"/>
      <c r="BS433" s="160"/>
      <c r="BT433" s="160"/>
      <c r="BU433" s="160"/>
      <c r="BV433" s="160"/>
      <c r="BW433" s="160"/>
      <c r="BX433" s="160"/>
      <c r="BY433" s="160"/>
      <c r="BZ433" s="160"/>
      <c r="CA433" s="160">
        <f>COUNTIF(AJ433:AX433,"*OK*")</f>
        <v>1</v>
      </c>
      <c r="CB433" s="160"/>
      <c r="CC433" s="160">
        <f>COUNTIF(AJ433:AX433,"*OP*")</f>
        <v>1</v>
      </c>
    </row>
    <row r="434" spans="1:81" ht="15" hidden="1" customHeight="1">
      <c r="A434" s="240">
        <v>26664</v>
      </c>
      <c r="B434" s="171"/>
      <c r="C434" s="468">
        <f>T434</f>
        <v>776.79</v>
      </c>
      <c r="D434" s="171">
        <f>COUNTIF(AJ434:AX434,"*OK*")</f>
        <v>1</v>
      </c>
      <c r="E434" s="568"/>
      <c r="F434" s="183" t="s">
        <v>1173</v>
      </c>
      <c r="G434" s="569"/>
      <c r="H434" s="194"/>
      <c r="I434" s="576"/>
      <c r="J434" s="569"/>
      <c r="K434" s="579" t="s">
        <v>79</v>
      </c>
      <c r="L434" s="569" t="s">
        <v>1106</v>
      </c>
      <c r="M434" s="569"/>
      <c r="N434" s="569"/>
      <c r="O434" s="534">
        <v>769.71</v>
      </c>
      <c r="P434" s="534">
        <v>767.85</v>
      </c>
      <c r="Q434" s="534">
        <v>730.09</v>
      </c>
      <c r="R434" s="252">
        <v>766.13</v>
      </c>
      <c r="S434" s="510">
        <v>785.39779999999996</v>
      </c>
      <c r="T434" s="550">
        <v>776.79</v>
      </c>
      <c r="U434" s="254"/>
      <c r="V434" s="176">
        <v>400</v>
      </c>
      <c r="W434" s="194"/>
      <c r="X434" s="177" t="s">
        <v>70</v>
      </c>
      <c r="Y434" s="177" t="s">
        <v>243</v>
      </c>
      <c r="Z434" s="178" t="s">
        <v>1210</v>
      </c>
      <c r="AA434" s="176" t="s">
        <v>243</v>
      </c>
      <c r="AB434" s="178" t="s">
        <v>505</v>
      </c>
      <c r="AC434" s="194" t="s">
        <v>92</v>
      </c>
      <c r="AD434" s="171"/>
      <c r="AE434" s="171" t="s">
        <v>1121</v>
      </c>
      <c r="AF434" s="171"/>
      <c r="AG434" s="171"/>
      <c r="AH434" s="171"/>
      <c r="AI434" s="174" t="s">
        <v>127</v>
      </c>
      <c r="AJ434" s="170"/>
      <c r="AK434" s="170"/>
      <c r="AL434" s="170"/>
      <c r="AM434" s="170"/>
      <c r="AN434" s="170"/>
      <c r="AO434" s="170"/>
      <c r="AP434" s="189" t="s">
        <v>111</v>
      </c>
      <c r="AQ434" s="170"/>
      <c r="AR434" s="170"/>
      <c r="AS434" s="170"/>
      <c r="AT434" s="170"/>
      <c r="AU434" s="170"/>
      <c r="AV434" s="170"/>
      <c r="AW434" s="170"/>
      <c r="AX434" s="170"/>
      <c r="AY434" s="170"/>
      <c r="AZ434" s="180" t="s">
        <v>178</v>
      </c>
      <c r="BA434" s="171">
        <f>(COUNTIF(AJ434:AL434,"*OK*")*3) + (COUNTIF(AM434:AO434,"*OK*")*2) + COUNTIF(AP434:AR434,"*OK*")+COUNTIF(AZ434:AZ434,"SI")*0.5</f>
        <v>1</v>
      </c>
      <c r="BB434" s="171" t="str">
        <f>IF(BA434&lt;0.6,"Demasiado Riesgo",IF(BA434&lt;=5,"Riesgo Medio",IF(BA434&lt;=11,"Riesgo Bajo","Cliente Blindado")))</f>
        <v>Riesgo Medio</v>
      </c>
      <c r="BC434" s="171"/>
      <c r="BD434" s="171"/>
      <c r="BE434" s="171">
        <v>0</v>
      </c>
      <c r="BF434" s="171"/>
      <c r="BG434" s="171"/>
      <c r="BH434" s="171"/>
      <c r="BI434" s="171"/>
      <c r="BJ434" s="171"/>
      <c r="BK434" s="171"/>
      <c r="BL434" s="171"/>
      <c r="BM434" s="171"/>
      <c r="BN434" s="171"/>
      <c r="BO434" s="171"/>
      <c r="BP434" s="171"/>
      <c r="BQ434" s="171"/>
      <c r="BR434" s="171"/>
      <c r="BS434" s="171"/>
      <c r="BT434" s="171"/>
      <c r="BU434" s="171"/>
      <c r="BV434" s="171"/>
      <c r="BW434" s="171"/>
      <c r="BX434" s="171"/>
      <c r="BY434" s="171"/>
      <c r="BZ434" s="171"/>
      <c r="CA434" s="171">
        <f>COUNTIF(AJ434:AX434,"*OK*")</f>
        <v>1</v>
      </c>
      <c r="CB434" s="171"/>
      <c r="CC434" s="171">
        <f>COUNTIF(AJ434:AX434,"*OP*")</f>
        <v>0</v>
      </c>
    </row>
    <row r="435" spans="1:81" ht="15" hidden="1" customHeight="1">
      <c r="A435" s="240"/>
      <c r="B435" s="171"/>
      <c r="C435" s="468">
        <f>T435</f>
        <v>791.32</v>
      </c>
      <c r="D435" s="171">
        <f>COUNTIF(AJ435:AX435,"*OK*")</f>
        <v>0</v>
      </c>
      <c r="E435" s="171"/>
      <c r="F435" s="354" t="s">
        <v>1211</v>
      </c>
      <c r="G435" s="569" t="s">
        <v>1178</v>
      </c>
      <c r="H435" s="194"/>
      <c r="I435" s="576"/>
      <c r="J435" s="569"/>
      <c r="K435" s="579" t="s">
        <v>79</v>
      </c>
      <c r="L435" s="569" t="s">
        <v>1106</v>
      </c>
      <c r="M435" s="569"/>
      <c r="N435" s="569"/>
      <c r="O435" s="534">
        <v>823.77</v>
      </c>
      <c r="P435" s="534">
        <v>834.43</v>
      </c>
      <c r="Q435" s="534">
        <v>803.93</v>
      </c>
      <c r="R435" s="252">
        <v>847.82</v>
      </c>
      <c r="S435" s="510">
        <v>872.86320000000001</v>
      </c>
      <c r="T435" s="550">
        <v>791.32</v>
      </c>
      <c r="U435" s="254"/>
      <c r="V435" s="176">
        <v>300</v>
      </c>
      <c r="W435" s="194"/>
      <c r="X435" s="211" t="s">
        <v>70</v>
      </c>
      <c r="Y435" s="177" t="s">
        <v>80</v>
      </c>
      <c r="Z435" s="178" t="s">
        <v>1212</v>
      </c>
      <c r="AA435" s="176" t="s">
        <v>59</v>
      </c>
      <c r="AB435" s="178" t="s">
        <v>65</v>
      </c>
      <c r="AC435" s="194" t="s">
        <v>92</v>
      </c>
      <c r="AD435" s="171"/>
      <c r="AE435" s="171" t="s">
        <v>1108</v>
      </c>
      <c r="AF435" s="171"/>
      <c r="AG435" s="171"/>
      <c r="AH435" s="171"/>
      <c r="AI435" s="174" t="s">
        <v>59</v>
      </c>
      <c r="AJ435" s="170"/>
      <c r="AK435" s="170"/>
      <c r="AL435" s="170"/>
      <c r="AM435" s="170"/>
      <c r="AN435" s="170"/>
      <c r="AO435" s="170"/>
      <c r="AP435" s="170"/>
      <c r="AQ435" s="170"/>
      <c r="AR435" s="170"/>
      <c r="AS435" s="170"/>
      <c r="AT435" s="170"/>
      <c r="AU435" s="170"/>
      <c r="AV435" s="170"/>
      <c r="AW435" s="170"/>
      <c r="AX435" s="170"/>
      <c r="AY435" s="170"/>
      <c r="AZ435" s="180" t="s">
        <v>59</v>
      </c>
      <c r="BA435" s="171">
        <f>(COUNTIF(AJ435:AL435,"*OK*")*3) + (COUNTIF(AM435:AO435,"*OK*")*2) + COUNTIF(AP435:AR435,"*OK*")+COUNTIF(AZ435:AZ435,"SI")*0.5</f>
        <v>0</v>
      </c>
      <c r="BB435" s="171" t="str">
        <f>IF(BA435&lt;0.6,"Demasiado Riesgo",IF(BA435&lt;=5,"Riesgo Medio",IF(BA435&lt;=11,"Riesgo Bajo","Cliente Blindado")))</f>
        <v>Demasiado Riesgo</v>
      </c>
      <c r="BC435" s="171"/>
      <c r="BD435" s="171"/>
      <c r="BE435" s="171">
        <v>0</v>
      </c>
      <c r="BF435" s="171"/>
      <c r="BG435" s="171"/>
      <c r="BH435" s="171"/>
      <c r="BI435" s="171"/>
      <c r="BJ435" s="171"/>
      <c r="BK435" s="171"/>
      <c r="BL435" s="171"/>
      <c r="BM435" s="171"/>
      <c r="BN435" s="171"/>
      <c r="BO435" s="171"/>
      <c r="BP435" s="171"/>
      <c r="BQ435" s="171"/>
      <c r="BR435" s="171"/>
      <c r="BS435" s="171"/>
      <c r="BT435" s="171"/>
      <c r="BU435" s="171"/>
      <c r="BV435" s="171"/>
      <c r="BW435" s="171"/>
      <c r="BX435" s="171"/>
      <c r="BY435" s="171"/>
      <c r="BZ435" s="171"/>
      <c r="CA435" s="171">
        <f>COUNTIF(AJ435:AX435,"*OK*")</f>
        <v>0</v>
      </c>
      <c r="CB435" s="171"/>
      <c r="CC435" s="171">
        <f>COUNTIF(AJ435:AX435,"*OP*")</f>
        <v>0</v>
      </c>
    </row>
    <row r="436" spans="1:81" ht="15" hidden="1" customHeight="1">
      <c r="A436" s="500">
        <v>23468</v>
      </c>
      <c r="B436" s="173"/>
      <c r="C436" s="468">
        <f>T436</f>
        <v>800.18</v>
      </c>
      <c r="D436" s="171">
        <f>COUNTIF(AJ436:AX436,"*OK*")</f>
        <v>1</v>
      </c>
      <c r="E436" s="568"/>
      <c r="F436" s="183" t="s">
        <v>1213</v>
      </c>
      <c r="G436" s="569"/>
      <c r="H436" s="194"/>
      <c r="I436" s="576"/>
      <c r="J436" s="569"/>
      <c r="K436" s="579" t="s">
        <v>79</v>
      </c>
      <c r="L436" s="569" t="s">
        <v>1106</v>
      </c>
      <c r="M436" s="569"/>
      <c r="N436" s="569"/>
      <c r="O436" s="534">
        <v>609.77</v>
      </c>
      <c r="P436" s="534">
        <v>576.03</v>
      </c>
      <c r="Q436" s="534">
        <v>729.48</v>
      </c>
      <c r="R436" s="252">
        <v>389.14</v>
      </c>
      <c r="S436" s="510">
        <v>791.95479999999998</v>
      </c>
      <c r="T436" s="554">
        <v>800.18</v>
      </c>
      <c r="U436" s="254"/>
      <c r="V436" s="176">
        <v>200</v>
      </c>
      <c r="W436" s="194"/>
      <c r="X436" s="177" t="s">
        <v>100</v>
      </c>
      <c r="Y436" s="177" t="s">
        <v>152</v>
      </c>
      <c r="Z436" s="178" t="s">
        <v>1214</v>
      </c>
      <c r="AA436" s="176" t="s">
        <v>59</v>
      </c>
      <c r="AB436" s="178" t="s">
        <v>65</v>
      </c>
      <c r="AC436" s="194" t="s">
        <v>92</v>
      </c>
      <c r="AD436" s="171"/>
      <c r="AE436" s="171" t="s">
        <v>1108</v>
      </c>
      <c r="AF436" s="171"/>
      <c r="AG436" s="171"/>
      <c r="AH436" s="171"/>
      <c r="AI436" s="174"/>
      <c r="AJ436" s="170"/>
      <c r="AK436" s="170"/>
      <c r="AL436" s="170"/>
      <c r="AM436" s="189" t="s">
        <v>111</v>
      </c>
      <c r="AN436" s="170"/>
      <c r="AO436" s="170"/>
      <c r="AP436" s="170"/>
      <c r="AQ436" s="170"/>
      <c r="AR436" s="170"/>
      <c r="AS436" s="170"/>
      <c r="AT436" s="170"/>
      <c r="AU436" s="170"/>
      <c r="AV436" s="170"/>
      <c r="AW436" s="170"/>
      <c r="AX436" s="170"/>
      <c r="AY436" s="170"/>
      <c r="AZ436" s="180" t="s">
        <v>59</v>
      </c>
      <c r="BA436" s="171">
        <f>(COUNTIF(AJ436:AL436,"*OK*")*3) + (COUNTIF(AM436:AO436,"*OK*")*2) + COUNTIF(AP436:AR436,"*OK*")+COUNTIF(AZ436:AZ436,"SI")*0.5</f>
        <v>2</v>
      </c>
      <c r="BB436" s="171" t="str">
        <f>IF(BA436&lt;0.6,"Demasiado Riesgo",IF(BA436&lt;=5,"Riesgo Medio",IF(BA436&lt;=11,"Riesgo Bajo","Cliente Blindado")))</f>
        <v>Riesgo Medio</v>
      </c>
      <c r="BC436" s="171"/>
      <c r="BD436" s="171"/>
      <c r="BE436" s="171">
        <v>0</v>
      </c>
      <c r="BF436" s="171"/>
      <c r="BG436" s="171"/>
      <c r="BH436" s="171"/>
      <c r="BI436" s="171"/>
      <c r="BJ436" s="171"/>
      <c r="BK436" s="171"/>
      <c r="BL436" s="171"/>
      <c r="BM436" s="171"/>
      <c r="BN436" s="171"/>
      <c r="BO436" s="171"/>
      <c r="BP436" s="171"/>
      <c r="BQ436" s="171"/>
      <c r="BR436" s="171"/>
      <c r="BS436" s="171"/>
      <c r="BT436" s="171"/>
      <c r="BU436" s="171"/>
      <c r="BV436" s="171"/>
      <c r="BW436" s="171"/>
      <c r="BX436" s="171"/>
      <c r="BY436" s="171"/>
      <c r="BZ436" s="171"/>
      <c r="CA436" s="171">
        <f>COUNTIF(AJ436:AX436,"*OK*")</f>
        <v>1</v>
      </c>
      <c r="CB436" s="171"/>
      <c r="CC436" s="171">
        <f>COUNTIF(AJ436:AX436,"*OP*")</f>
        <v>0</v>
      </c>
    </row>
    <row r="437" spans="1:81" ht="15" hidden="1" customHeight="1">
      <c r="A437" s="240">
        <v>18764</v>
      </c>
      <c r="B437" s="171"/>
      <c r="C437" s="468">
        <f>T437</f>
        <v>820.73</v>
      </c>
      <c r="D437" s="171">
        <f>COUNTIF(AJ437:AX437,"*OK*")</f>
        <v>0</v>
      </c>
      <c r="E437" s="568"/>
      <c r="F437" s="183" t="s">
        <v>1215</v>
      </c>
      <c r="G437" s="569" t="s">
        <v>1110</v>
      </c>
      <c r="H437" s="194"/>
      <c r="I437" s="576"/>
      <c r="J437" s="569"/>
      <c r="K437" s="579" t="s">
        <v>79</v>
      </c>
      <c r="L437" s="569" t="s">
        <v>1106</v>
      </c>
      <c r="M437" s="569"/>
      <c r="N437" s="569"/>
      <c r="O437" s="534">
        <v>467.51</v>
      </c>
      <c r="P437" s="534">
        <v>467.08</v>
      </c>
      <c r="Q437" s="534">
        <v>445.12</v>
      </c>
      <c r="R437" s="252">
        <v>459.45</v>
      </c>
      <c r="S437" s="510">
        <v>854.26089999999999</v>
      </c>
      <c r="T437" s="550">
        <v>820.73</v>
      </c>
      <c r="U437" s="254"/>
      <c r="V437" s="176">
        <v>200</v>
      </c>
      <c r="W437" s="194"/>
      <c r="X437" s="211" t="s">
        <v>70</v>
      </c>
      <c r="Y437" s="177" t="s">
        <v>243</v>
      </c>
      <c r="Z437" s="178" t="s">
        <v>1216</v>
      </c>
      <c r="AA437" s="176" t="s">
        <v>243</v>
      </c>
      <c r="AB437" s="178" t="s">
        <v>505</v>
      </c>
      <c r="AC437" s="194" t="s">
        <v>92</v>
      </c>
      <c r="AD437" s="171"/>
      <c r="AE437" s="171" t="s">
        <v>1108</v>
      </c>
      <c r="AF437" s="171"/>
      <c r="AG437" s="171"/>
      <c r="AH437" s="171"/>
      <c r="AI437" s="174"/>
      <c r="AJ437" s="170"/>
      <c r="AK437" s="170"/>
      <c r="AL437" s="170"/>
      <c r="AM437" s="170"/>
      <c r="AN437" s="170"/>
      <c r="AO437" s="170"/>
      <c r="AP437" s="170"/>
      <c r="AQ437" s="170"/>
      <c r="AR437" s="170"/>
      <c r="AS437" s="170"/>
      <c r="AT437" s="170"/>
      <c r="AU437" s="170"/>
      <c r="AV437" s="170"/>
      <c r="AW437" s="170"/>
      <c r="AX437" s="170"/>
      <c r="AY437" s="170"/>
      <c r="AZ437" s="180" t="s">
        <v>59</v>
      </c>
      <c r="BA437" s="171">
        <f>(COUNTIF(AJ437:AL437,"*OK*")*3) + (COUNTIF(AM437:AO437,"*OK*")*2) + COUNTIF(AP437:AR437,"*OK*")+COUNTIF(AZ437:AZ437,"SI")*0.5</f>
        <v>0</v>
      </c>
      <c r="BB437" s="171" t="str">
        <f>IF(BA437&lt;0.6,"Demasiado Riesgo",IF(BA437&lt;=5,"Riesgo Medio",IF(BA437&lt;=11,"Riesgo Bajo","Cliente Blindado")))</f>
        <v>Demasiado Riesgo</v>
      </c>
      <c r="BC437" s="171"/>
      <c r="BD437" s="171"/>
      <c r="BE437" s="171">
        <v>0</v>
      </c>
      <c r="BF437" s="171"/>
      <c r="BG437" s="171"/>
      <c r="BH437" s="171"/>
      <c r="BI437" s="171"/>
      <c r="BJ437" s="171"/>
      <c r="BK437" s="171"/>
      <c r="BL437" s="171"/>
      <c r="BM437" s="171"/>
      <c r="BN437" s="171"/>
      <c r="BO437" s="171"/>
      <c r="BP437" s="171"/>
      <c r="BQ437" s="171"/>
      <c r="BR437" s="171"/>
      <c r="BS437" s="171"/>
      <c r="BT437" s="171"/>
      <c r="BU437" s="171"/>
      <c r="BV437" s="171"/>
      <c r="BW437" s="171"/>
      <c r="BX437" s="171"/>
      <c r="BY437" s="171"/>
      <c r="BZ437" s="171"/>
      <c r="CA437" s="171">
        <f>COUNTIF(AJ437:AX437,"*OK*")</f>
        <v>0</v>
      </c>
      <c r="CB437" s="171"/>
      <c r="CC437" s="171">
        <f>COUNTIF(AJ437:AX437,"*OP*")</f>
        <v>0</v>
      </c>
    </row>
    <row r="438" spans="1:81" ht="15" hidden="1" customHeight="1">
      <c r="A438" s="240">
        <v>24336</v>
      </c>
      <c r="B438" s="171"/>
      <c r="C438" s="468">
        <f>T438</f>
        <v>847.98</v>
      </c>
      <c r="D438" s="171">
        <f>COUNTIF(AJ438:AX438,"*OK*")</f>
        <v>1</v>
      </c>
      <c r="E438" s="568"/>
      <c r="F438" s="197" t="s">
        <v>1217</v>
      </c>
      <c r="G438" s="569"/>
      <c r="H438" s="194" t="s">
        <v>1218</v>
      </c>
      <c r="I438" s="576"/>
      <c r="J438" s="569"/>
      <c r="K438" s="579" t="s">
        <v>79</v>
      </c>
      <c r="L438" s="569" t="s">
        <v>1106</v>
      </c>
      <c r="M438" s="569"/>
      <c r="N438" s="569"/>
      <c r="O438" s="534">
        <v>1027.48</v>
      </c>
      <c r="P438" s="534">
        <v>832.46</v>
      </c>
      <c r="Q438" s="534">
        <v>819.61</v>
      </c>
      <c r="R438" s="252">
        <v>832.43</v>
      </c>
      <c r="S438" s="510">
        <v>848.54160000000002</v>
      </c>
      <c r="T438" s="550">
        <v>847.98</v>
      </c>
      <c r="U438" s="254"/>
      <c r="V438" s="176">
        <v>1200</v>
      </c>
      <c r="W438" s="194"/>
      <c r="X438" s="177" t="s">
        <v>70</v>
      </c>
      <c r="Y438" s="177" t="s">
        <v>152</v>
      </c>
      <c r="Z438" s="178" t="s">
        <v>1219</v>
      </c>
      <c r="AA438" s="176" t="s">
        <v>59</v>
      </c>
      <c r="AB438" s="178" t="s">
        <v>65</v>
      </c>
      <c r="AC438" s="194" t="s">
        <v>97</v>
      </c>
      <c r="AD438" s="171"/>
      <c r="AE438" s="171" t="s">
        <v>1121</v>
      </c>
      <c r="AF438" s="171"/>
      <c r="AG438" s="171"/>
      <c r="AH438" s="171"/>
      <c r="AI438" s="174" t="s">
        <v>127</v>
      </c>
      <c r="AJ438" s="170"/>
      <c r="AK438" s="170"/>
      <c r="AL438" s="170"/>
      <c r="AM438" s="170"/>
      <c r="AN438" s="170"/>
      <c r="AO438" s="170" t="s">
        <v>1220</v>
      </c>
      <c r="AP438" s="170"/>
      <c r="AQ438" s="170"/>
      <c r="AR438" s="170"/>
      <c r="AS438" s="170"/>
      <c r="AT438" s="170"/>
      <c r="AU438" s="170"/>
      <c r="AV438" s="170"/>
      <c r="AW438" s="170"/>
      <c r="AX438" s="170"/>
      <c r="AY438" s="170"/>
      <c r="AZ438" s="180" t="s">
        <v>59</v>
      </c>
      <c r="BA438" s="171">
        <f>(COUNTIF(AJ438:AL438,"*OK*")*3) + (COUNTIF(AM438:AO438,"*OK*")*2) + COUNTIF(AP438:AR438,"*OK*")+COUNTIF(AZ438:AZ438,"SI")*0.5</f>
        <v>2</v>
      </c>
      <c r="BB438" s="171" t="str">
        <f>IF(BA438&lt;0.6,"Demasiado Riesgo",IF(BA438&lt;=5,"Riesgo Medio",IF(BA438&lt;=11,"Riesgo Bajo","Cliente Blindado")))</f>
        <v>Riesgo Medio</v>
      </c>
      <c r="BC438" s="171"/>
      <c r="BD438" s="171"/>
      <c r="BE438" s="171">
        <v>0</v>
      </c>
      <c r="BF438" s="171"/>
      <c r="BG438" s="171"/>
      <c r="BH438" s="171"/>
      <c r="BI438" s="171"/>
      <c r="BJ438" s="171"/>
      <c r="BK438" s="171"/>
      <c r="BL438" s="171"/>
      <c r="BM438" s="171"/>
      <c r="BN438" s="171"/>
      <c r="BO438" s="171"/>
      <c r="BP438" s="171"/>
      <c r="BQ438" s="171"/>
      <c r="BR438" s="171"/>
      <c r="BS438" s="171"/>
      <c r="BT438" s="171"/>
      <c r="BU438" s="171"/>
      <c r="BV438" s="171"/>
      <c r="BW438" s="171"/>
      <c r="BX438" s="171"/>
      <c r="BY438" s="171"/>
      <c r="BZ438" s="171"/>
      <c r="CA438" s="171">
        <f>COUNTIF(AJ438:AX438,"*OK*")</f>
        <v>1</v>
      </c>
      <c r="CB438" s="171"/>
      <c r="CC438" s="171">
        <f>COUNTIF(AJ438:AX438,"*OP*")</f>
        <v>0</v>
      </c>
    </row>
    <row r="439" spans="1:81" ht="15" hidden="1" customHeight="1">
      <c r="A439" s="241">
        <v>27983</v>
      </c>
      <c r="B439" s="160"/>
      <c r="C439" s="468">
        <f>T439</f>
        <v>864.72</v>
      </c>
      <c r="D439" s="160">
        <f>COUNTIF(AJ439:AX439,"*OK*")</f>
        <v>2</v>
      </c>
      <c r="E439" s="160"/>
      <c r="F439" s="259" t="s">
        <v>1221</v>
      </c>
      <c r="G439" s="570"/>
      <c r="H439" s="187"/>
      <c r="I439" s="575"/>
      <c r="J439" s="570"/>
      <c r="K439" s="578" t="s">
        <v>79</v>
      </c>
      <c r="L439" s="570" t="s">
        <v>1106</v>
      </c>
      <c r="M439" s="570"/>
      <c r="N439" s="570"/>
      <c r="O439" s="250">
        <v>637.92999999999995</v>
      </c>
      <c r="P439" s="250">
        <v>618.28</v>
      </c>
      <c r="Q439" s="250">
        <v>776.1</v>
      </c>
      <c r="R439" s="251">
        <v>811.8</v>
      </c>
      <c r="S439" s="510">
        <v>877.02279999999996</v>
      </c>
      <c r="T439" s="551">
        <v>864.72</v>
      </c>
      <c r="U439" s="253"/>
      <c r="V439" s="165">
        <v>500</v>
      </c>
      <c r="W439" s="187"/>
      <c r="X439" s="166" t="s">
        <v>253</v>
      </c>
      <c r="Y439" s="166" t="s">
        <v>80</v>
      </c>
      <c r="Z439" s="167" t="s">
        <v>1222</v>
      </c>
      <c r="AA439" s="165" t="s">
        <v>59</v>
      </c>
      <c r="AB439" s="167" t="s">
        <v>104</v>
      </c>
      <c r="AC439" s="187" t="s">
        <v>92</v>
      </c>
      <c r="AD439" s="160"/>
      <c r="AE439" s="160" t="s">
        <v>1121</v>
      </c>
      <c r="AF439" s="160"/>
      <c r="AG439" s="160"/>
      <c r="AH439" s="160"/>
      <c r="AI439" s="163" t="s">
        <v>127</v>
      </c>
      <c r="AJ439" s="170"/>
      <c r="AK439" s="170"/>
      <c r="AL439" s="189" t="s">
        <v>111</v>
      </c>
      <c r="AM439" s="170"/>
      <c r="AN439" s="189" t="s">
        <v>111</v>
      </c>
      <c r="AO439" s="170"/>
      <c r="AP439" s="170"/>
      <c r="AQ439" s="170"/>
      <c r="AR439" s="170"/>
      <c r="AS439" s="170"/>
      <c r="AT439" s="170"/>
      <c r="AU439" s="170"/>
      <c r="AV439" s="170"/>
      <c r="AW439" s="170"/>
      <c r="AX439" s="170"/>
      <c r="AY439" s="170"/>
      <c r="AZ439" s="169" t="s">
        <v>178</v>
      </c>
      <c r="BA439" s="160">
        <f>(COUNTIF(AJ439:AL439,"*OK*")*3) + (COUNTIF(AM439:AO439,"*OK*")*2) + COUNTIF(AP439:AR439,"*OK*")+COUNTIF(AZ439:AZ439,"SI")*0.5</f>
        <v>5</v>
      </c>
      <c r="BB439" s="160" t="str">
        <f>IF(BA439&lt;0.6,"Demasiado Riesgo",IF(BA439&lt;=5,"Riesgo Medio",IF(BA439&lt;=11,"Riesgo Bajo","Cliente Blindado")))</f>
        <v>Riesgo Medio</v>
      </c>
      <c r="BC439" s="160"/>
      <c r="BD439" s="160"/>
      <c r="BE439" s="160">
        <v>0</v>
      </c>
      <c r="BF439" s="160"/>
      <c r="BG439" s="160"/>
      <c r="BH439" s="160"/>
      <c r="BI439" s="160"/>
      <c r="BJ439" s="160"/>
      <c r="BK439" s="160"/>
      <c r="BL439" s="160"/>
      <c r="BM439" s="160"/>
      <c r="BN439" s="160"/>
      <c r="BO439" s="160"/>
      <c r="BP439" s="160"/>
      <c r="BQ439" s="160"/>
      <c r="BR439" s="160"/>
      <c r="BS439" s="160"/>
      <c r="BT439" s="160"/>
      <c r="BU439" s="160"/>
      <c r="BV439" s="160"/>
      <c r="BW439" s="160"/>
      <c r="BX439" s="160"/>
      <c r="BY439" s="160"/>
      <c r="BZ439" s="160"/>
      <c r="CA439" s="160">
        <f>COUNTIF(AJ439:AX439,"*OK*")</f>
        <v>2</v>
      </c>
      <c r="CB439" s="160"/>
      <c r="CC439" s="160">
        <f>COUNTIF(AJ439:AX439,"*OP*")</f>
        <v>0</v>
      </c>
    </row>
    <row r="440" spans="1:81" ht="15" hidden="1" customHeight="1">
      <c r="A440" s="241">
        <v>3455</v>
      </c>
      <c r="B440" s="160"/>
      <c r="C440" s="468">
        <f>T440</f>
        <v>866</v>
      </c>
      <c r="D440" s="160">
        <f>COUNTIF(AJ440:AX440,"*OK*")</f>
        <v>1</v>
      </c>
      <c r="E440" s="160"/>
      <c r="F440" s="182" t="s">
        <v>1223</v>
      </c>
      <c r="G440" s="570"/>
      <c r="H440" s="187"/>
      <c r="I440" s="575"/>
      <c r="J440" s="570"/>
      <c r="K440" s="578" t="s">
        <v>79</v>
      </c>
      <c r="L440" s="570" t="s">
        <v>1106</v>
      </c>
      <c r="M440" s="570"/>
      <c r="N440" s="570" t="s">
        <v>136</v>
      </c>
      <c r="O440" s="250">
        <v>1056.67</v>
      </c>
      <c r="P440" s="250">
        <v>1055.71</v>
      </c>
      <c r="Q440" s="250">
        <v>1006.07</v>
      </c>
      <c r="R440" s="251">
        <v>883.72</v>
      </c>
      <c r="S440" s="510">
        <v>895.60540000000003</v>
      </c>
      <c r="T440" s="551">
        <v>866</v>
      </c>
      <c r="U440" s="253"/>
      <c r="V440" s="165">
        <v>400</v>
      </c>
      <c r="W440" s="187"/>
      <c r="X440" s="166" t="s">
        <v>1224</v>
      </c>
      <c r="Y440" s="166" t="s">
        <v>80</v>
      </c>
      <c r="Z440" s="167" t="s">
        <v>1225</v>
      </c>
      <c r="AA440" s="165" t="s">
        <v>59</v>
      </c>
      <c r="AB440" s="167" t="s">
        <v>104</v>
      </c>
      <c r="AC440" s="187" t="s">
        <v>92</v>
      </c>
      <c r="AD440" s="160"/>
      <c r="AE440" s="160" t="s">
        <v>1108</v>
      </c>
      <c r="AF440" s="160"/>
      <c r="AG440" s="160"/>
      <c r="AH440" s="160"/>
      <c r="AI440" s="163" t="s">
        <v>127</v>
      </c>
      <c r="AJ440" s="170"/>
      <c r="AK440" s="170"/>
      <c r="AL440" s="170"/>
      <c r="AM440" s="170"/>
      <c r="AN440" s="170"/>
      <c r="AO440" s="170"/>
      <c r="AP440" s="189" t="s">
        <v>111</v>
      </c>
      <c r="AQ440" s="170"/>
      <c r="AR440" s="170"/>
      <c r="AS440" s="170"/>
      <c r="AT440" s="170"/>
      <c r="AU440" s="170"/>
      <c r="AV440" s="170"/>
      <c r="AW440" s="170"/>
      <c r="AX440" s="170"/>
      <c r="AY440" s="170"/>
      <c r="AZ440" s="169" t="s">
        <v>178</v>
      </c>
      <c r="BA440" s="160">
        <f>(COUNTIF(AJ440:AL440,"*OK*")*3) + (COUNTIF(AM440:AO440,"*OK*")*2) + COUNTIF(AP440:AR440,"*OK*")+COUNTIF(AZ440:AZ440,"SI")*0.5</f>
        <v>1</v>
      </c>
      <c r="BB440" s="160" t="str">
        <f>IF(BA440&lt;0.6,"Demasiado Riesgo",IF(BA440&lt;=5,"Riesgo Medio",IF(BA440&lt;=11,"Riesgo Bajo","Cliente Blindado")))</f>
        <v>Riesgo Medio</v>
      </c>
      <c r="BC440" s="160"/>
      <c r="BD440" s="160"/>
      <c r="BE440" s="160">
        <v>0</v>
      </c>
      <c r="BF440" s="160"/>
      <c r="BG440" s="160"/>
      <c r="BH440" s="160"/>
      <c r="BI440" s="160"/>
      <c r="BJ440" s="160"/>
      <c r="BK440" s="160"/>
      <c r="BL440" s="160"/>
      <c r="BM440" s="160"/>
      <c r="BN440" s="160"/>
      <c r="BO440" s="160"/>
      <c r="BP440" s="160"/>
      <c r="BQ440" s="160"/>
      <c r="BR440" s="160"/>
      <c r="BS440" s="160"/>
      <c r="BT440" s="160"/>
      <c r="BU440" s="160"/>
      <c r="BV440" s="160"/>
      <c r="BW440" s="160"/>
      <c r="BX440" s="160"/>
      <c r="BY440" s="160"/>
      <c r="BZ440" s="160"/>
      <c r="CA440" s="160">
        <f>COUNTIF(AJ440:AX440,"*OK*")</f>
        <v>1</v>
      </c>
      <c r="CB440" s="160"/>
      <c r="CC440" s="160">
        <f>COUNTIF(AJ440:AX440,"*OP*")</f>
        <v>0</v>
      </c>
    </row>
    <row r="441" spans="1:81" ht="15" hidden="1" customHeight="1">
      <c r="A441" s="240">
        <v>30597</v>
      </c>
      <c r="B441" s="171"/>
      <c r="C441" s="468">
        <f>T441</f>
        <v>899.49</v>
      </c>
      <c r="D441" s="171">
        <f>COUNTIF(AJ441:AX441,"*OK*")</f>
        <v>3</v>
      </c>
      <c r="E441" s="568"/>
      <c r="F441" s="259" t="s">
        <v>1226</v>
      </c>
      <c r="G441" s="569"/>
      <c r="H441" s="194"/>
      <c r="I441" s="576"/>
      <c r="J441" s="569"/>
      <c r="K441" s="579" t="s">
        <v>79</v>
      </c>
      <c r="L441" s="569" t="s">
        <v>1106</v>
      </c>
      <c r="M441" s="569" t="s">
        <v>135</v>
      </c>
      <c r="N441" s="569"/>
      <c r="O441" s="534">
        <v>1159.33</v>
      </c>
      <c r="P441" s="534">
        <v>932.08</v>
      </c>
      <c r="Q441" s="534">
        <v>914.69</v>
      </c>
      <c r="R441" s="252">
        <v>960.03</v>
      </c>
      <c r="S441" s="510">
        <v>932.9162</v>
      </c>
      <c r="T441" s="550">
        <v>899.49</v>
      </c>
      <c r="U441" s="254"/>
      <c r="V441" s="176">
        <v>350</v>
      </c>
      <c r="W441" s="194"/>
      <c r="X441" s="177" t="s">
        <v>253</v>
      </c>
      <c r="Y441" s="177" t="s">
        <v>80</v>
      </c>
      <c r="Z441" s="178" t="s">
        <v>1227</v>
      </c>
      <c r="AA441" s="176" t="s">
        <v>71</v>
      </c>
      <c r="AB441" s="178" t="s">
        <v>159</v>
      </c>
      <c r="AC441" s="194" t="s">
        <v>92</v>
      </c>
      <c r="AD441" s="171"/>
      <c r="AE441" s="171" t="s">
        <v>1108</v>
      </c>
      <c r="AF441" s="171"/>
      <c r="AG441" s="171"/>
      <c r="AH441" s="171"/>
      <c r="AI441" s="174" t="s">
        <v>127</v>
      </c>
      <c r="AJ441" s="170"/>
      <c r="AK441" s="170"/>
      <c r="AL441" s="189" t="s">
        <v>111</v>
      </c>
      <c r="AM441" s="170" t="s">
        <v>59</v>
      </c>
      <c r="AN441" s="189" t="s">
        <v>111</v>
      </c>
      <c r="AO441" s="170"/>
      <c r="AP441" s="170"/>
      <c r="AQ441" s="189" t="s">
        <v>111</v>
      </c>
      <c r="AR441" s="170"/>
      <c r="AS441" s="170"/>
      <c r="AT441" s="170"/>
      <c r="AU441" s="170"/>
      <c r="AV441" s="170"/>
      <c r="AW441" s="170"/>
      <c r="AX441" s="170"/>
      <c r="AY441" s="170"/>
      <c r="AZ441" s="180" t="s">
        <v>178</v>
      </c>
      <c r="BA441" s="171">
        <f>(COUNTIF(AJ441:AL441,"*OK*")*3) + (COUNTIF(AM441:AO441,"*OK*")*2) + COUNTIF(AP441:AR441,"*OK*")+COUNTIF(AZ441:AZ441,"SI")*0.5</f>
        <v>6</v>
      </c>
      <c r="BB441" s="171" t="str">
        <f>IF(BA441&lt;0.6,"Demasiado Riesgo",IF(BA441&lt;=5,"Riesgo Medio",IF(BA441&lt;=11,"Riesgo Bajo","Cliente Blindado")))</f>
        <v>Riesgo Bajo</v>
      </c>
      <c r="BC441" s="171"/>
      <c r="BD441" s="171"/>
      <c r="BE441" s="171">
        <v>0</v>
      </c>
      <c r="BF441" s="171"/>
      <c r="BG441" s="171"/>
      <c r="BH441" s="171"/>
      <c r="BI441" s="171"/>
      <c r="BJ441" s="171"/>
      <c r="BK441" s="171"/>
      <c r="BL441" s="171"/>
      <c r="BM441" s="171"/>
      <c r="BN441" s="171"/>
      <c r="BO441" s="171"/>
      <c r="BP441" s="171"/>
      <c r="BQ441" s="171"/>
      <c r="BR441" s="171"/>
      <c r="BS441" s="171"/>
      <c r="BT441" s="171"/>
      <c r="BU441" s="171"/>
      <c r="BV441" s="171"/>
      <c r="BW441" s="171"/>
      <c r="BX441" s="171"/>
      <c r="BY441" s="171"/>
      <c r="BZ441" s="171"/>
      <c r="CA441" s="171">
        <f>COUNTIF(AJ441:AX441,"*OK*")</f>
        <v>3</v>
      </c>
      <c r="CB441" s="171"/>
      <c r="CC441" s="171">
        <f>COUNTIF(AJ441:AX441,"*OP*")</f>
        <v>0</v>
      </c>
    </row>
    <row r="442" spans="1:81" ht="15" hidden="1" customHeight="1">
      <c r="A442" s="240">
        <v>5901</v>
      </c>
      <c r="B442" s="171"/>
      <c r="C442" s="468">
        <f>T442</f>
        <v>918.77</v>
      </c>
      <c r="D442" s="171">
        <f>COUNTIF(AJ442:AX442,"*OK*")</f>
        <v>0</v>
      </c>
      <c r="E442" s="568"/>
      <c r="F442" s="422" t="s">
        <v>1228</v>
      </c>
      <c r="G442" s="569" t="s">
        <v>1229</v>
      </c>
      <c r="H442" s="194"/>
      <c r="I442" s="576"/>
      <c r="J442" s="569"/>
      <c r="K442" s="579" t="s">
        <v>79</v>
      </c>
      <c r="L442" s="569" t="s">
        <v>1106</v>
      </c>
      <c r="M442" s="569"/>
      <c r="N442" s="569"/>
      <c r="O442" s="534">
        <v>148</v>
      </c>
      <c r="P442" s="534">
        <v>166.96</v>
      </c>
      <c r="Q442" s="534">
        <v>153.58000000000001</v>
      </c>
      <c r="R442" s="252">
        <v>158.53</v>
      </c>
      <c r="S442" s="510">
        <v>156.79069999999999</v>
      </c>
      <c r="T442" s="554">
        <v>918.77</v>
      </c>
      <c r="U442" s="254"/>
      <c r="V442" s="176">
        <v>300</v>
      </c>
      <c r="W442" s="194"/>
      <c r="X442" s="211" t="s">
        <v>70</v>
      </c>
      <c r="Y442" s="177" t="s">
        <v>80</v>
      </c>
      <c r="Z442" s="178" t="s">
        <v>1230</v>
      </c>
      <c r="AA442" s="176" t="s">
        <v>59</v>
      </c>
      <c r="AB442" s="178" t="s">
        <v>65</v>
      </c>
      <c r="AC442" s="194" t="s">
        <v>97</v>
      </c>
      <c r="AD442" s="171"/>
      <c r="AE442" s="171" t="s">
        <v>1108</v>
      </c>
      <c r="AF442" s="171"/>
      <c r="AG442" s="171"/>
      <c r="AH442" s="171"/>
      <c r="AI442" s="174"/>
      <c r="AJ442" s="170"/>
      <c r="AK442" s="170"/>
      <c r="AL442" s="170" t="s">
        <v>1231</v>
      </c>
      <c r="AM442" s="170"/>
      <c r="AN442" s="170"/>
      <c r="AO442" s="170"/>
      <c r="AP442" s="170" t="s">
        <v>1231</v>
      </c>
      <c r="AQ442" s="170"/>
      <c r="AR442" s="170"/>
      <c r="AS442" s="170"/>
      <c r="AT442" s="170"/>
      <c r="AU442" s="170"/>
      <c r="AV442" s="170"/>
      <c r="AW442" s="170"/>
      <c r="AX442" s="170"/>
      <c r="AY442" s="170" t="s">
        <v>654</v>
      </c>
      <c r="AZ442" s="180" t="s">
        <v>59</v>
      </c>
      <c r="BA442" s="171">
        <f>(COUNTIF(AJ442:AL442,"*OK*")*3) + (COUNTIF(AM442:AO442,"*OK*")*2) + COUNTIF(AP442:AR442,"*OK*")+COUNTIF(AZ442:AZ442,"SI")*0.5</f>
        <v>0</v>
      </c>
      <c r="BB442" s="171" t="str">
        <f>IF(BA442&lt;0.6,"Demasiado Riesgo",IF(BA442&lt;=5,"Riesgo Medio",IF(BA442&lt;=11,"Riesgo Bajo","Cliente Blindado")))</f>
        <v>Demasiado Riesgo</v>
      </c>
      <c r="BC442" s="171"/>
      <c r="BD442" s="171"/>
      <c r="BE442" s="171">
        <v>0</v>
      </c>
      <c r="BF442" s="171"/>
      <c r="BG442" s="171"/>
      <c r="BH442" s="171"/>
      <c r="BI442" s="171"/>
      <c r="BJ442" s="171"/>
      <c r="BK442" s="171"/>
      <c r="BL442" s="171"/>
      <c r="BM442" s="171"/>
      <c r="BN442" s="171"/>
      <c r="BO442" s="171"/>
      <c r="BP442" s="171"/>
      <c r="BQ442" s="171"/>
      <c r="BR442" s="171"/>
      <c r="BS442" s="171"/>
      <c r="BT442" s="171"/>
      <c r="BU442" s="171"/>
      <c r="BV442" s="171"/>
      <c r="BW442" s="171"/>
      <c r="BX442" s="171"/>
      <c r="BY442" s="171"/>
      <c r="BZ442" s="171"/>
      <c r="CA442" s="171">
        <f>COUNTIF(AJ442:AX442,"*OK*")</f>
        <v>0</v>
      </c>
      <c r="CB442" s="171"/>
      <c r="CC442" s="171">
        <f>COUNTIF(AJ442:AX442,"*OP*")</f>
        <v>2</v>
      </c>
    </row>
    <row r="443" spans="1:81" ht="15" hidden="1" customHeight="1">
      <c r="A443" s="240">
        <v>33849</v>
      </c>
      <c r="B443" s="171"/>
      <c r="C443" s="468">
        <f>T443</f>
        <v>959.68</v>
      </c>
      <c r="D443" s="171">
        <f>COUNTIF(AJ443:AX443,"*OK*")</f>
        <v>0</v>
      </c>
      <c r="E443" s="568"/>
      <c r="F443" s="354" t="s">
        <v>1232</v>
      </c>
      <c r="G443" s="569"/>
      <c r="H443" s="179"/>
      <c r="I443" s="572"/>
      <c r="J443" s="569"/>
      <c r="K443" s="582" t="s">
        <v>79</v>
      </c>
      <c r="L443" s="569" t="s">
        <v>1106</v>
      </c>
      <c r="M443" s="569"/>
      <c r="N443" s="569"/>
      <c r="O443" s="534"/>
      <c r="P443" s="534"/>
      <c r="Q443" s="534">
        <v>834.64</v>
      </c>
      <c r="R443" s="252">
        <v>1128</v>
      </c>
      <c r="S443" s="510">
        <v>916.30700000000002</v>
      </c>
      <c r="T443" s="554">
        <v>959.68</v>
      </c>
      <c r="U443" s="254">
        <v>2244</v>
      </c>
      <c r="V443" s="176">
        <v>5500</v>
      </c>
      <c r="W443" s="194"/>
      <c r="X443" s="177" t="s">
        <v>70</v>
      </c>
      <c r="Y443" s="177" t="s">
        <v>363</v>
      </c>
      <c r="Z443" s="178" t="s">
        <v>1233</v>
      </c>
      <c r="AA443" s="176" t="s">
        <v>365</v>
      </c>
      <c r="AB443" s="178" t="s">
        <v>65</v>
      </c>
      <c r="AC443" s="179" t="s">
        <v>84</v>
      </c>
      <c r="AD443" s="171"/>
      <c r="AE443" s="171" t="s">
        <v>1182</v>
      </c>
      <c r="AF443" s="171"/>
      <c r="AG443" s="171"/>
      <c r="AH443" s="171"/>
      <c r="AI443" s="174" t="s">
        <v>59</v>
      </c>
      <c r="AJ443" s="170"/>
      <c r="AK443" s="170"/>
      <c r="AL443" s="170"/>
      <c r="AM443" s="170"/>
      <c r="AN443" s="170"/>
      <c r="AO443" s="170"/>
      <c r="AP443" s="170"/>
      <c r="AQ443" s="170"/>
      <c r="AR443" s="170"/>
      <c r="AS443" s="170"/>
      <c r="AT443" s="170"/>
      <c r="AU443" s="170"/>
      <c r="AV443" s="170"/>
      <c r="AW443" s="170"/>
      <c r="AX443" s="170"/>
      <c r="AY443" s="170"/>
      <c r="AZ443" s="180" t="s">
        <v>59</v>
      </c>
      <c r="BA443" s="171">
        <f>(COUNTIF(AJ443:AL443,"*OK*")*3) + (COUNTIF(AM443:AO443,"*OK*")*2) + COUNTIF(AP443:AR443,"*OK*")+COUNTIF(AZ443:AZ443,"SI")*0.5</f>
        <v>0</v>
      </c>
      <c r="BB443" s="171" t="str">
        <f>IF(BA443&lt;0.6,"Demasiado Riesgo",IF(BA443&lt;=5,"Riesgo Medio",IF(BA443&lt;=11,"Riesgo Bajo","Cliente Blindado")))</f>
        <v>Demasiado Riesgo</v>
      </c>
      <c r="BC443" s="171"/>
      <c r="BD443" s="171"/>
      <c r="BE443" s="171">
        <v>0</v>
      </c>
      <c r="BF443" s="171"/>
      <c r="BG443" s="171"/>
      <c r="BH443" s="171"/>
      <c r="BI443" s="171"/>
      <c r="BJ443" s="171"/>
      <c r="BK443" s="171"/>
      <c r="BL443" s="171"/>
      <c r="BM443" s="171"/>
      <c r="BN443" s="171"/>
      <c r="BO443" s="171"/>
      <c r="BP443" s="171"/>
      <c r="BQ443" s="171"/>
      <c r="BR443" s="171"/>
      <c r="BS443" s="171"/>
      <c r="BT443" s="171"/>
      <c r="BU443" s="171"/>
      <c r="BV443" s="171"/>
      <c r="BW443" s="171"/>
      <c r="BX443" s="171"/>
      <c r="BY443" s="171"/>
      <c r="BZ443" s="171"/>
      <c r="CA443" s="171">
        <f>COUNTIF(AJ443:AX443,"*OK*")</f>
        <v>0</v>
      </c>
      <c r="CB443" s="171"/>
      <c r="CC443" s="171">
        <f>COUNTIF(AJ443:AX443,"*OP*")</f>
        <v>0</v>
      </c>
    </row>
    <row r="444" spans="1:81" ht="15" hidden="1" customHeight="1">
      <c r="A444" s="241"/>
      <c r="B444" s="160"/>
      <c r="C444" s="468">
        <f>T444</f>
        <v>1007.91</v>
      </c>
      <c r="D444" s="160">
        <f>COUNTIF(AN444:AY444,"OK")</f>
        <v>0</v>
      </c>
      <c r="E444" s="541"/>
      <c r="F444" s="160" t="s">
        <v>1234</v>
      </c>
      <c r="G444" s="541"/>
      <c r="H444" s="168"/>
      <c r="I444" s="573"/>
      <c r="J444" s="541"/>
      <c r="K444" s="591" t="s">
        <v>1037</v>
      </c>
      <c r="L444" s="541" t="s">
        <v>1106</v>
      </c>
      <c r="M444" s="541"/>
      <c r="N444" s="541"/>
      <c r="O444" s="250"/>
      <c r="P444" s="250"/>
      <c r="Q444" s="250"/>
      <c r="R444" s="251"/>
      <c r="S444" s="510">
        <v>1019.0818</v>
      </c>
      <c r="T444" s="549">
        <v>1007.91</v>
      </c>
      <c r="U444" s="253"/>
      <c r="V444" s="165" t="s">
        <v>59</v>
      </c>
      <c r="W444" s="160"/>
      <c r="X444" s="166"/>
      <c r="Y444" s="166"/>
      <c r="Z444" s="167"/>
      <c r="AA444" s="163" t="s">
        <v>59</v>
      </c>
      <c r="AB444" s="167"/>
      <c r="AC444" s="168"/>
      <c r="AD444" s="160"/>
      <c r="AE444" s="160"/>
      <c r="AF444" s="160"/>
      <c r="AG444" s="160"/>
      <c r="AH444" s="160"/>
      <c r="AI444" s="163"/>
      <c r="AJ444" s="170"/>
      <c r="AK444" s="170"/>
      <c r="AL444" s="170"/>
      <c r="AM444" s="170"/>
      <c r="AN444" s="170"/>
      <c r="AO444" s="170"/>
      <c r="AP444" s="170"/>
      <c r="AQ444" s="170"/>
      <c r="AR444" s="170"/>
      <c r="AS444" s="170"/>
      <c r="AT444" s="170"/>
      <c r="AU444" s="170"/>
      <c r="AV444" s="170"/>
      <c r="AW444" s="170"/>
      <c r="AX444" s="170"/>
      <c r="AY444" s="170"/>
      <c r="AZ444" s="169" t="s">
        <v>59</v>
      </c>
      <c r="BA444" s="160">
        <f>(COUNTIF(AJ444:AL444,"*OK*")*3) + (COUNTIF(AM444:AO444,"*OK*")*2) + COUNTIF(AP444:AR444,"*OK*")+COUNTIF(AZ444:AZ444,"SI")*0.5</f>
        <v>0</v>
      </c>
      <c r="BB444" s="160" t="str">
        <f>IF(BA444&lt;0.6,"Demasiado Riesgo",IF(BA444&lt;=5,"Riesgo Medio",IF(BA444&lt;=11,"Riesgo Bajo","Cliente Blindado")))</f>
        <v>Demasiado Riesgo</v>
      </c>
      <c r="BC444" s="160"/>
      <c r="BD444" s="160"/>
      <c r="BE444" s="160"/>
      <c r="BF444" s="160"/>
      <c r="BG444" s="160"/>
      <c r="BH444" s="160"/>
      <c r="BI444" s="160"/>
      <c r="BJ444" s="160"/>
      <c r="BK444" s="160"/>
      <c r="BL444" s="160"/>
      <c r="BM444" s="160"/>
      <c r="BN444" s="160"/>
      <c r="BO444" s="160"/>
      <c r="BP444" s="160"/>
      <c r="BQ444" s="160"/>
      <c r="BR444" s="160"/>
      <c r="BS444" s="160"/>
      <c r="BT444" s="160"/>
      <c r="BU444" s="160"/>
      <c r="BV444" s="160"/>
      <c r="BW444" s="160"/>
      <c r="BX444" s="160"/>
      <c r="BY444" s="160"/>
      <c r="BZ444" s="160"/>
      <c r="CA444" s="160">
        <f>COUNTIF(AJ444:AX444,"*OK*")</f>
        <v>0</v>
      </c>
      <c r="CB444" s="160"/>
      <c r="CC444" s="160">
        <f>COUNTIF(AJ444:AX444,"*OP*")</f>
        <v>0</v>
      </c>
    </row>
    <row r="445" spans="1:81" ht="15" hidden="1" customHeight="1">
      <c r="A445" s="240">
        <v>20569</v>
      </c>
      <c r="B445" s="171"/>
      <c r="C445" s="468">
        <f>T445</f>
        <v>1100.1199999999999</v>
      </c>
      <c r="D445" s="171">
        <f>COUNTIF(AJ445:AX445,"*OK*")</f>
        <v>3</v>
      </c>
      <c r="E445" s="171"/>
      <c r="F445" s="259" t="s">
        <v>1235</v>
      </c>
      <c r="G445" s="569"/>
      <c r="H445" s="194"/>
      <c r="I445" s="576"/>
      <c r="J445" s="569"/>
      <c r="K445" s="579" t="s">
        <v>79</v>
      </c>
      <c r="L445" s="569" t="s">
        <v>1106</v>
      </c>
      <c r="M445" s="569"/>
      <c r="N445" s="569" t="s">
        <v>422</v>
      </c>
      <c r="O445" s="534">
        <v>1389.15</v>
      </c>
      <c r="P445" s="534">
        <v>1273.6600000000001</v>
      </c>
      <c r="Q445" s="534">
        <v>1165.78</v>
      </c>
      <c r="R445" s="252">
        <v>1134.58</v>
      </c>
      <c r="S445" s="510">
        <v>1148.6219000000001</v>
      </c>
      <c r="T445" s="550">
        <v>1100.1199999999999</v>
      </c>
      <c r="U445" s="254"/>
      <c r="V445" s="176">
        <v>800</v>
      </c>
      <c r="W445" s="194"/>
      <c r="X445" s="177" t="s">
        <v>70</v>
      </c>
      <c r="Y445" s="177" t="s">
        <v>152</v>
      </c>
      <c r="Z445" s="178" t="s">
        <v>1236</v>
      </c>
      <c r="AA445" s="176" t="s">
        <v>59</v>
      </c>
      <c r="AB445" s="178" t="s">
        <v>177</v>
      </c>
      <c r="AC445" s="194" t="s">
        <v>92</v>
      </c>
      <c r="AD445" s="171"/>
      <c r="AE445" s="171" t="s">
        <v>1108</v>
      </c>
      <c r="AF445" s="171"/>
      <c r="AG445" s="171"/>
      <c r="AH445" s="171"/>
      <c r="AI445" s="174" t="s">
        <v>127</v>
      </c>
      <c r="AJ445" s="170"/>
      <c r="AK445" s="170"/>
      <c r="AL445" s="189" t="s">
        <v>111</v>
      </c>
      <c r="AM445" s="170"/>
      <c r="AN445" s="170"/>
      <c r="AO445" s="170"/>
      <c r="AP445" s="189" t="s">
        <v>111</v>
      </c>
      <c r="AQ445" s="189" t="s">
        <v>111</v>
      </c>
      <c r="AR445" s="170"/>
      <c r="AS445" s="170"/>
      <c r="AT445" s="170"/>
      <c r="AU445" s="170"/>
      <c r="AV445" s="170"/>
      <c r="AW445" s="170"/>
      <c r="AX445" s="170"/>
      <c r="AY445" s="170"/>
      <c r="AZ445" s="180" t="s">
        <v>178</v>
      </c>
      <c r="BA445" s="171">
        <f>(COUNTIF(AJ445:AL445,"*OK*")*3) + (COUNTIF(AM445:AO445,"*OK*")*2) + COUNTIF(AP445:AR445,"*OK*")+COUNTIF(AZ445:AZ445,"SI")*0.5</f>
        <v>5</v>
      </c>
      <c r="BB445" s="171" t="str">
        <f>IF(BA445&lt;0.6,"Demasiado Riesgo",IF(BA445&lt;=5,"Riesgo Medio",IF(BA445&lt;=11,"Riesgo Bajo","Cliente Blindado")))</f>
        <v>Riesgo Medio</v>
      </c>
      <c r="BC445" s="171"/>
      <c r="BD445" s="171"/>
      <c r="BE445" s="171">
        <v>0</v>
      </c>
      <c r="BF445" s="171"/>
      <c r="BG445" s="171"/>
      <c r="BH445" s="171"/>
      <c r="BI445" s="171"/>
      <c r="BJ445" s="171"/>
      <c r="BK445" s="171"/>
      <c r="BL445" s="171"/>
      <c r="BM445" s="171"/>
      <c r="BN445" s="171"/>
      <c r="BO445" s="171"/>
      <c r="BP445" s="171"/>
      <c r="BQ445" s="171"/>
      <c r="BR445" s="171"/>
      <c r="BS445" s="171"/>
      <c r="BT445" s="171"/>
      <c r="BU445" s="171"/>
      <c r="BV445" s="171"/>
      <c r="BW445" s="171"/>
      <c r="BX445" s="171"/>
      <c r="BY445" s="171"/>
      <c r="BZ445" s="171"/>
      <c r="CA445" s="171">
        <f>COUNTIF(AJ445:AX445,"*OK*")</f>
        <v>3</v>
      </c>
      <c r="CB445" s="171"/>
      <c r="CC445" s="171">
        <f>COUNTIF(AJ445:AX445,"*OP*")</f>
        <v>0</v>
      </c>
    </row>
    <row r="446" spans="1:81" ht="15" hidden="1" customHeight="1">
      <c r="A446" s="501">
        <v>26664</v>
      </c>
      <c r="B446" s="162"/>
      <c r="C446" s="468">
        <f>T446</f>
        <v>1154.47</v>
      </c>
      <c r="D446" s="160">
        <f>COUNTIF(AJ446:AX446,"*OK*")</f>
        <v>1</v>
      </c>
      <c r="E446" s="160"/>
      <c r="F446" s="182" t="s">
        <v>1237</v>
      </c>
      <c r="G446" s="570"/>
      <c r="H446" s="187"/>
      <c r="I446" s="575"/>
      <c r="J446" s="570"/>
      <c r="K446" s="578" t="s">
        <v>79</v>
      </c>
      <c r="L446" s="570" t="s">
        <v>1106</v>
      </c>
      <c r="M446" s="570"/>
      <c r="N446" s="570"/>
      <c r="O446" s="250">
        <v>1092.5</v>
      </c>
      <c r="P446" s="250">
        <v>1104.54</v>
      </c>
      <c r="Q446" s="250">
        <v>1079.95</v>
      </c>
      <c r="R446" s="251">
        <v>1118.99</v>
      </c>
      <c r="S446" s="510">
        <v>1158.5989</v>
      </c>
      <c r="T446" s="551">
        <v>1154.47</v>
      </c>
      <c r="U446" s="253"/>
      <c r="V446" s="165">
        <v>200</v>
      </c>
      <c r="W446" s="187"/>
      <c r="X446" s="166" t="s">
        <v>70</v>
      </c>
      <c r="Y446" s="166" t="s">
        <v>243</v>
      </c>
      <c r="Z446" s="167" t="s">
        <v>1238</v>
      </c>
      <c r="AA446" s="165" t="s">
        <v>59</v>
      </c>
      <c r="AB446" s="167" t="s">
        <v>65</v>
      </c>
      <c r="AC446" s="187" t="s">
        <v>92</v>
      </c>
      <c r="AD446" s="160"/>
      <c r="AE446" s="160" t="s">
        <v>1121</v>
      </c>
      <c r="AF446" s="160"/>
      <c r="AG446" s="160"/>
      <c r="AH446" s="160"/>
      <c r="AI446" s="163" t="s">
        <v>127</v>
      </c>
      <c r="AJ446" s="170"/>
      <c r="AK446" s="170"/>
      <c r="AL446" s="170"/>
      <c r="AM446" s="170" t="s">
        <v>173</v>
      </c>
      <c r="AN446" s="170" t="s">
        <v>1239</v>
      </c>
      <c r="AO446" s="170"/>
      <c r="AP446" s="189" t="s">
        <v>111</v>
      </c>
      <c r="AQ446" s="170"/>
      <c r="AR446" s="170"/>
      <c r="AS446" s="170"/>
      <c r="AT446" s="170"/>
      <c r="AU446" s="170"/>
      <c r="AV446" s="170"/>
      <c r="AW446" s="170"/>
      <c r="AX446" s="170"/>
      <c r="AY446" s="170"/>
      <c r="AZ446" s="169" t="s">
        <v>178</v>
      </c>
      <c r="BA446" s="160">
        <f>(COUNTIF(AJ446:AL446,"*OK*")*3) + (COUNTIF(AM446:AO446,"*OK*")*2) + COUNTIF(AP446:AR446,"*OK*")+COUNTIF(AZ446:AZ446,"SI")*0.5</f>
        <v>1</v>
      </c>
      <c r="BB446" s="160" t="str">
        <f>IF(BA446&lt;0.6,"Demasiado Riesgo",IF(BA446&lt;=5,"Riesgo Medio",IF(BA446&lt;=11,"Riesgo Bajo","Cliente Blindado")))</f>
        <v>Riesgo Medio</v>
      </c>
      <c r="BC446" s="160"/>
      <c r="BD446" s="160"/>
      <c r="BE446" s="160">
        <v>0</v>
      </c>
      <c r="BF446" s="160"/>
      <c r="BG446" s="160"/>
      <c r="BH446" s="160"/>
      <c r="BI446" s="160"/>
      <c r="BJ446" s="160"/>
      <c r="BK446" s="160"/>
      <c r="BL446" s="160"/>
      <c r="BM446" s="160"/>
      <c r="BN446" s="160"/>
      <c r="BO446" s="160"/>
      <c r="BP446" s="160"/>
      <c r="BQ446" s="160"/>
      <c r="BR446" s="160"/>
      <c r="BS446" s="160"/>
      <c r="BT446" s="160"/>
      <c r="BU446" s="160"/>
      <c r="BV446" s="160"/>
      <c r="BW446" s="160"/>
      <c r="BX446" s="160"/>
      <c r="BY446" s="160"/>
      <c r="BZ446" s="160"/>
      <c r="CA446" s="160">
        <f>COUNTIF(AJ446:AX446,"*OK*")</f>
        <v>1</v>
      </c>
      <c r="CB446" s="160"/>
      <c r="CC446" s="160">
        <f>COUNTIF(AJ446:AX446,"*OP*")</f>
        <v>2</v>
      </c>
    </row>
    <row r="447" spans="1:81" ht="15" hidden="1" customHeight="1">
      <c r="A447" s="501">
        <v>20103</v>
      </c>
      <c r="B447" s="162"/>
      <c r="C447" s="468">
        <f>T447</f>
        <v>1174.4100000000001</v>
      </c>
      <c r="D447" s="160">
        <f>COUNTIF(AJ447:AX447,"*OK*")</f>
        <v>0</v>
      </c>
      <c r="E447" s="160"/>
      <c r="F447" s="197" t="s">
        <v>1240</v>
      </c>
      <c r="G447" s="570"/>
      <c r="H447" s="187" t="s">
        <v>1241</v>
      </c>
      <c r="I447" s="575"/>
      <c r="J447" s="570"/>
      <c r="K447" s="578" t="s">
        <v>79</v>
      </c>
      <c r="L447" s="570" t="s">
        <v>1106</v>
      </c>
      <c r="M447" s="570"/>
      <c r="N447" s="570"/>
      <c r="O447" s="250">
        <v>1299.95</v>
      </c>
      <c r="P447" s="250">
        <v>1216.24</v>
      </c>
      <c r="Q447" s="250">
        <v>1172.74</v>
      </c>
      <c r="R447" s="251">
        <v>1203.43</v>
      </c>
      <c r="S447" s="510">
        <v>1183.857</v>
      </c>
      <c r="T447" s="551">
        <v>1174.4100000000001</v>
      </c>
      <c r="U447" s="253"/>
      <c r="V447" s="165">
        <v>600</v>
      </c>
      <c r="W447" s="187"/>
      <c r="X447" s="166" t="s">
        <v>70</v>
      </c>
      <c r="Y447" s="166" t="s">
        <v>89</v>
      </c>
      <c r="Z447" s="167" t="s">
        <v>1242</v>
      </c>
      <c r="AA447" s="165" t="s">
        <v>59</v>
      </c>
      <c r="AB447" s="167" t="s">
        <v>65</v>
      </c>
      <c r="AC447" s="187" t="s">
        <v>84</v>
      </c>
      <c r="AD447" s="160"/>
      <c r="AE447" s="160" t="s">
        <v>1108</v>
      </c>
      <c r="AF447" s="160"/>
      <c r="AG447" s="160"/>
      <c r="AH447" s="160"/>
      <c r="AI447" s="163" t="s">
        <v>59</v>
      </c>
      <c r="AJ447" s="170"/>
      <c r="AK447" s="170"/>
      <c r="AL447" s="170"/>
      <c r="AM447" s="170" t="s">
        <v>173</v>
      </c>
      <c r="AN447" s="170"/>
      <c r="AO447" s="170"/>
      <c r="AP447" s="170"/>
      <c r="AQ447" s="170"/>
      <c r="AR447" s="170"/>
      <c r="AS447" s="170"/>
      <c r="AT447" s="170"/>
      <c r="AU447" s="170"/>
      <c r="AV447" s="170"/>
      <c r="AW447" s="170"/>
      <c r="AX447" s="170"/>
      <c r="AY447" s="170"/>
      <c r="AZ447" s="169" t="s">
        <v>59</v>
      </c>
      <c r="BA447" s="160">
        <f>(COUNTIF(AJ447:AL447,"*OK*")*3) + (COUNTIF(AM447:AO447,"*OK*")*2) + COUNTIF(AP447:AR447,"*OK*")+COUNTIF(AZ447:AZ447,"SI")*0.5</f>
        <v>0</v>
      </c>
      <c r="BB447" s="160" t="str">
        <f>IF(BA447&lt;0.6,"Demasiado Riesgo",IF(BA447&lt;=5,"Riesgo Medio",IF(BA447&lt;=11,"Riesgo Bajo","Cliente Blindado")))</f>
        <v>Demasiado Riesgo</v>
      </c>
      <c r="BC447" s="160"/>
      <c r="BD447" s="160"/>
      <c r="BE447" s="160">
        <v>0</v>
      </c>
      <c r="BF447" s="160"/>
      <c r="BG447" s="160"/>
      <c r="BH447" s="160"/>
      <c r="BI447" s="160"/>
      <c r="BJ447" s="160"/>
      <c r="BK447" s="160"/>
      <c r="BL447" s="160"/>
      <c r="BM447" s="160"/>
      <c r="BN447" s="160"/>
      <c r="BO447" s="160"/>
      <c r="BP447" s="160"/>
      <c r="BQ447" s="160"/>
      <c r="BR447" s="160"/>
      <c r="BS447" s="162"/>
      <c r="BT447" s="162"/>
      <c r="BU447" s="162"/>
      <c r="BV447" s="235"/>
      <c r="BW447" s="160"/>
      <c r="BX447" s="160"/>
      <c r="BY447" s="160"/>
      <c r="BZ447" s="160"/>
      <c r="CA447" s="160">
        <f>COUNTIF(AJ447:AX447,"*OK*")</f>
        <v>0</v>
      </c>
      <c r="CB447" s="160"/>
      <c r="CC447" s="160">
        <f>COUNTIF(AJ447:AX447,"*OP*")</f>
        <v>1</v>
      </c>
    </row>
    <row r="448" spans="1:81" ht="15" hidden="1" customHeight="1">
      <c r="A448" s="240"/>
      <c r="B448" s="171"/>
      <c r="C448" s="468">
        <f>T448</f>
        <v>1200.46</v>
      </c>
      <c r="D448" s="171">
        <f>COUNTIF(AJ448:AX448,"*OK*")</f>
        <v>0</v>
      </c>
      <c r="E448" s="568"/>
      <c r="F448" s="354" t="s">
        <v>1243</v>
      </c>
      <c r="G448" s="569"/>
      <c r="H448" s="194"/>
      <c r="I448" s="576"/>
      <c r="J448" s="569"/>
      <c r="K448" s="579" t="s">
        <v>79</v>
      </c>
      <c r="L448" s="569" t="s">
        <v>1106</v>
      </c>
      <c r="M448" s="569" t="s">
        <v>135</v>
      </c>
      <c r="N448" s="569"/>
      <c r="O448" s="534">
        <v>1227.06</v>
      </c>
      <c r="P448" s="534">
        <v>1269.21</v>
      </c>
      <c r="Q448" s="534">
        <v>1157.99</v>
      </c>
      <c r="R448" s="252">
        <v>1184.5999999999999</v>
      </c>
      <c r="S448" s="510">
        <v>1204.1803</v>
      </c>
      <c r="T448" s="554">
        <v>1200.46</v>
      </c>
      <c r="U448" s="254"/>
      <c r="V448" s="176">
        <v>4000</v>
      </c>
      <c r="W448" s="194"/>
      <c r="X448" s="177" t="s">
        <v>70</v>
      </c>
      <c r="Y448" s="177" t="s">
        <v>363</v>
      </c>
      <c r="Z448" s="178" t="s">
        <v>1244</v>
      </c>
      <c r="AA448" s="176" t="s">
        <v>59</v>
      </c>
      <c r="AB448" s="178" t="s">
        <v>65</v>
      </c>
      <c r="AC448" s="194" t="s">
        <v>97</v>
      </c>
      <c r="AD448" s="171"/>
      <c r="AE448" s="171" t="s">
        <v>1115</v>
      </c>
      <c r="AF448" s="171"/>
      <c r="AG448" s="171"/>
      <c r="AH448" s="171"/>
      <c r="AI448" s="174" t="s">
        <v>59</v>
      </c>
      <c r="AJ448" s="170"/>
      <c r="AK448" s="170"/>
      <c r="AL448" s="170"/>
      <c r="AM448" s="170"/>
      <c r="AN448" s="170"/>
      <c r="AO448" s="170"/>
      <c r="AP448" s="170"/>
      <c r="AQ448" s="170"/>
      <c r="AR448" s="170"/>
      <c r="AS448" s="170"/>
      <c r="AT448" s="170"/>
      <c r="AU448" s="170"/>
      <c r="AV448" s="170"/>
      <c r="AW448" s="170"/>
      <c r="AX448" s="170"/>
      <c r="AY448" s="170"/>
      <c r="AZ448" s="180" t="s">
        <v>59</v>
      </c>
      <c r="BA448" s="171">
        <f>(COUNTIF(AJ448:AL448,"*OK*")*3) + (COUNTIF(AM448:AO448,"*OK*")*2) + COUNTIF(AP448:AR448,"*OK*")+COUNTIF(AZ448:AZ448,"SI")*0.5</f>
        <v>0</v>
      </c>
      <c r="BB448" s="171" t="str">
        <f>IF(BA448&lt;0.6,"Demasiado Riesgo",IF(BA448&lt;=5,"Riesgo Medio",IF(BA448&lt;=11,"Riesgo Bajo","Cliente Blindado")))</f>
        <v>Demasiado Riesgo</v>
      </c>
      <c r="BC448" s="171"/>
      <c r="BD448" s="171"/>
      <c r="BE448" s="171">
        <v>0</v>
      </c>
      <c r="BF448" s="171"/>
      <c r="BG448" s="171"/>
      <c r="BH448" s="171"/>
      <c r="BI448" s="171"/>
      <c r="BJ448" s="171"/>
      <c r="BK448" s="171"/>
      <c r="BL448" s="171"/>
      <c r="BM448" s="171"/>
      <c r="BN448" s="171"/>
      <c r="BO448" s="171"/>
      <c r="BP448" s="171"/>
      <c r="BQ448" s="171"/>
      <c r="BR448" s="171"/>
      <c r="BS448" s="171"/>
      <c r="BT448" s="171"/>
      <c r="BU448" s="171"/>
      <c r="BV448" s="171"/>
      <c r="BW448" s="171"/>
      <c r="BX448" s="171"/>
      <c r="BY448" s="171"/>
      <c r="BZ448" s="171"/>
      <c r="CA448" s="171">
        <f>COUNTIF(AJ448:AX448,"*OK*")</f>
        <v>0</v>
      </c>
      <c r="CB448" s="171"/>
      <c r="CC448" s="171">
        <f>COUNTIF(AJ448:AX448,"*OP*")</f>
        <v>0</v>
      </c>
    </row>
    <row r="449" spans="1:81" ht="15" hidden="1" customHeight="1">
      <c r="A449" s="240">
        <v>34962</v>
      </c>
      <c r="B449" s="171"/>
      <c r="C449" s="468">
        <f>T449</f>
        <v>1203.32</v>
      </c>
      <c r="D449" s="171">
        <f>COUNTIF(AJ449:AX449,"*OK*")</f>
        <v>0</v>
      </c>
      <c r="E449" s="171"/>
      <c r="F449" s="348" t="s">
        <v>1245</v>
      </c>
      <c r="G449" s="569"/>
      <c r="H449" s="179"/>
      <c r="I449" s="572"/>
      <c r="J449" s="569"/>
      <c r="K449" s="582" t="s">
        <v>79</v>
      </c>
      <c r="L449" s="569" t="s">
        <v>1106</v>
      </c>
      <c r="M449" s="569"/>
      <c r="N449" s="569"/>
      <c r="O449" s="534">
        <v>1148.48</v>
      </c>
      <c r="P449" s="534">
        <v>1220.45</v>
      </c>
      <c r="Q449" s="534">
        <v>1113.3599999999999</v>
      </c>
      <c r="R449" s="252">
        <v>1128.68</v>
      </c>
      <c r="S449" s="510">
        <v>1143.8672999999999</v>
      </c>
      <c r="T449" s="553">
        <v>1203.32</v>
      </c>
      <c r="U449" s="254"/>
      <c r="V449" s="176">
        <v>150</v>
      </c>
      <c r="W449" s="194"/>
      <c r="X449" s="177" t="s">
        <v>70</v>
      </c>
      <c r="Y449" s="177" t="s">
        <v>89</v>
      </c>
      <c r="Z449" s="178" t="s">
        <v>1246</v>
      </c>
      <c r="AA449" s="176" t="s">
        <v>59</v>
      </c>
      <c r="AB449" s="195" t="s">
        <v>159</v>
      </c>
      <c r="AC449" s="179"/>
      <c r="AD449" s="171"/>
      <c r="AE449" s="171"/>
      <c r="AF449" s="171"/>
      <c r="AG449" s="171"/>
      <c r="AH449" s="171"/>
      <c r="AI449" s="174" t="s">
        <v>59</v>
      </c>
      <c r="AJ449" s="170"/>
      <c r="AK449" s="170"/>
      <c r="AL449" s="170"/>
      <c r="AM449" s="170"/>
      <c r="AN449" s="170"/>
      <c r="AO449" s="170"/>
      <c r="AP449" s="170"/>
      <c r="AQ449" s="170"/>
      <c r="AR449" s="170"/>
      <c r="AS449" s="170"/>
      <c r="AT449" s="170"/>
      <c r="AU449" s="170"/>
      <c r="AV449" s="170"/>
      <c r="AW449" s="170"/>
      <c r="AX449" s="170"/>
      <c r="AY449" s="170"/>
      <c r="AZ449" s="180" t="s">
        <v>59</v>
      </c>
      <c r="BA449" s="171">
        <f>(COUNTIF(AJ449:AL449,"*OK*")*3) + (COUNTIF(AM449:AO449,"*OK*")*2) + COUNTIF(AP449:AR449,"*OK*")+COUNTIF(AZ449:AZ449,"SI")*0.5</f>
        <v>0</v>
      </c>
      <c r="BB449" s="171" t="str">
        <f>IF(BA449&lt;0.6,"Demasiado Riesgo",IF(BA449&lt;=5,"Riesgo Medio",IF(BA449&lt;=11,"Riesgo Bajo","Cliente Blindado")))</f>
        <v>Demasiado Riesgo</v>
      </c>
      <c r="BC449" s="171"/>
      <c r="BD449" s="171"/>
      <c r="BE449" s="171">
        <v>0</v>
      </c>
      <c r="BF449" s="171"/>
      <c r="BG449" s="171"/>
      <c r="BH449" s="171"/>
      <c r="BI449" s="171"/>
      <c r="BJ449" s="171"/>
      <c r="BK449" s="171"/>
      <c r="BL449" s="171"/>
      <c r="BM449" s="171"/>
      <c r="BN449" s="171"/>
      <c r="BO449" s="171"/>
      <c r="BP449" s="171"/>
      <c r="BQ449" s="171"/>
      <c r="BR449" s="171"/>
      <c r="BS449" s="171"/>
      <c r="BT449" s="171"/>
      <c r="BU449" s="171"/>
      <c r="BV449" s="171"/>
      <c r="BW449" s="171"/>
      <c r="BX449" s="171"/>
      <c r="BY449" s="171"/>
      <c r="BZ449" s="171"/>
      <c r="CA449" s="171">
        <f>COUNTIF(AJ449:AX449,"*OK*")</f>
        <v>0</v>
      </c>
      <c r="CB449" s="171"/>
      <c r="CC449" s="171">
        <f>COUNTIF(AJ449:AX449,"*OP*")</f>
        <v>0</v>
      </c>
    </row>
    <row r="450" spans="1:81" ht="15" hidden="1" customHeight="1">
      <c r="A450" s="241"/>
      <c r="B450" s="160"/>
      <c r="C450" s="468">
        <f>T450</f>
        <v>1231.8900000000001</v>
      </c>
      <c r="D450" s="160">
        <f>COUNTIF(AJ450:AX450,"*OK*")</f>
        <v>0</v>
      </c>
      <c r="E450" s="160" t="s">
        <v>1122</v>
      </c>
      <c r="F450" s="182" t="s">
        <v>1247</v>
      </c>
      <c r="G450" s="571" t="s">
        <v>1124</v>
      </c>
      <c r="H450" s="187" t="s">
        <v>1248</v>
      </c>
      <c r="I450" s="574"/>
      <c r="J450" s="571"/>
      <c r="K450" s="577" t="s">
        <v>79</v>
      </c>
      <c r="L450" s="571" t="s">
        <v>1106</v>
      </c>
      <c r="M450" s="571"/>
      <c r="N450" s="571"/>
      <c r="O450" s="250" t="s">
        <v>1249</v>
      </c>
      <c r="P450" s="250">
        <v>1242.47</v>
      </c>
      <c r="Q450" s="250">
        <v>1190.68</v>
      </c>
      <c r="R450" s="251">
        <v>1226.73</v>
      </c>
      <c r="S450" s="510">
        <v>1233.9902</v>
      </c>
      <c r="T450" s="583">
        <v>1231.8900000000001</v>
      </c>
      <c r="U450" s="164"/>
      <c r="V450" s="165">
        <v>500</v>
      </c>
      <c r="W450" s="187"/>
      <c r="X450" s="166" t="s">
        <v>253</v>
      </c>
      <c r="Y450" s="166" t="s">
        <v>108</v>
      </c>
      <c r="Z450" s="167" t="s">
        <v>1129</v>
      </c>
      <c r="AA450" s="165" t="s">
        <v>59</v>
      </c>
      <c r="AB450" s="167" t="s">
        <v>65</v>
      </c>
      <c r="AC450" s="187" t="s">
        <v>92</v>
      </c>
      <c r="AD450" s="160"/>
      <c r="AE450" s="160" t="s">
        <v>1121</v>
      </c>
      <c r="AF450" s="160"/>
      <c r="AG450" s="160"/>
      <c r="AH450" s="160"/>
      <c r="AI450" s="163" t="s">
        <v>59</v>
      </c>
      <c r="AJ450" s="170"/>
      <c r="AK450" s="170"/>
      <c r="AL450" s="170"/>
      <c r="AM450" s="170"/>
      <c r="AN450" s="170"/>
      <c r="AO450" s="170"/>
      <c r="AP450" s="170"/>
      <c r="AQ450" s="170"/>
      <c r="AR450" s="170"/>
      <c r="AS450" s="170"/>
      <c r="AT450" s="170"/>
      <c r="AU450" s="170"/>
      <c r="AV450" s="170"/>
      <c r="AW450" s="170"/>
      <c r="AX450" s="170"/>
      <c r="AY450" s="170"/>
      <c r="AZ450" s="169" t="s">
        <v>59</v>
      </c>
      <c r="BA450" s="160">
        <f>(COUNTIF(AJ450:AL450,"*OK*")*3) + (COUNTIF(AM450:AO450,"*OK*")*2) + COUNTIF(AP450:AR450,"*OK*")+COUNTIF(AZ450:AZ450,"SI")*0.5</f>
        <v>0</v>
      </c>
      <c r="BB450" s="160" t="str">
        <f>IF(BA450&lt;0.6,"Demasiado Riesgo",IF(BA450&lt;=5,"Riesgo Medio",IF(BA450&lt;=11,"Riesgo Bajo","Cliente Blindado")))</f>
        <v>Demasiado Riesgo</v>
      </c>
      <c r="BC450" s="160"/>
      <c r="BD450" s="160"/>
      <c r="BE450" s="160">
        <v>0</v>
      </c>
      <c r="BF450" s="160"/>
      <c r="BG450" s="160"/>
      <c r="BH450" s="160"/>
      <c r="BI450" s="160"/>
      <c r="BJ450" s="160"/>
      <c r="BK450" s="160"/>
      <c r="BL450" s="160"/>
      <c r="BM450" s="160"/>
      <c r="BN450" s="160"/>
      <c r="BO450" s="160"/>
      <c r="BP450" s="160"/>
      <c r="BQ450" s="160"/>
      <c r="BR450" s="160"/>
      <c r="BS450" s="160"/>
      <c r="BT450" s="160"/>
      <c r="BU450" s="160"/>
      <c r="BV450" s="160"/>
      <c r="BW450" s="160"/>
      <c r="BX450" s="160"/>
      <c r="BY450" s="160"/>
      <c r="BZ450" s="160"/>
      <c r="CA450" s="160">
        <f>COUNTIF(AJ450:AX450,"*OK*")</f>
        <v>0</v>
      </c>
      <c r="CB450" s="160"/>
      <c r="CC450" s="160">
        <f>COUNTIF(AJ450:AX450,"*OP*")</f>
        <v>0</v>
      </c>
    </row>
    <row r="451" spans="1:81" ht="15" hidden="1" customHeight="1">
      <c r="A451" s="241">
        <v>21150</v>
      </c>
      <c r="B451" s="160"/>
      <c r="C451" s="468">
        <f>T451</f>
        <v>1250</v>
      </c>
      <c r="D451" s="160">
        <f>COUNTIF(AJ451:AX451,"*OK*")</f>
        <v>0</v>
      </c>
      <c r="E451" s="160"/>
      <c r="F451" s="245" t="s">
        <v>1250</v>
      </c>
      <c r="G451" s="182"/>
      <c r="H451" s="187" t="s">
        <v>1251</v>
      </c>
      <c r="I451" s="187"/>
      <c r="J451" s="182"/>
      <c r="K451" s="196" t="s">
        <v>79</v>
      </c>
      <c r="L451" s="182" t="s">
        <v>1106</v>
      </c>
      <c r="M451" s="182"/>
      <c r="N451" s="182"/>
      <c r="O451" s="250">
        <v>1359.76</v>
      </c>
      <c r="P451" s="250">
        <v>1358.51</v>
      </c>
      <c r="Q451" s="250">
        <v>1294.6400000000001</v>
      </c>
      <c r="R451" s="251">
        <v>1336.32</v>
      </c>
      <c r="S451" s="510">
        <v>1288</v>
      </c>
      <c r="T451" s="560">
        <v>1250</v>
      </c>
      <c r="U451" s="164"/>
      <c r="V451" s="165">
        <v>300</v>
      </c>
      <c r="W451" s="187"/>
      <c r="X451" s="166" t="s">
        <v>70</v>
      </c>
      <c r="Y451" s="166" t="s">
        <v>80</v>
      </c>
      <c r="Z451" s="167" t="s">
        <v>1252</v>
      </c>
      <c r="AA451" s="165" t="s">
        <v>59</v>
      </c>
      <c r="AB451" s="167" t="s">
        <v>119</v>
      </c>
      <c r="AC451" s="187" t="s">
        <v>92</v>
      </c>
      <c r="AD451" s="160"/>
      <c r="AE451" s="160" t="s">
        <v>1108</v>
      </c>
      <c r="AF451" s="160"/>
      <c r="AG451" s="160"/>
      <c r="AH451" s="160"/>
      <c r="AI451" s="163" t="s">
        <v>59</v>
      </c>
      <c r="AJ451" s="170"/>
      <c r="AK451" s="170"/>
      <c r="AL451" s="170" t="s">
        <v>173</v>
      </c>
      <c r="AM451" s="170" t="s">
        <v>173</v>
      </c>
      <c r="AN451" s="170"/>
      <c r="AO451" s="170"/>
      <c r="AP451" s="170"/>
      <c r="AQ451" s="170" t="s">
        <v>173</v>
      </c>
      <c r="AR451" s="170"/>
      <c r="AS451" s="170"/>
      <c r="AT451" s="170"/>
      <c r="AU451" s="170"/>
      <c r="AV451" s="170"/>
      <c r="AW451" s="170"/>
      <c r="AX451" s="170"/>
      <c r="AY451" s="170"/>
      <c r="AZ451" s="169" t="s">
        <v>59</v>
      </c>
      <c r="BA451" s="160">
        <f>(COUNTIF(AJ451:AL451,"*OK*")*3) + (COUNTIF(AM451:AO451,"*OK*")*2) + COUNTIF(AP451:AR451,"*OK*")+COUNTIF(AZ451:AZ451,"SI")*0.5</f>
        <v>0</v>
      </c>
      <c r="BB451" s="160" t="str">
        <f>IF(BA451&lt;0.6,"Demasiado Riesgo",IF(BA451&lt;=5,"Riesgo Medio",IF(BA451&lt;=11,"Riesgo Bajo","Cliente Blindado")))</f>
        <v>Demasiado Riesgo</v>
      </c>
      <c r="BC451" s="160"/>
      <c r="BD451" s="160"/>
      <c r="BE451" s="160">
        <v>0</v>
      </c>
      <c r="BF451" s="160"/>
      <c r="BG451" s="160"/>
      <c r="BH451" s="160"/>
      <c r="BI451" s="160"/>
      <c r="BJ451" s="160"/>
      <c r="BK451" s="160"/>
      <c r="BL451" s="160"/>
      <c r="BM451" s="160"/>
      <c r="BN451" s="160"/>
      <c r="BO451" s="160"/>
      <c r="BP451" s="160"/>
      <c r="BQ451" s="160"/>
      <c r="BR451" s="160"/>
      <c r="BS451" s="160"/>
      <c r="BT451" s="160"/>
      <c r="BU451" s="160"/>
      <c r="BV451" s="160"/>
      <c r="BW451" s="160"/>
      <c r="BX451" s="160"/>
      <c r="BY451" s="160"/>
      <c r="BZ451" s="160"/>
      <c r="CA451" s="160">
        <f>COUNTIF(AJ451:AX451,"*OK*")</f>
        <v>0</v>
      </c>
      <c r="CB451" s="160"/>
      <c r="CC451" s="160">
        <f>COUNTIF(AJ451:AX451,"*OP*")</f>
        <v>3</v>
      </c>
    </row>
    <row r="452" spans="1:81" ht="15" hidden="1" customHeight="1">
      <c r="A452" s="500"/>
      <c r="B452" s="173"/>
      <c r="C452" s="468">
        <f>T452</f>
        <v>1306.57</v>
      </c>
      <c r="D452" s="171">
        <f>COUNTIF(AJ452:AX452,"*OK*")</f>
        <v>1</v>
      </c>
      <c r="E452" s="171"/>
      <c r="F452" s="191" t="s">
        <v>1253</v>
      </c>
      <c r="G452" s="183"/>
      <c r="H452" s="179"/>
      <c r="I452" s="179"/>
      <c r="J452" s="183"/>
      <c r="K452" s="183" t="s">
        <v>79</v>
      </c>
      <c r="L452" s="183" t="s">
        <v>1106</v>
      </c>
      <c r="M452" s="183"/>
      <c r="N452" s="183"/>
      <c r="O452" s="534">
        <v>1262.51</v>
      </c>
      <c r="P452" s="534">
        <v>1310.1500000000001</v>
      </c>
      <c r="Q452" s="534">
        <v>1213.82</v>
      </c>
      <c r="R452" s="252">
        <v>1280.31</v>
      </c>
      <c r="S452" s="510">
        <v>1316.7761</v>
      </c>
      <c r="T452" s="561">
        <v>1306.57</v>
      </c>
      <c r="U452" s="175"/>
      <c r="V452" s="176">
        <v>400</v>
      </c>
      <c r="W452" s="194"/>
      <c r="X452" s="177" t="s">
        <v>70</v>
      </c>
      <c r="Y452" s="177" t="s">
        <v>235</v>
      </c>
      <c r="Z452" s="178" t="s">
        <v>1254</v>
      </c>
      <c r="AA452" s="176" t="s">
        <v>1255</v>
      </c>
      <c r="AB452" s="178" t="s">
        <v>172</v>
      </c>
      <c r="AC452" s="179" t="s">
        <v>84</v>
      </c>
      <c r="AD452" s="171"/>
      <c r="AE452" s="171"/>
      <c r="AF452" s="171"/>
      <c r="AG452" s="171"/>
      <c r="AH452" s="171"/>
      <c r="AI452" s="174" t="s">
        <v>59</v>
      </c>
      <c r="AJ452" s="170"/>
      <c r="AK452" s="170"/>
      <c r="AL452" s="170" t="s">
        <v>111</v>
      </c>
      <c r="AM452" s="170"/>
      <c r="AN452" s="170"/>
      <c r="AO452" s="170"/>
      <c r="AP452" s="170"/>
      <c r="AQ452" s="170"/>
      <c r="AR452" s="170"/>
      <c r="AS452" s="170"/>
      <c r="AT452" s="170"/>
      <c r="AU452" s="170"/>
      <c r="AV452" s="170"/>
      <c r="AW452" s="170"/>
      <c r="AX452" s="170"/>
      <c r="AY452" s="170"/>
      <c r="AZ452" s="180" t="s">
        <v>59</v>
      </c>
      <c r="BA452" s="171">
        <f>(COUNTIF(AJ452:AL452,"*OK*")*3) + (COUNTIF(AM452:AO452,"*OK*")*2) + COUNTIF(AP452:AR452,"*OK*")+COUNTIF(AZ452:AZ452,"SI")*0.5</f>
        <v>3</v>
      </c>
      <c r="BB452" s="171" t="str">
        <f>IF(BA452&lt;0.6,"Demasiado Riesgo",IF(BA452&lt;=5,"Riesgo Medio",IF(BA452&lt;=11,"Riesgo Bajo","Cliente Blindado")))</f>
        <v>Riesgo Medio</v>
      </c>
      <c r="BC452" s="171"/>
      <c r="BD452" s="171"/>
      <c r="BE452" s="171">
        <v>0</v>
      </c>
      <c r="BF452" s="171"/>
      <c r="BG452" s="171"/>
      <c r="BH452" s="171"/>
      <c r="BI452" s="171"/>
      <c r="BJ452" s="171"/>
      <c r="BK452" s="171"/>
      <c r="BL452" s="171"/>
      <c r="BM452" s="171"/>
      <c r="BN452" s="171"/>
      <c r="BO452" s="171"/>
      <c r="BP452" s="171"/>
      <c r="BQ452" s="171"/>
      <c r="BR452" s="171"/>
      <c r="BS452" s="171"/>
      <c r="BT452" s="171"/>
      <c r="BU452" s="171"/>
      <c r="BV452" s="171"/>
      <c r="BW452" s="171"/>
      <c r="BX452" s="171"/>
      <c r="BY452" s="171"/>
      <c r="BZ452" s="171"/>
      <c r="CA452" s="171">
        <f>COUNTIF(AJ452:AX452,"*OK*")</f>
        <v>1</v>
      </c>
      <c r="CB452" s="171"/>
      <c r="CC452" s="171">
        <f>COUNTIF(AJ452:AX452,"*OP*")</f>
        <v>0</v>
      </c>
    </row>
    <row r="453" spans="1:81" ht="15" hidden="1" customHeight="1">
      <c r="A453" s="241">
        <v>21541</v>
      </c>
      <c r="B453" s="160"/>
      <c r="C453" s="468">
        <f>T453</f>
        <v>1321.19</v>
      </c>
      <c r="D453" s="160">
        <f>COUNTIF(AJ453:AX453,"*OK*")</f>
        <v>0</v>
      </c>
      <c r="E453" s="160"/>
      <c r="F453" s="197" t="s">
        <v>1256</v>
      </c>
      <c r="G453" s="182" t="s">
        <v>1110</v>
      </c>
      <c r="H453" s="187" t="s">
        <v>578</v>
      </c>
      <c r="I453" s="187"/>
      <c r="J453" s="182"/>
      <c r="K453" s="196" t="s">
        <v>79</v>
      </c>
      <c r="L453" s="182" t="s">
        <v>1106</v>
      </c>
      <c r="M453" s="182"/>
      <c r="N453" s="182"/>
      <c r="O453" s="250">
        <v>1170.52</v>
      </c>
      <c r="P453" s="250">
        <v>1169.45</v>
      </c>
      <c r="Q453" s="250">
        <v>1114.47</v>
      </c>
      <c r="R453" s="251">
        <v>1150.3399999999999</v>
      </c>
      <c r="S453" s="510">
        <v>2046.1938</v>
      </c>
      <c r="T453" s="560">
        <v>1321.19</v>
      </c>
      <c r="U453" s="164"/>
      <c r="V453" s="165">
        <v>200</v>
      </c>
      <c r="W453" s="187"/>
      <c r="X453" s="166" t="s">
        <v>70</v>
      </c>
      <c r="Y453" s="166" t="s">
        <v>243</v>
      </c>
      <c r="Z453" s="167" t="s">
        <v>1257</v>
      </c>
      <c r="AA453" s="165" t="s">
        <v>59</v>
      </c>
      <c r="AB453" s="167" t="s">
        <v>65</v>
      </c>
      <c r="AC453" s="187" t="s">
        <v>97</v>
      </c>
      <c r="AD453" s="160"/>
      <c r="AE453" s="160" t="s">
        <v>1108</v>
      </c>
      <c r="AF453" s="160"/>
      <c r="AG453" s="160"/>
      <c r="AH453" s="160" t="s">
        <v>1258</v>
      </c>
      <c r="AI453" s="163" t="s">
        <v>59</v>
      </c>
      <c r="AJ453" s="170" t="s">
        <v>1259</v>
      </c>
      <c r="AK453" s="170"/>
      <c r="AL453" s="170" t="s">
        <v>654</v>
      </c>
      <c r="AM453" s="170"/>
      <c r="AN453" s="170"/>
      <c r="AO453" s="170"/>
      <c r="AP453" s="170" t="s">
        <v>1260</v>
      </c>
      <c r="AQ453" s="170"/>
      <c r="AR453" s="170"/>
      <c r="AS453" s="170"/>
      <c r="AT453" s="170"/>
      <c r="AU453" s="170"/>
      <c r="AV453" s="170"/>
      <c r="AW453" s="170"/>
      <c r="AX453" s="170"/>
      <c r="AY453" s="170"/>
      <c r="AZ453" s="169" t="s">
        <v>59</v>
      </c>
      <c r="BA453" s="160">
        <f>(COUNTIF(AJ453:AL453,"*OK*")*3) + (COUNTIF(AM453:AO453,"*OK*")*2) + COUNTIF(AP453:AR453,"*OK*")+COUNTIF(AZ453:AZ453,"SI")*0.5</f>
        <v>0</v>
      </c>
      <c r="BB453" s="160" t="str">
        <f>IF(BA453&lt;0.6,"Demasiado Riesgo",IF(BA453&lt;=5,"Riesgo Medio",IF(BA453&lt;=11,"Riesgo Bajo","Cliente Blindado")))</f>
        <v>Demasiado Riesgo</v>
      </c>
      <c r="BC453" s="160"/>
      <c r="BD453" s="160"/>
      <c r="BE453" s="160">
        <v>0</v>
      </c>
      <c r="BF453" s="160"/>
      <c r="BG453" s="160"/>
      <c r="BH453" s="160"/>
      <c r="BI453" s="160"/>
      <c r="BJ453" s="160"/>
      <c r="BK453" s="160"/>
      <c r="BL453" s="160"/>
      <c r="BM453" s="160"/>
      <c r="BN453" s="160"/>
      <c r="BO453" s="160"/>
      <c r="BP453" s="160"/>
      <c r="BQ453" s="160"/>
      <c r="BR453" s="160"/>
      <c r="BS453" s="160"/>
      <c r="BT453" s="160"/>
      <c r="BU453" s="160"/>
      <c r="BV453" s="160"/>
      <c r="BW453" s="160"/>
      <c r="BX453" s="160"/>
      <c r="BY453" s="160"/>
      <c r="BZ453" s="160"/>
      <c r="CA453" s="160">
        <f>COUNTIF(AJ453:AX453,"*OK*")</f>
        <v>0</v>
      </c>
      <c r="CB453" s="160"/>
      <c r="CC453" s="160">
        <f>COUNTIF(AJ453:AX453,"*OP*")</f>
        <v>2</v>
      </c>
    </row>
    <row r="454" spans="1:81" ht="15" hidden="1" customHeight="1">
      <c r="A454" s="500">
        <v>26081</v>
      </c>
      <c r="B454" s="173"/>
      <c r="C454" s="468">
        <f>T454</f>
        <v>1353.09</v>
      </c>
      <c r="D454" s="171">
        <f>COUNTIF(AJ454:AX454,"*OK*")</f>
        <v>1</v>
      </c>
      <c r="E454" s="171"/>
      <c r="F454" s="183" t="s">
        <v>1261</v>
      </c>
      <c r="G454" s="183"/>
      <c r="H454" s="194"/>
      <c r="I454" s="194"/>
      <c r="J454" s="183"/>
      <c r="K454" s="198" t="s">
        <v>79</v>
      </c>
      <c r="L454" s="183" t="s">
        <v>1106</v>
      </c>
      <c r="M454" s="183"/>
      <c r="N454" s="183"/>
      <c r="O454" s="534">
        <v>1333.25</v>
      </c>
      <c r="P454" s="534">
        <v>1406.47</v>
      </c>
      <c r="Q454" s="534">
        <v>1356.38</v>
      </c>
      <c r="R454" s="252">
        <v>1365.71</v>
      </c>
      <c r="S454" s="510">
        <v>1402.0427999999999</v>
      </c>
      <c r="T454" s="561">
        <v>1353.09</v>
      </c>
      <c r="U454" s="175"/>
      <c r="V454" s="176">
        <v>1500</v>
      </c>
      <c r="W454" s="194"/>
      <c r="X454" s="177" t="s">
        <v>834</v>
      </c>
      <c r="Y454" s="177" t="s">
        <v>80</v>
      </c>
      <c r="Z454" s="178" t="s">
        <v>1262</v>
      </c>
      <c r="AA454" s="176" t="s">
        <v>59</v>
      </c>
      <c r="AB454" s="178" t="s">
        <v>104</v>
      </c>
      <c r="AC454" s="194" t="s">
        <v>97</v>
      </c>
      <c r="AD454" s="171"/>
      <c r="AE454" s="171" t="s">
        <v>1108</v>
      </c>
      <c r="AF454" s="171"/>
      <c r="AG454" s="171"/>
      <c r="AH454" s="171"/>
      <c r="AI454" s="174" t="s">
        <v>127</v>
      </c>
      <c r="AJ454" s="170"/>
      <c r="AK454" s="170"/>
      <c r="AL454" s="170"/>
      <c r="AM454" s="170" t="s">
        <v>613</v>
      </c>
      <c r="AN454" s="170"/>
      <c r="AO454" s="170"/>
      <c r="AP454" s="170"/>
      <c r="AQ454" s="189" t="s">
        <v>111</v>
      </c>
      <c r="AR454" s="170"/>
      <c r="AS454" s="170"/>
      <c r="AT454" s="170"/>
      <c r="AU454" s="170"/>
      <c r="AV454" s="170"/>
      <c r="AW454" s="170"/>
      <c r="AX454" s="170"/>
      <c r="AY454" s="170"/>
      <c r="AZ454" s="180" t="s">
        <v>178</v>
      </c>
      <c r="BA454" s="171">
        <f>(COUNTIF(AJ454:AL454,"*OK*")*3) + (COUNTIF(AM454:AO454,"*OK*")*2) + COUNTIF(AP454:AR454,"*OK*")+COUNTIF(AZ454:AZ454,"SI")*0.5</f>
        <v>1</v>
      </c>
      <c r="BB454" s="171" t="str">
        <f>IF(BA454&lt;0.6,"Demasiado Riesgo",IF(BA454&lt;=5,"Riesgo Medio",IF(BA454&lt;=11,"Riesgo Bajo","Cliente Blindado")))</f>
        <v>Riesgo Medio</v>
      </c>
      <c r="BC454" s="171" t="s">
        <v>1263</v>
      </c>
      <c r="BD454" s="171"/>
      <c r="BE454" s="171">
        <v>0</v>
      </c>
      <c r="BF454" s="171"/>
      <c r="BG454" s="171"/>
      <c r="BH454" s="171"/>
      <c r="BI454" s="171"/>
      <c r="BJ454" s="171"/>
      <c r="BK454" s="171"/>
      <c r="BL454" s="171"/>
      <c r="BM454" s="171"/>
      <c r="BN454" s="171"/>
      <c r="BO454" s="171"/>
      <c r="BP454" s="171"/>
      <c r="BQ454" s="171"/>
      <c r="BR454" s="171"/>
      <c r="BS454" s="171"/>
      <c r="BT454" s="171"/>
      <c r="BU454" s="171"/>
      <c r="BV454" s="171"/>
      <c r="BW454" s="171"/>
      <c r="BX454" s="171"/>
      <c r="BY454" s="171"/>
      <c r="BZ454" s="171"/>
      <c r="CA454" s="171">
        <f>COUNTIF(AJ454:AX454,"*OK*")</f>
        <v>1</v>
      </c>
      <c r="CB454" s="171"/>
      <c r="CC454" s="171">
        <f>COUNTIF(AJ454:AX454,"*OP*")</f>
        <v>1</v>
      </c>
    </row>
    <row r="455" spans="1:81" ht="15" hidden="1" customHeight="1">
      <c r="A455" s="241">
        <v>17458</v>
      </c>
      <c r="B455" s="160"/>
      <c r="C455" s="468">
        <f>T455</f>
        <v>1417.5</v>
      </c>
      <c r="D455" s="160">
        <f>COUNTIF(AJ455:AX455,"*OK*")</f>
        <v>1</v>
      </c>
      <c r="E455" s="160"/>
      <c r="F455" s="182" t="s">
        <v>1264</v>
      </c>
      <c r="G455" s="182"/>
      <c r="H455" s="187"/>
      <c r="I455" s="187"/>
      <c r="J455" s="182"/>
      <c r="K455" s="196" t="s">
        <v>79</v>
      </c>
      <c r="L455" s="182" t="s">
        <v>1106</v>
      </c>
      <c r="M455" s="182" t="s">
        <v>135</v>
      </c>
      <c r="N455" s="182" t="s">
        <v>136</v>
      </c>
      <c r="O455" s="250">
        <v>1417.5</v>
      </c>
      <c r="P455" s="250">
        <v>1417.5</v>
      </c>
      <c r="Q455" s="250">
        <v>1417.5</v>
      </c>
      <c r="R455" s="251">
        <v>1417.5</v>
      </c>
      <c r="S455" s="510">
        <v>1417.5</v>
      </c>
      <c r="T455" s="560">
        <v>1417.5</v>
      </c>
      <c r="U455" s="164"/>
      <c r="V455" s="165">
        <v>800</v>
      </c>
      <c r="W455" s="187"/>
      <c r="X455" s="166" t="s">
        <v>70</v>
      </c>
      <c r="Y455" s="166" t="s">
        <v>89</v>
      </c>
      <c r="Z455" s="167" t="s">
        <v>1265</v>
      </c>
      <c r="AA455" s="165" t="s">
        <v>59</v>
      </c>
      <c r="AB455" s="167" t="s">
        <v>65</v>
      </c>
      <c r="AC455" s="187" t="s">
        <v>97</v>
      </c>
      <c r="AD455" s="160"/>
      <c r="AE455" s="160" t="s">
        <v>1121</v>
      </c>
      <c r="AF455" s="160"/>
      <c r="AG455" s="160"/>
      <c r="AH455" s="160"/>
      <c r="AI455" s="163" t="s">
        <v>59</v>
      </c>
      <c r="AJ455" s="170"/>
      <c r="AK455" s="170"/>
      <c r="AL455" s="170"/>
      <c r="AM455" s="170" t="s">
        <v>617</v>
      </c>
      <c r="AN455" s="170"/>
      <c r="AO455" s="170"/>
      <c r="AP455" s="170"/>
      <c r="AQ455" s="170"/>
      <c r="AR455" s="170" t="s">
        <v>654</v>
      </c>
      <c r="AS455" s="170"/>
      <c r="AT455" s="170"/>
      <c r="AU455" s="170"/>
      <c r="AV455" s="170"/>
      <c r="AW455" s="170"/>
      <c r="AX455" s="170"/>
      <c r="AY455" s="170" t="s">
        <v>613</v>
      </c>
      <c r="AZ455" s="169" t="s">
        <v>178</v>
      </c>
      <c r="BA455" s="160">
        <f>(COUNTIF(AJ455:AL455,"*OK*")*3) + (COUNTIF(AM455:AO455,"*OK*")*2) + COUNTIF(AP455:AR455,"*OK*")+COUNTIF(AZ455:AZ455,"SI")*0.5</f>
        <v>2</v>
      </c>
      <c r="BB455" s="160" t="str">
        <f>IF(BA455&lt;0.6,"Demasiado Riesgo",IF(BA455&lt;=5,"Riesgo Medio",IF(BA455&lt;=11,"Riesgo Bajo","Cliente Blindado")))</f>
        <v>Riesgo Medio</v>
      </c>
      <c r="BC455" s="160"/>
      <c r="BD455" s="160"/>
      <c r="BE455" s="160">
        <v>0</v>
      </c>
      <c r="BF455" s="160"/>
      <c r="BG455" s="160"/>
      <c r="BH455" s="160"/>
      <c r="BI455" s="160"/>
      <c r="BJ455" s="160"/>
      <c r="BK455" s="160"/>
      <c r="BL455" s="160"/>
      <c r="BM455" s="160"/>
      <c r="BN455" s="160"/>
      <c r="BO455" s="160"/>
      <c r="BP455" s="160"/>
      <c r="BQ455" s="160"/>
      <c r="BR455" s="160"/>
      <c r="BS455" s="160"/>
      <c r="BT455" s="160"/>
      <c r="BU455" s="160"/>
      <c r="BV455" s="160"/>
      <c r="BW455" s="160"/>
      <c r="BX455" s="160"/>
      <c r="BY455" s="160"/>
      <c r="BZ455" s="160"/>
      <c r="CA455" s="160">
        <f>COUNTIF(AJ455:AX455,"*OK*")</f>
        <v>1</v>
      </c>
      <c r="CB455" s="160"/>
      <c r="CC455" s="160">
        <f>COUNTIF(AJ455:AX455,"*OP*")</f>
        <v>1</v>
      </c>
    </row>
    <row r="456" spans="1:81" ht="15" hidden="1" customHeight="1">
      <c r="A456" s="240">
        <v>24950</v>
      </c>
      <c r="B456" s="171"/>
      <c r="C456" s="468">
        <f>T456</f>
        <v>1505.86</v>
      </c>
      <c r="D456" s="171">
        <f>COUNTIF(AJ456:AX456,"*OK*")</f>
        <v>2</v>
      </c>
      <c r="E456" s="171"/>
      <c r="F456" s="424" t="s">
        <v>1266</v>
      </c>
      <c r="G456" s="183"/>
      <c r="H456" s="234" t="s">
        <v>1267</v>
      </c>
      <c r="I456" s="234"/>
      <c r="J456" s="183"/>
      <c r="K456" s="198" t="s">
        <v>79</v>
      </c>
      <c r="L456" s="183" t="s">
        <v>1106</v>
      </c>
      <c r="M456" s="183"/>
      <c r="N456" s="183" t="s">
        <v>136</v>
      </c>
      <c r="O456" s="534">
        <v>1287.8</v>
      </c>
      <c r="P456" s="534">
        <v>1324.06</v>
      </c>
      <c r="Q456" s="534">
        <v>1313.45</v>
      </c>
      <c r="R456" s="252">
        <v>1206.49</v>
      </c>
      <c r="S456" s="510">
        <v>1212.9037000000001</v>
      </c>
      <c r="T456" s="563">
        <v>1505.86</v>
      </c>
      <c r="U456" s="175">
        <v>1117</v>
      </c>
      <c r="V456" s="176">
        <v>1500</v>
      </c>
      <c r="W456" s="194"/>
      <c r="X456" s="177" t="s">
        <v>834</v>
      </c>
      <c r="Y456" s="177" t="s">
        <v>141</v>
      </c>
      <c r="Z456" s="178" t="s">
        <v>1268</v>
      </c>
      <c r="AA456" s="176" t="s">
        <v>59</v>
      </c>
      <c r="AB456" s="178" t="s">
        <v>65</v>
      </c>
      <c r="AC456" s="194" t="s">
        <v>97</v>
      </c>
      <c r="AD456" s="171"/>
      <c r="AE456" s="171" t="s">
        <v>1108</v>
      </c>
      <c r="AF456" s="171"/>
      <c r="AG456" s="171"/>
      <c r="AH456" s="171" t="s">
        <v>1269</v>
      </c>
      <c r="AI456" s="174" t="s">
        <v>127</v>
      </c>
      <c r="AJ456" s="170" t="s">
        <v>173</v>
      </c>
      <c r="AK456" s="170"/>
      <c r="AL456" s="189" t="s">
        <v>111</v>
      </c>
      <c r="AM456" s="170" t="s">
        <v>173</v>
      </c>
      <c r="AN456" s="170" t="s">
        <v>111</v>
      </c>
      <c r="AO456" s="170"/>
      <c r="AP456" s="170"/>
      <c r="AQ456" s="170"/>
      <c r="AR456" s="170"/>
      <c r="AS456" s="170"/>
      <c r="AT456" s="170"/>
      <c r="AU456" s="170"/>
      <c r="AV456" s="170"/>
      <c r="AW456" s="170"/>
      <c r="AX456" s="170"/>
      <c r="AY456" s="170"/>
      <c r="AZ456" s="180" t="s">
        <v>178</v>
      </c>
      <c r="BA456" s="171">
        <f>(COUNTIF(AJ456:AL456,"*OK*")*3) + (COUNTIF(AM456:AO456,"*OK*")*2) + COUNTIF(AP456:AR456,"*OK*")+COUNTIF(AZ456:AZ456,"SI")*0.5</f>
        <v>5</v>
      </c>
      <c r="BB456" s="171" t="str">
        <f>IF(BA456&lt;0.6,"Demasiado Riesgo",IF(BA456&lt;=5,"Riesgo Medio",IF(BA456&lt;=11,"Riesgo Bajo","Cliente Blindado")))</f>
        <v>Riesgo Medio</v>
      </c>
      <c r="BC456" s="171"/>
      <c r="BD456" s="171"/>
      <c r="BE456" s="171">
        <v>0</v>
      </c>
      <c r="BF456" s="171"/>
      <c r="BG456" s="171"/>
      <c r="BH456" s="171"/>
      <c r="BI456" s="171"/>
      <c r="BJ456" s="171"/>
      <c r="BK456" s="171"/>
      <c r="BL456" s="171"/>
      <c r="BM456" s="171"/>
      <c r="BN456" s="171"/>
      <c r="BO456" s="171"/>
      <c r="BP456" s="171"/>
      <c r="BQ456" s="171"/>
      <c r="BR456" s="171"/>
      <c r="BS456" s="171"/>
      <c r="BT456" s="171"/>
      <c r="BU456" s="171"/>
      <c r="BV456" s="171"/>
      <c r="BW456" s="171"/>
      <c r="BX456" s="171"/>
      <c r="BY456" s="171"/>
      <c r="BZ456" s="171"/>
      <c r="CA456" s="171">
        <f>COUNTIF(AJ456:AX456,"*OK*")</f>
        <v>2</v>
      </c>
      <c r="CB456" s="171"/>
      <c r="CC456" s="171">
        <f>COUNTIF(AJ456:AX456,"*OP*")</f>
        <v>2</v>
      </c>
    </row>
    <row r="457" spans="1:81" ht="15" hidden="1" customHeight="1">
      <c r="A457" s="240">
        <v>21102</v>
      </c>
      <c r="B457" s="171"/>
      <c r="C457" s="468">
        <f>T457</f>
        <v>1633.05</v>
      </c>
      <c r="D457" s="171">
        <f>COUNTIF(AJ457:AX457,"*OK*")</f>
        <v>2</v>
      </c>
      <c r="E457" s="171"/>
      <c r="F457" s="258" t="s">
        <v>1270</v>
      </c>
      <c r="G457" s="183"/>
      <c r="H457" s="194"/>
      <c r="I457" s="194"/>
      <c r="J457" s="183"/>
      <c r="K457" s="198" t="s">
        <v>79</v>
      </c>
      <c r="L457" s="183" t="s">
        <v>1106</v>
      </c>
      <c r="M457" s="183"/>
      <c r="N457" s="183"/>
      <c r="O457" s="534">
        <v>1627.97</v>
      </c>
      <c r="P457" s="534">
        <v>1653.86</v>
      </c>
      <c r="Q457" s="534">
        <v>1582.48</v>
      </c>
      <c r="R457" s="252">
        <v>1628.98</v>
      </c>
      <c r="S457" s="510">
        <v>1660.2541000000001</v>
      </c>
      <c r="T457" s="561">
        <v>1633.05</v>
      </c>
      <c r="U457" s="175"/>
      <c r="V457" s="176">
        <v>800</v>
      </c>
      <c r="W457" s="194"/>
      <c r="X457" s="177" t="s">
        <v>253</v>
      </c>
      <c r="Y457" s="177" t="s">
        <v>80</v>
      </c>
      <c r="Z457" s="178" t="s">
        <v>1271</v>
      </c>
      <c r="AA457" s="176" t="s">
        <v>59</v>
      </c>
      <c r="AB457" s="178" t="s">
        <v>104</v>
      </c>
      <c r="AC457" s="194" t="s">
        <v>92</v>
      </c>
      <c r="AD457" s="171"/>
      <c r="AE457" s="171" t="s">
        <v>1108</v>
      </c>
      <c r="AF457" s="171"/>
      <c r="AG457" s="171"/>
      <c r="AH457" s="171"/>
      <c r="AI457" s="174" t="s">
        <v>127</v>
      </c>
      <c r="AJ457" s="170"/>
      <c r="AK457" s="170"/>
      <c r="AL457" s="170"/>
      <c r="AM457" s="170"/>
      <c r="AN457" s="170"/>
      <c r="AO457" s="170"/>
      <c r="AP457" s="170"/>
      <c r="AQ457" s="170" t="s">
        <v>111</v>
      </c>
      <c r="AR457" s="170"/>
      <c r="AS457" s="170"/>
      <c r="AT457" s="170"/>
      <c r="AU457" s="170" t="s">
        <v>111</v>
      </c>
      <c r="AV457" s="170"/>
      <c r="AW457" s="170"/>
      <c r="AX457" s="170"/>
      <c r="AY457" s="170"/>
      <c r="AZ457" s="180" t="s">
        <v>59</v>
      </c>
      <c r="BA457" s="171">
        <f>(COUNTIF(AJ457:AL457,"*OK*")*3) + (COUNTIF(AM457:AO457,"*OK*")*2) + COUNTIF(AP457:AR457,"*OK*")+COUNTIF(AZ457:AZ457,"SI")*0.5</f>
        <v>1</v>
      </c>
      <c r="BB457" s="171" t="str">
        <f>IF(BA457&lt;0.6,"Demasiado Riesgo",IF(BA457&lt;=5,"Riesgo Medio",IF(BA457&lt;=11,"Riesgo Bajo","Cliente Blindado")))</f>
        <v>Riesgo Medio</v>
      </c>
      <c r="BC457" s="171" t="s">
        <v>1263</v>
      </c>
      <c r="BD457" s="171"/>
      <c r="BE457" s="171">
        <v>0</v>
      </c>
      <c r="BF457" s="171"/>
      <c r="BG457" s="171"/>
      <c r="BH457" s="171"/>
      <c r="BI457" s="171"/>
      <c r="BJ457" s="171"/>
      <c r="BK457" s="171"/>
      <c r="BL457" s="171"/>
      <c r="BM457" s="171"/>
      <c r="BN457" s="171"/>
      <c r="BO457" s="171"/>
      <c r="BP457" s="171"/>
      <c r="BQ457" s="171"/>
      <c r="BR457" s="171"/>
      <c r="BS457" s="171"/>
      <c r="BT457" s="171"/>
      <c r="BU457" s="171"/>
      <c r="BV457" s="171"/>
      <c r="BW457" s="171"/>
      <c r="BX457" s="171"/>
      <c r="BY457" s="171"/>
      <c r="BZ457" s="171"/>
      <c r="CA457" s="171">
        <f>COUNTIF(AJ457:AX457,"*OK*")</f>
        <v>2</v>
      </c>
      <c r="CB457" s="171"/>
      <c r="CC457" s="171">
        <f>COUNTIF(AJ457:AX457,"*OP*")</f>
        <v>0</v>
      </c>
    </row>
    <row r="458" spans="1:81" ht="15" hidden="1" customHeight="1">
      <c r="A458" s="241">
        <v>6588</v>
      </c>
      <c r="B458" s="160"/>
      <c r="C458" s="468">
        <f>T458</f>
        <v>1823.83</v>
      </c>
      <c r="D458" s="160">
        <f>COUNTIF(AJ458:AX458,"*OK*")</f>
        <v>1</v>
      </c>
      <c r="E458" s="160"/>
      <c r="F458" s="353" t="s">
        <v>1178</v>
      </c>
      <c r="G458" s="182" t="s">
        <v>1178</v>
      </c>
      <c r="H458" s="187"/>
      <c r="I458" s="187"/>
      <c r="J458" s="182"/>
      <c r="K458" s="196" t="s">
        <v>79</v>
      </c>
      <c r="L458" s="182" t="s">
        <v>1106</v>
      </c>
      <c r="M458" s="182"/>
      <c r="N458" s="182"/>
      <c r="O458" s="250">
        <v>1803.81</v>
      </c>
      <c r="P458" s="250">
        <v>1787.44</v>
      </c>
      <c r="Q458" s="250">
        <v>1790.94</v>
      </c>
      <c r="R458" s="251">
        <v>1778.47</v>
      </c>
      <c r="S458" s="510">
        <v>1512.3312000000001</v>
      </c>
      <c r="T458" s="584">
        <v>1823.83</v>
      </c>
      <c r="U458" s="164"/>
      <c r="V458" s="165">
        <v>800</v>
      </c>
      <c r="W458" s="187"/>
      <c r="X458" s="166" t="s">
        <v>70</v>
      </c>
      <c r="Y458" s="166" t="s">
        <v>80</v>
      </c>
      <c r="Z458" s="167" t="s">
        <v>1272</v>
      </c>
      <c r="AA458" s="165" t="s">
        <v>59</v>
      </c>
      <c r="AB458" s="167" t="s">
        <v>104</v>
      </c>
      <c r="AC458" s="187" t="s">
        <v>92</v>
      </c>
      <c r="AD458" s="160"/>
      <c r="AE458" s="160" t="s">
        <v>1108</v>
      </c>
      <c r="AF458" s="160"/>
      <c r="AG458" s="160"/>
      <c r="AH458" s="160"/>
      <c r="AI458" s="163" t="s">
        <v>127</v>
      </c>
      <c r="AJ458" s="170"/>
      <c r="AK458" s="170"/>
      <c r="AL458" s="170"/>
      <c r="AM458" s="170" t="s">
        <v>173</v>
      </c>
      <c r="AN458" s="170"/>
      <c r="AO458" s="170"/>
      <c r="AP458" s="189" t="s">
        <v>111</v>
      </c>
      <c r="AQ458" s="170"/>
      <c r="AR458" s="170"/>
      <c r="AS458" s="170"/>
      <c r="AT458" s="170"/>
      <c r="AU458" s="170"/>
      <c r="AV458" s="170"/>
      <c r="AW458" s="170"/>
      <c r="AX458" s="170"/>
      <c r="AY458" s="170"/>
      <c r="AZ458" s="169" t="s">
        <v>178</v>
      </c>
      <c r="BA458" s="160">
        <f>(COUNTIF(AJ458:AL458,"*OK*")*3) + (COUNTIF(AM458:AO458,"*OK*")*2) + COUNTIF(AP458:AR458,"*OK*")+COUNTIF(AZ458:AZ458,"SI")*0.5</f>
        <v>1</v>
      </c>
      <c r="BB458" s="160" t="str">
        <f>IF(BA458&lt;0.6,"Demasiado Riesgo",IF(BA458&lt;=5,"Riesgo Medio",IF(BA458&lt;=11,"Riesgo Bajo","Cliente Blindado")))</f>
        <v>Riesgo Medio</v>
      </c>
      <c r="BC458" s="160"/>
      <c r="BD458" s="160"/>
      <c r="BE458" s="160">
        <v>0</v>
      </c>
      <c r="BF458" s="160"/>
      <c r="BG458" s="160"/>
      <c r="BH458" s="160"/>
      <c r="BI458" s="160"/>
      <c r="BJ458" s="160"/>
      <c r="BK458" s="160"/>
      <c r="BL458" s="160"/>
      <c r="BM458" s="160"/>
      <c r="BN458" s="160"/>
      <c r="BO458" s="160"/>
      <c r="BP458" s="160"/>
      <c r="BQ458" s="160"/>
      <c r="BR458" s="160"/>
      <c r="BS458" s="160"/>
      <c r="BT458" s="160"/>
      <c r="BU458" s="160"/>
      <c r="BV458" s="160"/>
      <c r="BW458" s="160"/>
      <c r="BX458" s="160"/>
      <c r="BY458" s="160"/>
      <c r="BZ458" s="160"/>
      <c r="CA458" s="160">
        <f>COUNTIF(AJ458:AX458,"*OK*")</f>
        <v>1</v>
      </c>
      <c r="CB458" s="160"/>
      <c r="CC458" s="160">
        <f>COUNTIF(AJ458:AX458,"*OP*")</f>
        <v>1</v>
      </c>
    </row>
    <row r="459" spans="1:81" ht="15" hidden="1" customHeight="1">
      <c r="A459" s="240">
        <v>3946</v>
      </c>
      <c r="B459" s="171"/>
      <c r="C459" s="468">
        <f>T459</f>
        <v>1852.39</v>
      </c>
      <c r="D459" s="171">
        <f>COUNTIF(AJ459:AX459,"*OK*")</f>
        <v>0</v>
      </c>
      <c r="E459" s="171"/>
      <c r="F459" s="197" t="s">
        <v>1273</v>
      </c>
      <c r="G459" s="183"/>
      <c r="H459" s="234" t="s">
        <v>1274</v>
      </c>
      <c r="I459" s="234"/>
      <c r="J459" s="183"/>
      <c r="K459" s="198" t="s">
        <v>79</v>
      </c>
      <c r="L459" s="183" t="s">
        <v>1106</v>
      </c>
      <c r="M459" s="183"/>
      <c r="N459" s="183"/>
      <c r="O459" s="534">
        <v>1686.99</v>
      </c>
      <c r="P459" s="534">
        <v>1802.97</v>
      </c>
      <c r="Q459" s="534">
        <v>1790.42</v>
      </c>
      <c r="R459" s="252">
        <v>1873.76</v>
      </c>
      <c r="S459" s="510">
        <v>1906.7852</v>
      </c>
      <c r="T459" s="561">
        <v>1852.39</v>
      </c>
      <c r="U459" s="175"/>
      <c r="V459" s="176">
        <v>500</v>
      </c>
      <c r="W459" s="194"/>
      <c r="X459" s="177" t="s">
        <v>247</v>
      </c>
      <c r="Y459" s="177" t="s">
        <v>80</v>
      </c>
      <c r="Z459" s="178" t="s">
        <v>1275</v>
      </c>
      <c r="AA459" s="176" t="s">
        <v>59</v>
      </c>
      <c r="AB459" s="178" t="s">
        <v>65</v>
      </c>
      <c r="AC459" s="194" t="s">
        <v>97</v>
      </c>
      <c r="AD459" s="171"/>
      <c r="AE459" s="171" t="s">
        <v>1108</v>
      </c>
      <c r="AF459" s="171"/>
      <c r="AG459" s="171"/>
      <c r="AH459" s="171"/>
      <c r="AI459" s="174" t="s">
        <v>59</v>
      </c>
      <c r="AJ459" s="170" t="s">
        <v>173</v>
      </c>
      <c r="AK459" s="170" t="s">
        <v>173</v>
      </c>
      <c r="AL459" s="170"/>
      <c r="AM459" s="170" t="s">
        <v>178</v>
      </c>
      <c r="AN459" s="170"/>
      <c r="AO459" s="170"/>
      <c r="AP459" s="170"/>
      <c r="AQ459" s="170"/>
      <c r="AR459" s="170"/>
      <c r="AS459" s="170"/>
      <c r="AT459" s="170"/>
      <c r="AU459" s="170"/>
      <c r="AV459" s="170"/>
      <c r="AW459" s="170"/>
      <c r="AX459" s="170"/>
      <c r="AY459" s="170"/>
      <c r="AZ459" s="180" t="s">
        <v>59</v>
      </c>
      <c r="BA459" s="171">
        <f>(COUNTIF(AJ459:AL459,"*OK*")*3) + (COUNTIF(AM459:AO459,"*OK*")*2) + COUNTIF(AP459:AR459,"*OK*")+COUNTIF(AZ459:AZ459,"SI")*0.5</f>
        <v>0</v>
      </c>
      <c r="BB459" s="171" t="str">
        <f>IF(BA459&lt;0.6,"Demasiado Riesgo",IF(BA459&lt;=5,"Riesgo Medio",IF(BA459&lt;=11,"Riesgo Bajo","Cliente Blindado")))</f>
        <v>Demasiado Riesgo</v>
      </c>
      <c r="BC459" s="171"/>
      <c r="BD459" s="171"/>
      <c r="BE459" s="171">
        <v>0</v>
      </c>
      <c r="BF459" s="171"/>
      <c r="BG459" s="171"/>
      <c r="BH459" s="171"/>
      <c r="BI459" s="171"/>
      <c r="BJ459" s="171"/>
      <c r="BK459" s="171"/>
      <c r="BL459" s="171"/>
      <c r="BM459" s="171"/>
      <c r="BN459" s="171"/>
      <c r="BO459" s="171"/>
      <c r="BP459" s="171"/>
      <c r="BQ459" s="171"/>
      <c r="BR459" s="171"/>
      <c r="BS459" s="171"/>
      <c r="BT459" s="171"/>
      <c r="BU459" s="171"/>
      <c r="BV459" s="171"/>
      <c r="BW459" s="171"/>
      <c r="BX459" s="171"/>
      <c r="BY459" s="171"/>
      <c r="BZ459" s="171"/>
      <c r="CA459" s="171">
        <f>COUNTIF(AJ459:AX459,"*OK*")</f>
        <v>0</v>
      </c>
      <c r="CB459" s="171"/>
      <c r="CC459" s="171">
        <f>COUNTIF(AJ459:AX459,"*OP*")</f>
        <v>2</v>
      </c>
    </row>
    <row r="460" spans="1:81" ht="15" hidden="1" customHeight="1">
      <c r="A460" s="241"/>
      <c r="B460" s="160"/>
      <c r="C460" s="468">
        <f>T460</f>
        <v>1945.82</v>
      </c>
      <c r="D460" s="160">
        <f>COUNTIF(AJ460:AX460,"*OK*")</f>
        <v>0</v>
      </c>
      <c r="E460" s="160"/>
      <c r="F460" s="184" t="s">
        <v>1276</v>
      </c>
      <c r="G460" s="182" t="s">
        <v>1144</v>
      </c>
      <c r="H460" s="187"/>
      <c r="I460" s="187"/>
      <c r="J460" s="182"/>
      <c r="K460" s="196" t="s">
        <v>79</v>
      </c>
      <c r="L460" s="182" t="s">
        <v>1106</v>
      </c>
      <c r="M460" s="182" t="s">
        <v>135</v>
      </c>
      <c r="N460" s="182"/>
      <c r="O460" s="250">
        <v>2001.8</v>
      </c>
      <c r="P460" s="250">
        <v>1993.95</v>
      </c>
      <c r="Q460" s="250">
        <v>1888.74</v>
      </c>
      <c r="R460" s="251">
        <v>1968.47</v>
      </c>
      <c r="S460" s="510">
        <v>1954.2221999999999</v>
      </c>
      <c r="T460" s="560">
        <v>1945.82</v>
      </c>
      <c r="U460" s="164"/>
      <c r="V460" s="165">
        <v>5000</v>
      </c>
      <c r="W460" s="187"/>
      <c r="X460" s="166" t="s">
        <v>70</v>
      </c>
      <c r="Y460" s="166" t="s">
        <v>95</v>
      </c>
      <c r="Z460" s="167" t="s">
        <v>1277</v>
      </c>
      <c r="AA460" s="165" t="s">
        <v>59</v>
      </c>
      <c r="AB460" s="167" t="s">
        <v>267</v>
      </c>
      <c r="AC460" s="187" t="s">
        <v>97</v>
      </c>
      <c r="AD460" s="160"/>
      <c r="AE460" s="160" t="s">
        <v>1115</v>
      </c>
      <c r="AF460" s="160"/>
      <c r="AG460" s="160"/>
      <c r="AH460" s="160"/>
      <c r="AI460" s="163" t="s">
        <v>59</v>
      </c>
      <c r="AJ460" s="170"/>
      <c r="AK460" s="170"/>
      <c r="AL460" s="170"/>
      <c r="AM460" s="170" t="s">
        <v>1278</v>
      </c>
      <c r="AN460" s="170" t="s">
        <v>1279</v>
      </c>
      <c r="AO460" s="170"/>
      <c r="AP460" s="170"/>
      <c r="AQ460" s="170"/>
      <c r="AR460" s="170"/>
      <c r="AS460" s="170"/>
      <c r="AT460" s="170"/>
      <c r="AU460" s="170"/>
      <c r="AV460" s="170"/>
      <c r="AW460" s="170"/>
      <c r="AX460" s="170"/>
      <c r="AY460" s="170"/>
      <c r="AZ460" s="169" t="s">
        <v>59</v>
      </c>
      <c r="BA460" s="160">
        <f>(COUNTIF(AJ460:AL460,"*OK*")*3) + (COUNTIF(AM460:AO460,"*OK*")*2) + COUNTIF(AP460:AR460,"*OK*")+COUNTIF(AZ460:AZ460,"SI")*0.5</f>
        <v>0</v>
      </c>
      <c r="BB460" s="160" t="str">
        <f>IF(BA460&lt;0.6,"Demasiado Riesgo",IF(BA460&lt;=5,"Riesgo Medio",IF(BA460&lt;=11,"Riesgo Bajo","Cliente Blindado")))</f>
        <v>Demasiado Riesgo</v>
      </c>
      <c r="BC460" s="160"/>
      <c r="BD460" s="160"/>
      <c r="BE460" s="160">
        <v>0</v>
      </c>
      <c r="BF460" s="160"/>
      <c r="BG460" s="160"/>
      <c r="BH460" s="160"/>
      <c r="BI460" s="160"/>
      <c r="BJ460" s="160"/>
      <c r="BK460" s="160"/>
      <c r="BL460" s="160"/>
      <c r="BM460" s="160"/>
      <c r="BN460" s="160"/>
      <c r="BO460" s="160"/>
      <c r="BP460" s="160"/>
      <c r="BQ460" s="160"/>
      <c r="BR460" s="160"/>
      <c r="BS460" s="160"/>
      <c r="BT460" s="160"/>
      <c r="BU460" s="160"/>
      <c r="BV460" s="160"/>
      <c r="BW460" s="160"/>
      <c r="BX460" s="160"/>
      <c r="BY460" s="160"/>
      <c r="BZ460" s="160"/>
      <c r="CA460" s="160">
        <f>COUNTIF(AJ460:AX460,"*OK*")</f>
        <v>0</v>
      </c>
      <c r="CB460" s="160"/>
      <c r="CC460" s="160">
        <f>COUNTIF(AJ460:AX460,"*OP*")</f>
        <v>2</v>
      </c>
    </row>
    <row r="461" spans="1:81" ht="15" hidden="1" customHeight="1">
      <c r="A461" s="240">
        <v>3115</v>
      </c>
      <c r="B461" s="171"/>
      <c r="C461" s="468">
        <f>T461</f>
        <v>1979.82</v>
      </c>
      <c r="D461" s="171">
        <f>COUNTIF(AJ461:AX461,"*OK*")</f>
        <v>0</v>
      </c>
      <c r="E461" s="171"/>
      <c r="F461" s="197" t="s">
        <v>1280</v>
      </c>
      <c r="G461" s="183"/>
      <c r="H461" s="234" t="s">
        <v>1281</v>
      </c>
      <c r="I461" s="234"/>
      <c r="J461" s="183"/>
      <c r="K461" s="198" t="s">
        <v>79</v>
      </c>
      <c r="L461" s="183" t="s">
        <v>1106</v>
      </c>
      <c r="M461" s="183"/>
      <c r="N461" s="183"/>
      <c r="O461" s="534">
        <v>2009.84</v>
      </c>
      <c r="P461" s="534">
        <v>2008</v>
      </c>
      <c r="Q461" s="534">
        <v>1913.59</v>
      </c>
      <c r="R461" s="252">
        <v>1975.19</v>
      </c>
      <c r="S461" s="510">
        <v>2001.7678000000001</v>
      </c>
      <c r="T461" s="561">
        <v>1979.82</v>
      </c>
      <c r="U461" s="175"/>
      <c r="V461" s="176">
        <v>1177</v>
      </c>
      <c r="W461" s="194"/>
      <c r="X461" s="177" t="s">
        <v>70</v>
      </c>
      <c r="Y461" s="177" t="s">
        <v>243</v>
      </c>
      <c r="Z461" s="178" t="s">
        <v>1282</v>
      </c>
      <c r="AA461" s="176" t="s">
        <v>59</v>
      </c>
      <c r="AB461" s="178" t="s">
        <v>104</v>
      </c>
      <c r="AC461" s="194" t="s">
        <v>92</v>
      </c>
      <c r="AD461" s="171"/>
      <c r="AE461" s="171" t="s">
        <v>1108</v>
      </c>
      <c r="AF461" s="171"/>
      <c r="AG461" s="171"/>
      <c r="AH461" s="171"/>
      <c r="AI461" s="174" t="s">
        <v>59</v>
      </c>
      <c r="AJ461" s="170" t="s">
        <v>1283</v>
      </c>
      <c r="AK461" s="170" t="s">
        <v>1284</v>
      </c>
      <c r="AL461" s="170" t="s">
        <v>1285</v>
      </c>
      <c r="AM461" s="170" t="s">
        <v>173</v>
      </c>
      <c r="AN461" s="170"/>
      <c r="AO461" s="170"/>
      <c r="AP461" s="170"/>
      <c r="AQ461" s="170"/>
      <c r="AR461" s="170"/>
      <c r="AS461" s="170"/>
      <c r="AT461" s="170"/>
      <c r="AU461" s="170"/>
      <c r="AV461" s="170"/>
      <c r="AW461" s="170"/>
      <c r="AX461" s="170"/>
      <c r="AY461" s="170"/>
      <c r="AZ461" s="180" t="s">
        <v>59</v>
      </c>
      <c r="BA461" s="171">
        <f>(COUNTIF(AJ461:AL461,"*OK*")*3) + (COUNTIF(AM461:AO461,"*OK*")*2) + COUNTIF(AP461:AR461,"*OK*")+COUNTIF(AZ461:AZ461,"SI")*0.5</f>
        <v>0</v>
      </c>
      <c r="BB461" s="171" t="str">
        <f>IF(BA461&lt;0.6,"Demasiado Riesgo",IF(BA461&lt;=5,"Riesgo Medio",IF(BA461&lt;=11,"Riesgo Bajo","Cliente Blindado")))</f>
        <v>Demasiado Riesgo</v>
      </c>
      <c r="BC461" s="171"/>
      <c r="BD461" s="171"/>
      <c r="BE461" s="171">
        <v>0</v>
      </c>
      <c r="BF461" s="171"/>
      <c r="BG461" s="171"/>
      <c r="BH461" s="171"/>
      <c r="BI461" s="171"/>
      <c r="BJ461" s="171"/>
      <c r="BK461" s="171"/>
      <c r="BL461" s="171"/>
      <c r="BM461" s="171"/>
      <c r="BN461" s="171"/>
      <c r="BO461" s="171"/>
      <c r="BP461" s="171"/>
      <c r="BQ461" s="171"/>
      <c r="BR461" s="171"/>
      <c r="BS461" s="171"/>
      <c r="BT461" s="171"/>
      <c r="BU461" s="171"/>
      <c r="BV461" s="171"/>
      <c r="BW461" s="171"/>
      <c r="BX461" s="171"/>
      <c r="BY461" s="171"/>
      <c r="BZ461" s="171"/>
      <c r="CA461" s="171">
        <f>COUNTIF(AJ461:AX461,"*OK*")</f>
        <v>0</v>
      </c>
      <c r="CB461" s="171"/>
      <c r="CC461" s="171">
        <f>COUNTIF(AJ461:AX461,"*OP*")</f>
        <v>3</v>
      </c>
    </row>
    <row r="462" spans="1:81" ht="15" hidden="1" customHeight="1">
      <c r="A462" s="241">
        <v>28362</v>
      </c>
      <c r="B462" s="160"/>
      <c r="C462" s="468">
        <f>T462</f>
        <v>2173.35</v>
      </c>
      <c r="D462" s="160">
        <f>COUNTIF(AJ462:AX462,"*OK*")</f>
        <v>1</v>
      </c>
      <c r="E462" s="160"/>
      <c r="F462" s="184" t="s">
        <v>1286</v>
      </c>
      <c r="G462" s="182"/>
      <c r="H462" s="187"/>
      <c r="I462" s="187"/>
      <c r="J462" s="182"/>
      <c r="K462" s="196" t="s">
        <v>79</v>
      </c>
      <c r="L462" s="182" t="s">
        <v>1106</v>
      </c>
      <c r="M462" s="182"/>
      <c r="N462" s="182"/>
      <c r="O462" s="250">
        <v>2635.78</v>
      </c>
      <c r="P462" s="250">
        <v>2477.12</v>
      </c>
      <c r="Q462" s="250">
        <v>2238.1</v>
      </c>
      <c r="R462" s="251">
        <v>2313.69</v>
      </c>
      <c r="S462" s="510">
        <v>2169.8897000000002</v>
      </c>
      <c r="T462" s="584">
        <v>2173.35</v>
      </c>
      <c r="U462" s="164"/>
      <c r="V462" s="165">
        <v>3000</v>
      </c>
      <c r="W462" s="187"/>
      <c r="X462" s="166" t="s">
        <v>70</v>
      </c>
      <c r="Y462" s="166" t="s">
        <v>152</v>
      </c>
      <c r="Z462" s="167" t="s">
        <v>1287</v>
      </c>
      <c r="AA462" s="165" t="s">
        <v>59</v>
      </c>
      <c r="AB462" s="167" t="s">
        <v>65</v>
      </c>
      <c r="AC462" s="187" t="s">
        <v>84</v>
      </c>
      <c r="AD462" s="160"/>
      <c r="AE462" s="160" t="s">
        <v>1108</v>
      </c>
      <c r="AF462" s="160"/>
      <c r="AG462" s="160"/>
      <c r="AH462" s="160"/>
      <c r="AI462" s="169" t="s">
        <v>127</v>
      </c>
      <c r="AJ462" s="170"/>
      <c r="AK462" s="170"/>
      <c r="AL462" s="189" t="s">
        <v>111</v>
      </c>
      <c r="AM462" s="170"/>
      <c r="AN462" s="170"/>
      <c r="AO462" s="170"/>
      <c r="AP462" s="170"/>
      <c r="AQ462" s="170"/>
      <c r="AR462" s="170"/>
      <c r="AS462" s="170"/>
      <c r="AT462" s="170"/>
      <c r="AU462" s="170"/>
      <c r="AV462" s="170"/>
      <c r="AW462" s="170"/>
      <c r="AX462" s="170"/>
      <c r="AY462" s="170"/>
      <c r="AZ462" s="169" t="s">
        <v>178</v>
      </c>
      <c r="BA462" s="160">
        <f>(COUNTIF(AJ462:AL462,"*OK*")*3) + (COUNTIF(AM462:AO462,"*OK*")*2) + COUNTIF(AP462:AR462,"*OK*")+COUNTIF(AZ462:AZ462,"SI")*0.5</f>
        <v>3</v>
      </c>
      <c r="BB462" s="160" t="str">
        <f>IF(BA462&lt;0.6,"Demasiado Riesgo",IF(BA462&lt;=5,"Riesgo Medio",IF(BA462&lt;=11,"Riesgo Bajo","Cliente Blindado")))</f>
        <v>Riesgo Medio</v>
      </c>
      <c r="BC462" s="160"/>
      <c r="BD462" s="160"/>
      <c r="BE462" s="160">
        <v>0</v>
      </c>
      <c r="BF462" s="160"/>
      <c r="BG462" s="160"/>
      <c r="BH462" s="160"/>
      <c r="BI462" s="160"/>
      <c r="BJ462" s="160"/>
      <c r="BK462" s="160"/>
      <c r="BL462" s="160"/>
      <c r="BM462" s="160"/>
      <c r="BN462" s="160"/>
      <c r="BO462" s="160"/>
      <c r="BP462" s="160"/>
      <c r="BQ462" s="160"/>
      <c r="BR462" s="160"/>
      <c r="BS462" s="160"/>
      <c r="BT462" s="160"/>
      <c r="BU462" s="160"/>
      <c r="BV462" s="160"/>
      <c r="BW462" s="160"/>
      <c r="BX462" s="160"/>
      <c r="BY462" s="160"/>
      <c r="BZ462" s="160"/>
      <c r="CA462" s="160">
        <f>COUNTIF(AJ462:AX462,"*OK*")</f>
        <v>1</v>
      </c>
      <c r="CB462" s="160"/>
      <c r="CC462" s="160">
        <f>COUNTIF(AJ462:AX462,"*OP*")</f>
        <v>0</v>
      </c>
    </row>
    <row r="463" spans="1:81" ht="15" hidden="1" customHeight="1">
      <c r="A463" s="240">
        <v>20338</v>
      </c>
      <c r="B463" s="171"/>
      <c r="C463" s="468">
        <f>T463</f>
        <v>2191.06</v>
      </c>
      <c r="D463" s="171">
        <f>COUNTIF(AJ463:AX463,"*OK*")</f>
        <v>0</v>
      </c>
      <c r="E463" s="171"/>
      <c r="F463" s="197" t="s">
        <v>1288</v>
      </c>
      <c r="G463" s="183"/>
      <c r="H463" s="234" t="s">
        <v>1289</v>
      </c>
      <c r="I463" s="234"/>
      <c r="J463" s="183"/>
      <c r="K463" s="198" t="s">
        <v>79</v>
      </c>
      <c r="L463" s="183" t="s">
        <v>1106</v>
      </c>
      <c r="M463" s="183"/>
      <c r="N463" s="183"/>
      <c r="O463" s="534">
        <v>2241.41</v>
      </c>
      <c r="P463" s="534">
        <v>2295.5300000000002</v>
      </c>
      <c r="Q463" s="534">
        <v>2210.88</v>
      </c>
      <c r="R463" s="252">
        <v>2185.94</v>
      </c>
      <c r="S463" s="510">
        <v>2239.7269000000001</v>
      </c>
      <c r="T463" s="561">
        <v>2191.06</v>
      </c>
      <c r="U463" s="175"/>
      <c r="V463" s="176">
        <v>2000</v>
      </c>
      <c r="W463" s="194"/>
      <c r="X463" s="177" t="s">
        <v>70</v>
      </c>
      <c r="Y463" s="177" t="s">
        <v>291</v>
      </c>
      <c r="Z463" s="178" t="s">
        <v>1290</v>
      </c>
      <c r="AA463" s="176" t="s">
        <v>59</v>
      </c>
      <c r="AB463" s="178" t="s">
        <v>65</v>
      </c>
      <c r="AC463" s="194" t="s">
        <v>92</v>
      </c>
      <c r="AD463" s="171"/>
      <c r="AE463" s="171" t="s">
        <v>1121</v>
      </c>
      <c r="AF463" s="171"/>
      <c r="AG463" s="171"/>
      <c r="AH463" s="171"/>
      <c r="AI463" s="173" t="s">
        <v>59</v>
      </c>
      <c r="AJ463" s="544"/>
      <c r="AK463" s="544" t="s">
        <v>173</v>
      </c>
      <c r="AL463" s="544" t="s">
        <v>173</v>
      </c>
      <c r="AM463" s="544"/>
      <c r="AN463" s="544"/>
      <c r="AO463" s="544" t="s">
        <v>1291</v>
      </c>
      <c r="AP463" s="544"/>
      <c r="AQ463" s="544"/>
      <c r="AR463" s="544"/>
      <c r="AS463" s="544"/>
      <c r="AT463" s="544"/>
      <c r="AU463" s="544"/>
      <c r="AV463" s="544"/>
      <c r="AW463" s="544"/>
      <c r="AX463" s="544"/>
      <c r="AY463" s="544" t="s">
        <v>173</v>
      </c>
      <c r="AZ463" s="173" t="s">
        <v>59</v>
      </c>
      <c r="BA463" s="171">
        <f>(COUNTIF(AJ463:AL463,"*OK*")*3) + (COUNTIF(AM463:AO463,"*OK*")*2) + COUNTIF(AP463:AR463,"*OK*")+COUNTIF(AZ463:AZ463,"SI")*0.5</f>
        <v>0</v>
      </c>
      <c r="BB463" s="171" t="str">
        <f>IF(BA463&lt;0.6,"Demasiado Riesgo",IF(BA463&lt;=5,"Riesgo Medio",IF(BA463&lt;=11,"Riesgo Bajo","Cliente Blindado")))</f>
        <v>Demasiado Riesgo</v>
      </c>
      <c r="BC463" s="171"/>
      <c r="BD463" s="171"/>
      <c r="BE463" s="171">
        <v>0</v>
      </c>
      <c r="BF463" s="171"/>
      <c r="BG463" s="171"/>
      <c r="BH463" s="171"/>
      <c r="BI463" s="171"/>
      <c r="BJ463" s="171"/>
      <c r="BK463" s="171"/>
      <c r="BL463" s="171"/>
      <c r="BM463" s="171"/>
      <c r="BN463" s="171"/>
      <c r="BO463" s="171"/>
      <c r="BP463" s="171"/>
      <c r="BQ463" s="171"/>
      <c r="BR463" s="171"/>
      <c r="BS463" s="171"/>
      <c r="BT463" s="171"/>
      <c r="BU463" s="171"/>
      <c r="BV463" s="171"/>
      <c r="BW463" s="171"/>
      <c r="BX463" s="171"/>
      <c r="BY463" s="171"/>
      <c r="BZ463" s="171"/>
      <c r="CA463" s="171">
        <f>COUNTIF(AJ463:AX463,"*OK*")</f>
        <v>0</v>
      </c>
      <c r="CB463" s="171"/>
      <c r="CC463" s="171">
        <f>COUNTIF(AJ463:AX463,"*OP*")</f>
        <v>3</v>
      </c>
    </row>
    <row r="464" spans="1:81" ht="15" hidden="1" customHeight="1">
      <c r="A464" s="240"/>
      <c r="B464" s="171"/>
      <c r="C464" s="468">
        <f>T464</f>
        <v>2338</v>
      </c>
      <c r="D464" s="171">
        <f>COUNTIF(AJ464:AX464,"*OK*")</f>
        <v>2</v>
      </c>
      <c r="E464" s="171" t="s">
        <v>1122</v>
      </c>
      <c r="F464" s="258" t="s">
        <v>1292</v>
      </c>
      <c r="G464" s="183" t="s">
        <v>1293</v>
      </c>
      <c r="H464" s="179"/>
      <c r="I464" s="179"/>
      <c r="J464" s="183"/>
      <c r="K464" s="192" t="s">
        <v>79</v>
      </c>
      <c r="L464" s="183" t="s">
        <v>1106</v>
      </c>
      <c r="M464" s="183"/>
      <c r="N464" s="183"/>
      <c r="O464" s="534">
        <v>2338</v>
      </c>
      <c r="P464" s="534">
        <v>2338</v>
      </c>
      <c r="Q464" s="534">
        <v>2338</v>
      </c>
      <c r="R464" s="252">
        <v>2338</v>
      </c>
      <c r="S464" s="510">
        <v>2338</v>
      </c>
      <c r="T464" s="561">
        <v>2338</v>
      </c>
      <c r="U464" s="175"/>
      <c r="V464" s="176">
        <v>3000</v>
      </c>
      <c r="W464" s="194"/>
      <c r="X464" s="177" t="s">
        <v>70</v>
      </c>
      <c r="Y464" s="177" t="s">
        <v>80</v>
      </c>
      <c r="Z464" s="178" t="s">
        <v>1294</v>
      </c>
      <c r="AA464" s="176" t="s">
        <v>59</v>
      </c>
      <c r="AB464" s="178" t="s">
        <v>65</v>
      </c>
      <c r="AC464" s="179" t="s">
        <v>92</v>
      </c>
      <c r="AD464" s="171"/>
      <c r="AE464" s="171" t="s">
        <v>1121</v>
      </c>
      <c r="AF464" s="171" t="s">
        <v>1295</v>
      </c>
      <c r="AG464" s="171"/>
      <c r="AH464" s="171"/>
      <c r="AI464" s="173" t="s">
        <v>127</v>
      </c>
      <c r="AJ464" s="544"/>
      <c r="AK464" s="544"/>
      <c r="AL464" s="544"/>
      <c r="AM464" s="544"/>
      <c r="AN464" s="544"/>
      <c r="AO464" s="544"/>
      <c r="AP464" s="544" t="s">
        <v>1296</v>
      </c>
      <c r="AQ464" s="544" t="s">
        <v>111</v>
      </c>
      <c r="AR464" s="544"/>
      <c r="AS464" s="544"/>
      <c r="AT464" s="544"/>
      <c r="AU464" s="544"/>
      <c r="AV464" s="544"/>
      <c r="AW464" s="544"/>
      <c r="AX464" s="544"/>
      <c r="AY464" s="544"/>
      <c r="AZ464" s="173" t="s">
        <v>178</v>
      </c>
      <c r="BA464" s="171">
        <f>(COUNTIF(AJ464:AL464,"*OK*")*3) + (COUNTIF(AM464:AO464,"*OK*")*2) + COUNTIF(AP464:AR464,"*OK*")+COUNTIF(AZ464:AZ464,"SI")*0.5</f>
        <v>2</v>
      </c>
      <c r="BB464" s="171" t="str">
        <f>IF(BA464&lt;0.6,"Demasiado Riesgo",IF(BA464&lt;=5,"Riesgo Medio",IF(BA464&lt;=11,"Riesgo Bajo","Cliente Blindado")))</f>
        <v>Riesgo Medio</v>
      </c>
      <c r="BC464" s="171"/>
      <c r="BD464" s="171"/>
      <c r="BE464" s="171">
        <v>0</v>
      </c>
      <c r="BF464" s="171"/>
      <c r="BG464" s="171"/>
      <c r="BH464" s="171"/>
      <c r="BI464" s="171"/>
      <c r="BJ464" s="171"/>
      <c r="BK464" s="171"/>
      <c r="BL464" s="171"/>
      <c r="BM464" s="171"/>
      <c r="BN464" s="171"/>
      <c r="BO464" s="171"/>
      <c r="BP464" s="171"/>
      <c r="BQ464" s="171"/>
      <c r="BR464" s="171"/>
      <c r="BS464" s="171"/>
      <c r="BT464" s="171"/>
      <c r="BU464" s="171"/>
      <c r="BV464" s="171"/>
      <c r="BW464" s="171"/>
      <c r="BX464" s="171"/>
      <c r="BY464" s="171"/>
      <c r="BZ464" s="171"/>
      <c r="CA464" s="171">
        <f>COUNTIF(AJ464:AX464,"*OK*")</f>
        <v>2</v>
      </c>
      <c r="CB464" s="171"/>
      <c r="CC464" s="171">
        <f>COUNTIF(AJ464:AX464,"*OP*")</f>
        <v>0</v>
      </c>
    </row>
    <row r="465" spans="1:81" ht="15" hidden="1" customHeight="1">
      <c r="A465" s="241">
        <v>21746</v>
      </c>
      <c r="B465" s="160"/>
      <c r="C465" s="468">
        <f>T465</f>
        <v>2517.37</v>
      </c>
      <c r="D465" s="160">
        <f>COUNTIF(AJ465:AX465,"*OK*")</f>
        <v>2</v>
      </c>
      <c r="E465" s="160"/>
      <c r="F465" s="352" t="s">
        <v>1297</v>
      </c>
      <c r="G465" s="182"/>
      <c r="H465" s="187"/>
      <c r="I465" s="187"/>
      <c r="J465" s="182"/>
      <c r="K465" s="196" t="s">
        <v>79</v>
      </c>
      <c r="L465" s="182" t="s">
        <v>1106</v>
      </c>
      <c r="M465" s="182" t="s">
        <v>135</v>
      </c>
      <c r="N465" s="182"/>
      <c r="O465" s="250">
        <v>2248.5500000000002</v>
      </c>
      <c r="P465" s="250">
        <v>2266.2199999999998</v>
      </c>
      <c r="Q465" s="250">
        <v>2393.4299999999998</v>
      </c>
      <c r="R465" s="251">
        <v>2366.17</v>
      </c>
      <c r="S465" s="510">
        <v>2521.1147000000001</v>
      </c>
      <c r="T465" s="560">
        <v>2517.37</v>
      </c>
      <c r="U465" s="164"/>
      <c r="V465" s="165">
        <v>500</v>
      </c>
      <c r="W465" s="187"/>
      <c r="X465" s="166" t="s">
        <v>70</v>
      </c>
      <c r="Y465" s="166" t="s">
        <v>108</v>
      </c>
      <c r="Z465" s="167" t="s">
        <v>1298</v>
      </c>
      <c r="AA465" s="165" t="s">
        <v>59</v>
      </c>
      <c r="AB465" s="167" t="s">
        <v>65</v>
      </c>
      <c r="AC465" s="187" t="s">
        <v>97</v>
      </c>
      <c r="AD465" s="160"/>
      <c r="AE465" s="160" t="s">
        <v>1108</v>
      </c>
      <c r="AF465" s="160"/>
      <c r="AG465" s="160"/>
      <c r="AH465" s="160"/>
      <c r="AI465" s="162" t="s">
        <v>127</v>
      </c>
      <c r="AJ465" s="544"/>
      <c r="AK465" s="544" t="s">
        <v>1163</v>
      </c>
      <c r="AL465" s="544" t="s">
        <v>1299</v>
      </c>
      <c r="AM465" s="544"/>
      <c r="AN465" s="544"/>
      <c r="AO465" s="544"/>
      <c r="AP465" s="544"/>
      <c r="AQ465" s="595" t="s">
        <v>617</v>
      </c>
      <c r="AR465" s="544"/>
      <c r="AS465" s="544"/>
      <c r="AT465" s="544"/>
      <c r="AU465" s="544"/>
      <c r="AV465" s="544"/>
      <c r="AW465" s="544"/>
      <c r="AX465" s="544"/>
      <c r="AY465" s="544"/>
      <c r="AZ465" s="162" t="s">
        <v>178</v>
      </c>
      <c r="BA465" s="160">
        <f>(COUNTIF(AJ465:AL465,"*OK*")*3) + (COUNTIF(AM465:AO465,"*OK*")*2) + COUNTIF(AP465:AR465,"*OK*")+COUNTIF(AZ465:AZ465,"SI")*0.5</f>
        <v>4</v>
      </c>
      <c r="BB465" s="160" t="str">
        <f>IF(BA465&lt;0.6,"Demasiado Riesgo",IF(BA465&lt;=5,"Riesgo Medio",IF(BA465&lt;=11,"Riesgo Bajo","Cliente Blindado")))</f>
        <v>Riesgo Medio</v>
      </c>
      <c r="BC465" s="160"/>
      <c r="BD465" s="160"/>
      <c r="BE465" s="160">
        <v>0</v>
      </c>
      <c r="BF465" s="160"/>
      <c r="BG465" s="160"/>
      <c r="BH465" s="160"/>
      <c r="BI465" s="160"/>
      <c r="BJ465" s="160"/>
      <c r="BK465" s="160"/>
      <c r="BL465" s="160"/>
      <c r="BM465" s="160"/>
      <c r="BN465" s="160"/>
      <c r="BO465" s="160"/>
      <c r="BP465" s="160"/>
      <c r="BQ465" s="160"/>
      <c r="BR465" s="160"/>
      <c r="BS465" s="160"/>
      <c r="BT465" s="160"/>
      <c r="BU465" s="160"/>
      <c r="BV465" s="160"/>
      <c r="BW465" s="160"/>
      <c r="BX465" s="160"/>
      <c r="BY465" s="160"/>
      <c r="BZ465" s="160"/>
      <c r="CA465" s="160">
        <f>COUNTIF(AJ465:AX465,"*OK*")</f>
        <v>2</v>
      </c>
      <c r="CB465" s="160"/>
      <c r="CC465" s="160">
        <f>COUNTIF(AJ465:AX465,"*OP*")</f>
        <v>1</v>
      </c>
    </row>
    <row r="466" spans="1:81" ht="15" hidden="1" customHeight="1">
      <c r="A466" s="240">
        <v>30644</v>
      </c>
      <c r="B466" s="171"/>
      <c r="C466" s="468">
        <f>T466</f>
        <v>3436.49</v>
      </c>
      <c r="D466" s="171">
        <f>COUNTIF(AJ466:AX466,"*OK*")</f>
        <v>1</v>
      </c>
      <c r="E466" s="171"/>
      <c r="F466" s="191" t="s">
        <v>1300</v>
      </c>
      <c r="G466" s="183" t="s">
        <v>1199</v>
      </c>
      <c r="H466" s="194"/>
      <c r="I466" s="194"/>
      <c r="J466" s="183"/>
      <c r="K466" s="198" t="s">
        <v>79</v>
      </c>
      <c r="L466" s="183" t="s">
        <v>1106</v>
      </c>
      <c r="M466" s="183" t="s">
        <v>135</v>
      </c>
      <c r="N466" s="183"/>
      <c r="O466" s="534">
        <v>2436.17</v>
      </c>
      <c r="P466" s="534">
        <v>2750.35</v>
      </c>
      <c r="Q466" s="534">
        <v>3261.23</v>
      </c>
      <c r="R466" s="252">
        <v>3380.57</v>
      </c>
      <c r="S466" s="510">
        <v>3430.9087</v>
      </c>
      <c r="T466" s="563">
        <v>3436.49</v>
      </c>
      <c r="U466" s="175"/>
      <c r="V466" s="176">
        <v>1000</v>
      </c>
      <c r="W466" s="194"/>
      <c r="X466" s="177" t="s">
        <v>70</v>
      </c>
      <c r="Y466" s="177" t="s">
        <v>152</v>
      </c>
      <c r="Z466" s="178" t="s">
        <v>1301</v>
      </c>
      <c r="AA466" s="176" t="s">
        <v>59</v>
      </c>
      <c r="AB466" s="178" t="s">
        <v>177</v>
      </c>
      <c r="AC466" s="194" t="s">
        <v>97</v>
      </c>
      <c r="AD466" s="171"/>
      <c r="AE466" s="171" t="s">
        <v>1121</v>
      </c>
      <c r="AF466" s="171"/>
      <c r="AG466" s="171"/>
      <c r="AH466" s="171"/>
      <c r="AI466" s="173" t="s">
        <v>127</v>
      </c>
      <c r="AJ466" s="544"/>
      <c r="AK466" s="544"/>
      <c r="AL466" s="544" t="s">
        <v>1302</v>
      </c>
      <c r="AM466" s="544"/>
      <c r="AN466" s="544" t="s">
        <v>654</v>
      </c>
      <c r="AO466" s="595" t="s">
        <v>111</v>
      </c>
      <c r="AP466" s="544"/>
      <c r="AQ466" s="544"/>
      <c r="AR466" s="544"/>
      <c r="AS466" s="544"/>
      <c r="AT466" s="544"/>
      <c r="AU466" s="544"/>
      <c r="AV466" s="544"/>
      <c r="AW466" s="544"/>
      <c r="AX466" s="544"/>
      <c r="AY466" s="544"/>
      <c r="AZ466" s="173" t="s">
        <v>178</v>
      </c>
      <c r="BA466" s="171">
        <f>(COUNTIF(AJ466:AL466,"*OK*")*3) + (COUNTIF(AM466:AO466,"*OK*")*2) + COUNTIF(AP466:AR466,"*OK*")+COUNTIF(AZ466:AZ466,"SI")*0.5</f>
        <v>2</v>
      </c>
      <c r="BB466" s="171" t="str">
        <f>IF(BA466&lt;0.6,"Demasiado Riesgo",IF(BA466&lt;=5,"Riesgo Medio",IF(BA466&lt;=11,"Riesgo Bajo","Cliente Blindado")))</f>
        <v>Riesgo Medio</v>
      </c>
      <c r="BC466" s="171"/>
      <c r="BD466" s="171"/>
      <c r="BE466" s="171">
        <v>0</v>
      </c>
      <c r="BF466" s="171"/>
      <c r="BG466" s="171"/>
      <c r="BH466" s="171"/>
      <c r="BI466" s="171"/>
      <c r="BJ466" s="171"/>
      <c r="BK466" s="171"/>
      <c r="BL466" s="171"/>
      <c r="BM466" s="171"/>
      <c r="BN466" s="171"/>
      <c r="BO466" s="171"/>
      <c r="BP466" s="171"/>
      <c r="BQ466" s="171"/>
      <c r="BR466" s="171"/>
      <c r="BS466" s="171"/>
      <c r="BT466" s="171"/>
      <c r="BU466" s="171"/>
      <c r="BV466" s="171"/>
      <c r="BW466" s="171"/>
      <c r="BX466" s="171"/>
      <c r="BY466" s="171"/>
      <c r="BZ466" s="171"/>
      <c r="CA466" s="171">
        <f>COUNTIF(AJ466:AX466,"*OK*")</f>
        <v>1</v>
      </c>
      <c r="CB466" s="171"/>
      <c r="CC466" s="171">
        <f>COUNTIF(AJ466:AX466,"*OP*")</f>
        <v>2</v>
      </c>
    </row>
    <row r="467" spans="1:81" ht="15" hidden="1" customHeight="1">
      <c r="A467" s="241"/>
      <c r="B467" s="160"/>
      <c r="C467" s="468">
        <f>T467</f>
        <v>3510.54</v>
      </c>
      <c r="D467" s="160">
        <f>COUNTIF(AJ467:AX467,"*OK*")</f>
        <v>0</v>
      </c>
      <c r="E467" s="160"/>
      <c r="F467" s="184" t="s">
        <v>1303</v>
      </c>
      <c r="G467" s="160"/>
      <c r="H467" s="168"/>
      <c r="I467" s="168"/>
      <c r="J467" s="182" t="s">
        <v>1303</v>
      </c>
      <c r="K467" s="185" t="s">
        <v>79</v>
      </c>
      <c r="L467" s="213" t="s">
        <v>1106</v>
      </c>
      <c r="M467" s="182"/>
      <c r="N467" s="182"/>
      <c r="O467" s="250">
        <v>2852.64</v>
      </c>
      <c r="P467" s="250">
        <v>2862.77</v>
      </c>
      <c r="Q467" s="250">
        <v>2889.44</v>
      </c>
      <c r="R467" s="251">
        <v>3071.38</v>
      </c>
      <c r="S467" s="510">
        <v>3295.2622000000001</v>
      </c>
      <c r="T467" s="584">
        <v>3510.54</v>
      </c>
      <c r="U467" s="164"/>
      <c r="V467" s="165">
        <v>200</v>
      </c>
      <c r="W467" s="187"/>
      <c r="X467" s="166" t="s">
        <v>70</v>
      </c>
      <c r="Y467" s="166" t="s">
        <v>141</v>
      </c>
      <c r="Z467" s="167" t="s">
        <v>1304</v>
      </c>
      <c r="AA467" s="165" t="s">
        <v>59</v>
      </c>
      <c r="AB467" s="167" t="s">
        <v>65</v>
      </c>
      <c r="AC467" s="168"/>
      <c r="AD467" s="160"/>
      <c r="AE467" s="160"/>
      <c r="AF467" s="160"/>
      <c r="AG467" s="160"/>
      <c r="AH467" s="160"/>
      <c r="AI467" s="162" t="s">
        <v>59</v>
      </c>
      <c r="AJ467" s="544"/>
      <c r="AK467" s="544"/>
      <c r="AL467" s="544"/>
      <c r="AM467" s="544"/>
      <c r="AN467" s="544"/>
      <c r="AO467" s="544"/>
      <c r="AP467" s="544"/>
      <c r="AQ467" s="544"/>
      <c r="AR467" s="544"/>
      <c r="AS467" s="544"/>
      <c r="AT467" s="544"/>
      <c r="AU467" s="544"/>
      <c r="AV467" s="544"/>
      <c r="AW467" s="544"/>
      <c r="AX467" s="544"/>
      <c r="AY467" s="544"/>
      <c r="AZ467" s="162" t="s">
        <v>59</v>
      </c>
      <c r="BA467" s="160">
        <f>(COUNTIF(AJ467:AL467,"*OK*")*3) + (COUNTIF(AM467:AO467,"*OK*")*2) + COUNTIF(AP467:AR467,"*OK*")+COUNTIF(AZ467:AZ467,"SI")*0.5</f>
        <v>0</v>
      </c>
      <c r="BB467" s="160" t="str">
        <f>IF(BA467&lt;0.6,"Demasiado Riesgo",IF(BA467&lt;=5,"Riesgo Medio",IF(BA467&lt;=11,"Riesgo Bajo","Cliente Blindado")))</f>
        <v>Demasiado Riesgo</v>
      </c>
      <c r="BC467" s="160"/>
      <c r="BD467" s="160"/>
      <c r="BE467" s="160">
        <v>0</v>
      </c>
      <c r="BF467" s="160"/>
      <c r="BG467" s="160"/>
      <c r="BH467" s="160"/>
      <c r="BI467" s="160"/>
      <c r="BJ467" s="160"/>
      <c r="BK467" s="160"/>
      <c r="BL467" s="160"/>
      <c r="BM467" s="160"/>
      <c r="BN467" s="160"/>
      <c r="BO467" s="160"/>
      <c r="BP467" s="160"/>
      <c r="BQ467" s="160"/>
      <c r="BR467" s="160"/>
      <c r="BS467" s="160"/>
      <c r="BT467" s="160"/>
      <c r="BU467" s="160"/>
      <c r="BV467" s="160"/>
      <c r="BW467" s="160"/>
      <c r="BX467" s="160"/>
      <c r="BY467" s="160"/>
      <c r="BZ467" s="160"/>
      <c r="CA467" s="160">
        <f>COUNTIF(AJ467:AX467,"*OK*")</f>
        <v>0</v>
      </c>
      <c r="CB467" s="160"/>
      <c r="CC467" s="160">
        <f>COUNTIF(AJ467:AX467,"*OP*")</f>
        <v>0</v>
      </c>
    </row>
    <row r="468" spans="1:81" ht="15" hidden="1" customHeight="1">
      <c r="A468" s="241"/>
      <c r="B468" s="160"/>
      <c r="C468" s="468">
        <f>T468</f>
        <v>3750.85</v>
      </c>
      <c r="D468" s="160">
        <f>COUNTIF(AJ468:AX468,"*OK*")</f>
        <v>1</v>
      </c>
      <c r="E468" s="160" t="s">
        <v>1122</v>
      </c>
      <c r="F468" s="184" t="s">
        <v>1305</v>
      </c>
      <c r="G468" s="182" t="s">
        <v>1293</v>
      </c>
      <c r="H468" s="187"/>
      <c r="I468" s="187"/>
      <c r="J468" s="182"/>
      <c r="K468" s="196" t="s">
        <v>79</v>
      </c>
      <c r="L468" s="182" t="s">
        <v>1106</v>
      </c>
      <c r="M468" s="182"/>
      <c r="N468" s="182"/>
      <c r="O468" s="250">
        <v>2906</v>
      </c>
      <c r="P468" s="250">
        <v>2906</v>
      </c>
      <c r="Q468" s="250">
        <v>3706</v>
      </c>
      <c r="R468" s="251">
        <v>2906</v>
      </c>
      <c r="S468" s="510">
        <v>2906</v>
      </c>
      <c r="T468" s="584">
        <v>3750.85</v>
      </c>
      <c r="U468" s="164"/>
      <c r="V468" s="165">
        <v>2000</v>
      </c>
      <c r="W468" s="187"/>
      <c r="X468" s="166" t="s">
        <v>247</v>
      </c>
      <c r="Y468" s="166" t="s">
        <v>80</v>
      </c>
      <c r="Z468" s="167" t="s">
        <v>1306</v>
      </c>
      <c r="AA468" s="165" t="s">
        <v>59</v>
      </c>
      <c r="AB468" s="167" t="s">
        <v>65</v>
      </c>
      <c r="AC468" s="187" t="s">
        <v>92</v>
      </c>
      <c r="AD468" s="160"/>
      <c r="AE468" s="160" t="s">
        <v>1121</v>
      </c>
      <c r="AF468" s="160" t="s">
        <v>1295</v>
      </c>
      <c r="AG468" s="160"/>
      <c r="AH468" s="160"/>
      <c r="AI468" s="162" t="s">
        <v>59</v>
      </c>
      <c r="AJ468" s="544"/>
      <c r="AK468" s="544"/>
      <c r="AL468" s="544"/>
      <c r="AM468" s="544"/>
      <c r="AN468" s="544"/>
      <c r="AO468" s="544"/>
      <c r="AP468" s="544" t="s">
        <v>418</v>
      </c>
      <c r="AQ468" s="544" t="s">
        <v>173</v>
      </c>
      <c r="AR468" s="544"/>
      <c r="AS468" s="544"/>
      <c r="AT468" s="544"/>
      <c r="AU468" s="544"/>
      <c r="AV468" s="544"/>
      <c r="AW468" s="544"/>
      <c r="AX468" s="544"/>
      <c r="AY468" s="544"/>
      <c r="AZ468" s="162" t="s">
        <v>59</v>
      </c>
      <c r="BA468" s="160">
        <f>(COUNTIF(AJ468:AL468,"*OK*")*3) + (COUNTIF(AM468:AO468,"*OK*")*2) + COUNTIF(AP468:AR468,"*OK*")+COUNTIF(AZ468:AZ468,"SI")*0.5</f>
        <v>1</v>
      </c>
      <c r="BB468" s="160" t="str">
        <f>IF(BA468&lt;0.6,"Demasiado Riesgo",IF(BA468&lt;=5,"Riesgo Medio",IF(BA468&lt;=11,"Riesgo Bajo","Cliente Blindado")))</f>
        <v>Riesgo Medio</v>
      </c>
      <c r="BC468" s="160" t="s">
        <v>1263</v>
      </c>
      <c r="BD468" s="160"/>
      <c r="BE468" s="160">
        <v>0</v>
      </c>
      <c r="BF468" s="160"/>
      <c r="BG468" s="160"/>
      <c r="BH468" s="160"/>
      <c r="BI468" s="160"/>
      <c r="BJ468" s="160"/>
      <c r="BK468" s="160"/>
      <c r="BL468" s="160"/>
      <c r="BM468" s="160"/>
      <c r="BN468" s="160"/>
      <c r="BO468" s="160"/>
      <c r="BP468" s="160"/>
      <c r="BQ468" s="160"/>
      <c r="BR468" s="160"/>
      <c r="BS468" s="160"/>
      <c r="BT468" s="160"/>
      <c r="BU468" s="160"/>
      <c r="BV468" s="160"/>
      <c r="BW468" s="160"/>
      <c r="BX468" s="160"/>
      <c r="BY468" s="160"/>
      <c r="BZ468" s="160"/>
      <c r="CA468" s="160">
        <f>COUNTIF(AJ468:AX468,"*OK*")</f>
        <v>1</v>
      </c>
      <c r="CB468" s="160"/>
      <c r="CC468" s="160">
        <f>COUNTIF(AJ468:AX468,"*OP*")</f>
        <v>1</v>
      </c>
    </row>
    <row r="469" spans="1:81" ht="15" hidden="1" customHeight="1">
      <c r="A469" s="240">
        <v>7126</v>
      </c>
      <c r="B469" s="171"/>
      <c r="C469" s="468">
        <f>T469</f>
        <v>4182.7700000000004</v>
      </c>
      <c r="D469" s="171">
        <f>COUNTIF(AJ469:AX469,"*OK*")</f>
        <v>1</v>
      </c>
      <c r="E469" s="171"/>
      <c r="F469" s="191" t="s">
        <v>1307</v>
      </c>
      <c r="G469" s="183"/>
      <c r="H469" s="194"/>
      <c r="I469" s="194"/>
      <c r="J469" s="183"/>
      <c r="K469" s="198" t="s">
        <v>79</v>
      </c>
      <c r="L469" s="183" t="s">
        <v>1106</v>
      </c>
      <c r="M469" s="183"/>
      <c r="N469" s="183"/>
      <c r="O469" s="534">
        <v>4214.41</v>
      </c>
      <c r="P469" s="534">
        <v>3964.51</v>
      </c>
      <c r="Q469" s="534">
        <v>3887.79</v>
      </c>
      <c r="R469" s="252">
        <v>4227.6400000000003</v>
      </c>
      <c r="S469" s="510">
        <v>4237.0509000000002</v>
      </c>
      <c r="T469" s="561">
        <v>4182.7700000000004</v>
      </c>
      <c r="U469" s="175"/>
      <c r="V469" s="176">
        <v>600</v>
      </c>
      <c r="W469" s="194"/>
      <c r="X469" s="177" t="s">
        <v>834</v>
      </c>
      <c r="Y469" s="177" t="s">
        <v>363</v>
      </c>
      <c r="Z469" s="178" t="s">
        <v>1308</v>
      </c>
      <c r="AA469" s="176" t="s">
        <v>59</v>
      </c>
      <c r="AB469" s="178" t="s">
        <v>65</v>
      </c>
      <c r="AC469" s="194" t="s">
        <v>97</v>
      </c>
      <c r="AD469" s="171"/>
      <c r="AE469" s="171" t="s">
        <v>1121</v>
      </c>
      <c r="AF469" s="171" t="s">
        <v>1309</v>
      </c>
      <c r="AG469" s="171"/>
      <c r="AH469" s="171"/>
      <c r="AI469" s="173" t="s">
        <v>59</v>
      </c>
      <c r="AJ469" s="544" t="s">
        <v>654</v>
      </c>
      <c r="AK469" s="544"/>
      <c r="AL469" s="544"/>
      <c r="AM469" s="544"/>
      <c r="AN469" s="544"/>
      <c r="AO469" s="544"/>
      <c r="AP469" s="544"/>
      <c r="AQ469" s="544"/>
      <c r="AR469" s="544"/>
      <c r="AS469" s="544"/>
      <c r="AT469" s="544" t="s">
        <v>1220</v>
      </c>
      <c r="AU469" s="544"/>
      <c r="AV469" s="544"/>
      <c r="AW469" s="544"/>
      <c r="AX469" s="544"/>
      <c r="AY469" s="544"/>
      <c r="AZ469" s="173" t="s">
        <v>59</v>
      </c>
      <c r="BA469" s="171">
        <f>(COUNTIF(AJ469:AL469,"*OK*")*3) + (COUNTIF(AM469:AO469,"*OK*")*2) + COUNTIF(AP469:AR469,"*OK*")+COUNTIF(AZ469:AZ469,"SI")*0.5</f>
        <v>0</v>
      </c>
      <c r="BB469" s="171" t="str">
        <f>IF(BA469&lt;0.6,"Demasiado Riesgo",IF(BA469&lt;=5,"Riesgo Medio",IF(BA469&lt;=11,"Riesgo Bajo","Cliente Blindado")))</f>
        <v>Demasiado Riesgo</v>
      </c>
      <c r="BC469" s="171"/>
      <c r="BD469" s="171"/>
      <c r="BE469" s="171">
        <v>0</v>
      </c>
      <c r="BF469" s="171"/>
      <c r="BG469" s="171"/>
      <c r="BH469" s="171"/>
      <c r="BI469" s="171"/>
      <c r="BJ469" s="171"/>
      <c r="BK469" s="171"/>
      <c r="BL469" s="171"/>
      <c r="BM469" s="171"/>
      <c r="BN469" s="171"/>
      <c r="BO469" s="171"/>
      <c r="BP469" s="171"/>
      <c r="BQ469" s="171"/>
      <c r="BR469" s="171"/>
      <c r="BS469" s="171"/>
      <c r="BT469" s="171"/>
      <c r="BU469" s="171"/>
      <c r="BV469" s="171"/>
      <c r="BW469" s="171"/>
      <c r="BX469" s="171"/>
      <c r="BY469" s="171"/>
      <c r="BZ469" s="171"/>
      <c r="CA469" s="171">
        <f>COUNTIF(AJ469:AX469,"*OK*")</f>
        <v>1</v>
      </c>
      <c r="CB469" s="171"/>
      <c r="CC469" s="171">
        <f>COUNTIF(AJ469:AX469,"*OP*")</f>
        <v>1</v>
      </c>
    </row>
    <row r="470" spans="1:81" ht="15" hidden="1" customHeight="1">
      <c r="A470" s="241">
        <v>24596</v>
      </c>
      <c r="B470" s="160"/>
      <c r="C470" s="468">
        <f>T470</f>
        <v>5285.23</v>
      </c>
      <c r="D470" s="160">
        <f>COUNTIF(AJ470:AX470,"*OK*")</f>
        <v>1</v>
      </c>
      <c r="E470" s="160"/>
      <c r="F470" s="184" t="s">
        <v>1310</v>
      </c>
      <c r="G470" s="182" t="s">
        <v>1311</v>
      </c>
      <c r="H470" s="187"/>
      <c r="I470" s="187"/>
      <c r="J470" s="182"/>
      <c r="K470" s="196" t="s">
        <v>79</v>
      </c>
      <c r="L470" s="182" t="s">
        <v>1106</v>
      </c>
      <c r="M470" s="182"/>
      <c r="N470" s="182"/>
      <c r="O470" s="250">
        <v>4855.91</v>
      </c>
      <c r="P470" s="250">
        <v>5513.91</v>
      </c>
      <c r="Q470" s="250">
        <v>5601.06</v>
      </c>
      <c r="R470" s="251">
        <v>5689.01</v>
      </c>
      <c r="S470" s="510">
        <v>5229.4378999999999</v>
      </c>
      <c r="T470" s="584">
        <v>5285.23</v>
      </c>
      <c r="U470" s="164"/>
      <c r="V470" s="165">
        <v>120</v>
      </c>
      <c r="W470" s="187"/>
      <c r="X470" s="166" t="s">
        <v>285</v>
      </c>
      <c r="Y470" s="166" t="s">
        <v>162</v>
      </c>
      <c r="Z470" s="167" t="s">
        <v>1312</v>
      </c>
      <c r="AA470" s="165" t="s">
        <v>59</v>
      </c>
      <c r="AB470" s="167" t="s">
        <v>65</v>
      </c>
      <c r="AC470" s="187" t="s">
        <v>92</v>
      </c>
      <c r="AD470" s="160"/>
      <c r="AE470" s="160" t="s">
        <v>1121</v>
      </c>
      <c r="AF470" s="160" t="s">
        <v>1309</v>
      </c>
      <c r="AG470" s="160"/>
      <c r="AH470" s="160"/>
      <c r="AI470" s="162" t="s">
        <v>59</v>
      </c>
      <c r="AJ470" s="544"/>
      <c r="AK470" s="544"/>
      <c r="AL470" s="544"/>
      <c r="AM470" s="544"/>
      <c r="AN470" s="544"/>
      <c r="AO470" s="544" t="s">
        <v>1313</v>
      </c>
      <c r="AP470" s="544"/>
      <c r="AQ470" s="544"/>
      <c r="AR470" s="544"/>
      <c r="AS470" s="544"/>
      <c r="AT470" s="544"/>
      <c r="AU470" s="544"/>
      <c r="AV470" s="544"/>
      <c r="AW470" s="544"/>
      <c r="AX470" s="544"/>
      <c r="AY470" s="544"/>
      <c r="AZ470" s="162" t="s">
        <v>59</v>
      </c>
      <c r="BA470" s="160">
        <f>(COUNTIF(AJ470:AL470,"*OK*")*3) + (COUNTIF(AM470:AO470,"*OK*")*2) + COUNTIF(AP470:AR470,"*OK*")+COUNTIF(AZ470:AZ470,"SI")*0.5</f>
        <v>2</v>
      </c>
      <c r="BB470" s="160" t="str">
        <f>IF(BA470&lt;0.6,"Demasiado Riesgo",IF(BA470&lt;=5,"Riesgo Medio",IF(BA470&lt;=11,"Riesgo Bajo","Cliente Blindado")))</f>
        <v>Riesgo Medio</v>
      </c>
      <c r="BC470" s="160"/>
      <c r="BD470" s="160"/>
      <c r="BE470" s="160">
        <v>0</v>
      </c>
      <c r="BF470" s="160"/>
      <c r="BG470" s="160"/>
      <c r="BH470" s="160"/>
      <c r="BI470" s="160"/>
      <c r="BJ470" s="160"/>
      <c r="BK470" s="160"/>
      <c r="BL470" s="160"/>
      <c r="BM470" s="160"/>
      <c r="BN470" s="160"/>
      <c r="BO470" s="160"/>
      <c r="BP470" s="160"/>
      <c r="BQ470" s="160"/>
      <c r="BR470" s="160"/>
      <c r="BS470" s="160"/>
      <c r="BT470" s="160"/>
      <c r="BU470" s="160"/>
      <c r="BV470" s="160"/>
      <c r="BW470" s="160"/>
      <c r="BX470" s="160"/>
      <c r="BY470" s="160"/>
      <c r="BZ470" s="160"/>
      <c r="CA470" s="160">
        <f>COUNTIF(AJ470:AX470,"*OK*")</f>
        <v>1</v>
      </c>
      <c r="CB470" s="160"/>
      <c r="CC470" s="160">
        <f>COUNTIF(AJ470:AX470,"*OP*")</f>
        <v>0</v>
      </c>
    </row>
    <row r="471" spans="1:81" ht="15" hidden="1" customHeight="1">
      <c r="A471" s="241">
        <v>3468</v>
      </c>
      <c r="B471" s="160"/>
      <c r="C471" s="468" t="str">
        <f>T471</f>
        <v> </v>
      </c>
      <c r="D471" s="160">
        <f>COUNTIF(AJ471:AX471,"*OK*")</f>
        <v>0</v>
      </c>
      <c r="E471" s="160"/>
      <c r="F471" s="249" t="s">
        <v>1314</v>
      </c>
      <c r="G471" s="160"/>
      <c r="H471" s="425" t="s">
        <v>1315</v>
      </c>
      <c r="I471" s="425"/>
      <c r="J471" s="160" t="s">
        <v>1303</v>
      </c>
      <c r="K471" s="220"/>
      <c r="L471" s="160" t="s">
        <v>1106</v>
      </c>
      <c r="M471" s="160"/>
      <c r="N471" s="160"/>
      <c r="O471" s="592"/>
      <c r="P471" s="592"/>
      <c r="Q471" s="592"/>
      <c r="R471" s="533">
        <v>2098.89</v>
      </c>
      <c r="S471" s="510"/>
      <c r="T471" s="593" t="s">
        <v>59</v>
      </c>
      <c r="U471" s="164"/>
      <c r="V471" s="165"/>
      <c r="W471" s="160"/>
      <c r="X471" s="207" t="s">
        <v>70</v>
      </c>
      <c r="Y471" s="166" t="s">
        <v>89</v>
      </c>
      <c r="Z471" s="167" t="s">
        <v>1316</v>
      </c>
      <c r="AA471" s="163" t="s">
        <v>59</v>
      </c>
      <c r="AB471" s="167" t="s">
        <v>493</v>
      </c>
      <c r="AC471" s="168" t="s">
        <v>92</v>
      </c>
      <c r="AD471" s="160"/>
      <c r="AE471" s="160"/>
      <c r="AF471" s="160"/>
      <c r="AG471" s="160"/>
      <c r="AH471" s="160"/>
      <c r="AI471" s="162" t="s">
        <v>1317</v>
      </c>
      <c r="AJ471" s="544"/>
      <c r="AK471" s="544"/>
      <c r="AL471" s="544" t="s">
        <v>173</v>
      </c>
      <c r="AM471" s="544"/>
      <c r="AN471" s="544"/>
      <c r="AO471" s="544"/>
      <c r="AP471" s="544"/>
      <c r="AQ471" s="544"/>
      <c r="AR471" s="544"/>
      <c r="AS471" s="544"/>
      <c r="AT471" s="544"/>
      <c r="AU471" s="544"/>
      <c r="AV471" s="544"/>
      <c r="AW471" s="544"/>
      <c r="AX471" s="544"/>
      <c r="AY471" s="544"/>
      <c r="AZ471" s="162" t="s">
        <v>59</v>
      </c>
      <c r="BA471" s="160">
        <f>(COUNTIF(AJ471:AL471,"*OK*")*3) + (COUNTIF(AM471:AO471,"*OK*")*2) + COUNTIF(AP471:AR471,"*OK*")+COUNTIF(AZ471:AZ471,"SI")*0.5</f>
        <v>0</v>
      </c>
      <c r="BB471" s="160" t="str">
        <f>IF(BA471&lt;0.6,"Demasiado Riesgo",IF(BA471&lt;=5,"Riesgo Medio",IF(BA471&lt;=11,"Riesgo Bajo","Cliente Blindado")))</f>
        <v>Demasiado Riesgo</v>
      </c>
      <c r="BC471" s="160"/>
      <c r="BD471" s="160"/>
      <c r="BE471" s="160">
        <v>0</v>
      </c>
      <c r="BF471" s="160"/>
      <c r="BG471" s="160"/>
      <c r="BH471" s="160"/>
      <c r="BI471" s="160"/>
      <c r="BJ471" s="160"/>
      <c r="BK471" s="160"/>
      <c r="BL471" s="160"/>
      <c r="BM471" s="160"/>
      <c r="BN471" s="160"/>
      <c r="BO471" s="160"/>
      <c r="BP471" s="160"/>
      <c r="BQ471" s="160"/>
      <c r="BR471" s="160"/>
      <c r="BS471" s="160"/>
      <c r="BT471" s="160"/>
      <c r="BU471" s="160"/>
      <c r="BV471" s="160"/>
      <c r="BW471" s="160"/>
      <c r="BX471" s="160"/>
      <c r="BY471" s="160"/>
      <c r="BZ471" s="160"/>
      <c r="CA471" s="160">
        <f>COUNTIF(AJ471:AX471,"*OK*")</f>
        <v>0</v>
      </c>
      <c r="CB471" s="160"/>
      <c r="CC471" s="160">
        <f>COUNTIF(AJ471:AX471,"*OP*")</f>
        <v>1</v>
      </c>
    </row>
    <row r="472" spans="1:81" ht="15" hidden="1" customHeight="1">
      <c r="A472" s="241">
        <v>26509</v>
      </c>
      <c r="B472" s="160"/>
      <c r="C472" s="468" t="str">
        <f>T472</f>
        <v> </v>
      </c>
      <c r="D472" s="160">
        <f>COUNTIF(AJ472:AX472,"*OK*")</f>
        <v>1</v>
      </c>
      <c r="E472" s="160"/>
      <c r="F472" s="182" t="s">
        <v>1318</v>
      </c>
      <c r="G472" s="182"/>
      <c r="H472" s="187"/>
      <c r="I472" s="187"/>
      <c r="J472" s="182"/>
      <c r="K472" s="196" t="s">
        <v>79</v>
      </c>
      <c r="L472" s="182" t="s">
        <v>1106</v>
      </c>
      <c r="M472" s="182"/>
      <c r="N472" s="182"/>
      <c r="O472" s="250">
        <v>999.06</v>
      </c>
      <c r="P472" s="250">
        <v>877.49</v>
      </c>
      <c r="Q472" s="250">
        <v>775.38</v>
      </c>
      <c r="R472" s="251">
        <v>847.19</v>
      </c>
      <c r="S472" s="510"/>
      <c r="T472" s="560" t="s">
        <v>59</v>
      </c>
      <c r="U472" s="164"/>
      <c r="V472" s="165">
        <v>300</v>
      </c>
      <c r="W472" s="187"/>
      <c r="X472" s="166" t="s">
        <v>70</v>
      </c>
      <c r="Y472" s="166" t="s">
        <v>270</v>
      </c>
      <c r="Z472" s="167" t="s">
        <v>1319</v>
      </c>
      <c r="AA472" s="165" t="s">
        <v>59</v>
      </c>
      <c r="AB472" s="167" t="s">
        <v>104</v>
      </c>
      <c r="AC472" s="187" t="s">
        <v>92</v>
      </c>
      <c r="AD472" s="160"/>
      <c r="AE472" s="160" t="s">
        <v>1108</v>
      </c>
      <c r="AF472" s="160"/>
      <c r="AG472" s="160"/>
      <c r="AH472" s="160"/>
      <c r="AI472" s="162" t="s">
        <v>127</v>
      </c>
      <c r="AJ472" s="544"/>
      <c r="AK472" s="544"/>
      <c r="AL472" s="544"/>
      <c r="AM472" s="544"/>
      <c r="AN472" s="544"/>
      <c r="AO472" s="544"/>
      <c r="AP472" s="544"/>
      <c r="AQ472" s="595" t="s">
        <v>111</v>
      </c>
      <c r="AR472" s="544"/>
      <c r="AS472" s="544"/>
      <c r="AT472" s="544"/>
      <c r="AU472" s="544"/>
      <c r="AV472" s="544"/>
      <c r="AW472" s="544"/>
      <c r="AX472" s="544"/>
      <c r="AY472" s="544"/>
      <c r="AZ472" s="162" t="s">
        <v>178</v>
      </c>
      <c r="BA472" s="160">
        <f>(COUNTIF(AJ472:AL472,"*OK*")*3) + (COUNTIF(AM472:AO472,"*OK*")*2) + COUNTIF(AP472:AR472,"*OK*")+COUNTIF(AZ472:AZ472,"SI")*0.5</f>
        <v>1</v>
      </c>
      <c r="BB472" s="160" t="str">
        <f>IF(BA472&lt;0.6,"Demasiado Riesgo",IF(BA472&lt;=5,"Riesgo Medio",IF(BA472&lt;=11,"Riesgo Bajo","Cliente Blindado")))</f>
        <v>Riesgo Medio</v>
      </c>
      <c r="BC472" s="160"/>
      <c r="BD472" s="160"/>
      <c r="BE472" s="160">
        <v>0</v>
      </c>
      <c r="BF472" s="160"/>
      <c r="BG472" s="160"/>
      <c r="BH472" s="160"/>
      <c r="BI472" s="160"/>
      <c r="BJ472" s="160"/>
      <c r="BK472" s="160"/>
      <c r="BL472" s="160"/>
      <c r="BM472" s="160"/>
      <c r="BN472" s="160"/>
      <c r="BO472" s="160"/>
      <c r="BP472" s="160"/>
      <c r="BQ472" s="160"/>
      <c r="BR472" s="160"/>
      <c r="BS472" s="160"/>
      <c r="BT472" s="160"/>
      <c r="BU472" s="160"/>
      <c r="BV472" s="160"/>
      <c r="BW472" s="160"/>
      <c r="BX472" s="160"/>
      <c r="BY472" s="160"/>
      <c r="BZ472" s="160"/>
      <c r="CA472" s="160">
        <f>COUNTIF(AJ472:AX472,"*OK*")</f>
        <v>1</v>
      </c>
      <c r="CB472" s="160"/>
      <c r="CC472" s="160">
        <f>COUNTIF(AJ472:AX472,"*OP*")</f>
        <v>0</v>
      </c>
    </row>
    <row r="473" spans="1:81" ht="15" hidden="1" customHeight="1">
      <c r="A473" s="241">
        <v>1049</v>
      </c>
      <c r="B473" s="160"/>
      <c r="C473" s="468" t="str">
        <f>T473</f>
        <v> </v>
      </c>
      <c r="D473" s="160">
        <f>COUNTIF(AJ473:AX473,"*OK*")</f>
        <v>0</v>
      </c>
      <c r="E473" s="160"/>
      <c r="F473" s="182" t="s">
        <v>1320</v>
      </c>
      <c r="G473" s="182"/>
      <c r="H473" s="187"/>
      <c r="I473" s="187"/>
      <c r="J473" s="182"/>
      <c r="K473" s="196" t="s">
        <v>79</v>
      </c>
      <c r="L473" s="182" t="s">
        <v>1106</v>
      </c>
      <c r="M473" s="182"/>
      <c r="N473" s="182"/>
      <c r="O473" s="250">
        <v>693.8</v>
      </c>
      <c r="P473" s="250">
        <v>563.30999999999995</v>
      </c>
      <c r="Q473" s="250">
        <v>508.94</v>
      </c>
      <c r="R473" s="251">
        <v>438.97</v>
      </c>
      <c r="S473" s="510">
        <v>415.7022</v>
      </c>
      <c r="T473" s="560" t="s">
        <v>59</v>
      </c>
      <c r="U473" s="164"/>
      <c r="V473" s="165">
        <v>400</v>
      </c>
      <c r="W473" s="187"/>
      <c r="X473" s="166" t="s">
        <v>285</v>
      </c>
      <c r="Y473" s="166" t="s">
        <v>152</v>
      </c>
      <c r="Z473" s="167" t="s">
        <v>1321</v>
      </c>
      <c r="AA473" s="165" t="s">
        <v>59</v>
      </c>
      <c r="AB473" s="167" t="s">
        <v>65</v>
      </c>
      <c r="AC473" s="187" t="s">
        <v>84</v>
      </c>
      <c r="AD473" s="160"/>
      <c r="AE473" s="160" t="s">
        <v>1108</v>
      </c>
      <c r="AF473" s="160"/>
      <c r="AG473" s="160"/>
      <c r="AH473" s="160"/>
      <c r="AI473" s="162"/>
      <c r="AJ473" s="544"/>
      <c r="AK473" s="544"/>
      <c r="AL473" s="544"/>
      <c r="AM473" s="544"/>
      <c r="AN473" s="544"/>
      <c r="AO473" s="544"/>
      <c r="AP473" s="544"/>
      <c r="AQ473" s="544"/>
      <c r="AR473" s="544"/>
      <c r="AS473" s="544"/>
      <c r="AT473" s="544"/>
      <c r="AU473" s="544"/>
      <c r="AV473" s="544"/>
      <c r="AW473" s="544"/>
      <c r="AX473" s="544"/>
      <c r="AY473" s="544"/>
      <c r="AZ473" s="162" t="s">
        <v>59</v>
      </c>
      <c r="BA473" s="160">
        <f>(COUNTIF(AJ473:AL473,"*OK*")*3) + (COUNTIF(AM473:AO473,"*OK*")*2) + COUNTIF(AP473:AR473,"*OK*")+COUNTIF(AZ473:AZ473,"SI")*0.5</f>
        <v>0</v>
      </c>
      <c r="BB473" s="160" t="str">
        <f>IF(BA473&lt;0.6,"Demasiado Riesgo",IF(BA473&lt;=5,"Riesgo Medio",IF(BA473&lt;=11,"Riesgo Bajo","Cliente Blindado")))</f>
        <v>Demasiado Riesgo</v>
      </c>
      <c r="BC473" s="160"/>
      <c r="BD473" s="160"/>
      <c r="BE473" s="160">
        <v>0</v>
      </c>
      <c r="BF473" s="160"/>
      <c r="BG473" s="160"/>
      <c r="BH473" s="160"/>
      <c r="BI473" s="160"/>
      <c r="BJ473" s="160"/>
      <c r="BK473" s="160"/>
      <c r="BL473" s="160"/>
      <c r="BM473" s="160"/>
      <c r="BN473" s="160"/>
      <c r="BO473" s="160"/>
      <c r="BP473" s="160"/>
      <c r="BQ473" s="160"/>
      <c r="BR473" s="160"/>
      <c r="BS473" s="160"/>
      <c r="BT473" s="160"/>
      <c r="BU473" s="160"/>
      <c r="BV473" s="160"/>
      <c r="BW473" s="160"/>
      <c r="BX473" s="160"/>
      <c r="BY473" s="160"/>
      <c r="BZ473" s="160"/>
      <c r="CA473" s="160">
        <f>COUNTIF(AJ473:AX473,"*OK*")</f>
        <v>0</v>
      </c>
      <c r="CB473" s="160"/>
      <c r="CC473" s="160">
        <f>COUNTIF(AJ473:AX473,"*OP*")</f>
        <v>0</v>
      </c>
    </row>
    <row r="474" spans="1:81" ht="15" hidden="1" customHeight="1">
      <c r="A474" s="240">
        <v>18410</v>
      </c>
      <c r="B474" s="171"/>
      <c r="C474" s="468" t="str">
        <f>T474</f>
        <v> </v>
      </c>
      <c r="D474" s="171">
        <f>COUNTIF(AJ474:AX474,"*OK*")</f>
        <v>0</v>
      </c>
      <c r="E474" s="171"/>
      <c r="F474" s="422" t="s">
        <v>1322</v>
      </c>
      <c r="G474" s="171"/>
      <c r="H474" s="179"/>
      <c r="I474" s="179"/>
      <c r="J474" s="171" t="s">
        <v>1303</v>
      </c>
      <c r="K474" s="236"/>
      <c r="L474" s="171" t="s">
        <v>1106</v>
      </c>
      <c r="M474" s="171"/>
      <c r="N474" s="171"/>
      <c r="O474" s="588"/>
      <c r="P474" s="588"/>
      <c r="Q474" s="588"/>
      <c r="R474" s="535">
        <v>307.82</v>
      </c>
      <c r="S474" s="512"/>
      <c r="T474" s="562" t="s">
        <v>59</v>
      </c>
      <c r="U474" s="175"/>
      <c r="V474" s="176">
        <v>100</v>
      </c>
      <c r="W474" s="171"/>
      <c r="X474" s="211" t="s">
        <v>70</v>
      </c>
      <c r="Y474" s="177" t="s">
        <v>108</v>
      </c>
      <c r="Z474" s="178" t="s">
        <v>1323</v>
      </c>
      <c r="AA474" s="174" t="s">
        <v>59</v>
      </c>
      <c r="AB474" s="178" t="s">
        <v>65</v>
      </c>
      <c r="AC474" s="179" t="s">
        <v>97</v>
      </c>
      <c r="AD474" s="171"/>
      <c r="AE474" s="171"/>
      <c r="AF474" s="171"/>
      <c r="AG474" s="171"/>
      <c r="AH474" s="171"/>
      <c r="AI474" s="173"/>
      <c r="AJ474" s="544"/>
      <c r="AK474" s="544"/>
      <c r="AL474" s="544"/>
      <c r="AM474" s="544"/>
      <c r="AN474" s="544"/>
      <c r="AO474" s="544"/>
      <c r="AP474" s="544"/>
      <c r="AQ474" s="544"/>
      <c r="AR474" s="544"/>
      <c r="AS474" s="544"/>
      <c r="AT474" s="544"/>
      <c r="AU474" s="544"/>
      <c r="AV474" s="544"/>
      <c r="AW474" s="544"/>
      <c r="AX474" s="544"/>
      <c r="AY474" s="544"/>
      <c r="AZ474" s="173" t="s">
        <v>59</v>
      </c>
      <c r="BA474" s="171">
        <f>(COUNTIF(AJ474:AL474,"*OK*")*3) + (COUNTIF(AM474:AO474,"*OK*")*2) + COUNTIF(AP474:AR474,"*OK*")+COUNTIF(AZ474:AZ474,"SI")*0.5</f>
        <v>0</v>
      </c>
      <c r="BB474" s="171" t="str">
        <f>IF(BA474&lt;0.6,"Demasiado Riesgo",IF(BA474&lt;=5,"Riesgo Medio",IF(BA474&lt;=11,"Riesgo Bajo","Cliente Blindado")))</f>
        <v>Demasiado Riesgo</v>
      </c>
      <c r="BC474" s="171"/>
      <c r="BD474" s="171"/>
      <c r="BE474" s="171">
        <v>0</v>
      </c>
      <c r="BF474" s="171"/>
      <c r="BG474" s="171"/>
      <c r="BH474" s="171"/>
      <c r="BI474" s="171"/>
      <c r="BJ474" s="171"/>
      <c r="BK474" s="171"/>
      <c r="BL474" s="171"/>
      <c r="BM474" s="171"/>
      <c r="BN474" s="171"/>
      <c r="BO474" s="171"/>
      <c r="BP474" s="171"/>
      <c r="BQ474" s="171"/>
      <c r="BR474" s="171"/>
      <c r="BS474" s="171"/>
      <c r="BT474" s="171"/>
      <c r="BU474" s="171"/>
      <c r="BV474" s="171"/>
      <c r="BW474" s="171"/>
      <c r="BX474" s="171"/>
      <c r="BY474" s="171"/>
      <c r="BZ474" s="171"/>
      <c r="CA474" s="171">
        <f>COUNTIF(AJ474:AX474,"*OK*")</f>
        <v>0</v>
      </c>
      <c r="CB474" s="171"/>
      <c r="CC474" s="171">
        <f>COUNTIF(AJ474:AX474,"*OP*")</f>
        <v>0</v>
      </c>
    </row>
    <row r="475" spans="1:81" ht="15" hidden="1" customHeight="1">
      <c r="A475" s="241"/>
      <c r="B475" s="160"/>
      <c r="C475" s="468" t="str">
        <f>T475</f>
        <v> </v>
      </c>
      <c r="D475" s="160">
        <f>COUNTIF(AJ475:AX475,"*OK*")</f>
        <v>0</v>
      </c>
      <c r="E475" s="160"/>
      <c r="F475" s="423" t="s">
        <v>1324</v>
      </c>
      <c r="G475" s="182" t="s">
        <v>1110</v>
      </c>
      <c r="H475" s="187"/>
      <c r="I475" s="187"/>
      <c r="J475" s="182"/>
      <c r="K475" s="196" t="s">
        <v>79</v>
      </c>
      <c r="L475" s="182" t="s">
        <v>1106</v>
      </c>
      <c r="M475" s="182"/>
      <c r="N475" s="182"/>
      <c r="O475" s="250">
        <v>162.41</v>
      </c>
      <c r="P475" s="250">
        <v>162.26</v>
      </c>
      <c r="Q475" s="250">
        <v>154.63</v>
      </c>
      <c r="R475" s="251">
        <v>159.61000000000001</v>
      </c>
      <c r="S475" s="510">
        <v>0</v>
      </c>
      <c r="T475" s="560" t="s">
        <v>59</v>
      </c>
      <c r="U475" s="164"/>
      <c r="V475" s="165">
        <v>150</v>
      </c>
      <c r="W475" s="187"/>
      <c r="X475" s="207" t="s">
        <v>70</v>
      </c>
      <c r="Y475" s="166" t="s">
        <v>243</v>
      </c>
      <c r="Z475" s="167" t="s">
        <v>1325</v>
      </c>
      <c r="AA475" s="165" t="s">
        <v>59</v>
      </c>
      <c r="AB475" s="167" t="s">
        <v>65</v>
      </c>
      <c r="AC475" s="187" t="s">
        <v>92</v>
      </c>
      <c r="AD475" s="160"/>
      <c r="AE475" s="160" t="s">
        <v>1108</v>
      </c>
      <c r="AF475" s="160"/>
      <c r="AG475" s="160"/>
      <c r="AH475" s="160"/>
      <c r="AI475" s="162"/>
      <c r="AJ475" s="544"/>
      <c r="AK475" s="544"/>
      <c r="AL475" s="544"/>
      <c r="AM475" s="544"/>
      <c r="AN475" s="544"/>
      <c r="AO475" s="544"/>
      <c r="AP475" s="544"/>
      <c r="AQ475" s="544"/>
      <c r="AR475" s="544"/>
      <c r="AS475" s="544"/>
      <c r="AT475" s="544"/>
      <c r="AU475" s="544"/>
      <c r="AV475" s="544"/>
      <c r="AW475" s="544"/>
      <c r="AX475" s="544"/>
      <c r="AY475" s="544"/>
      <c r="AZ475" s="162" t="s">
        <v>59</v>
      </c>
      <c r="BA475" s="160">
        <f>(COUNTIF(AJ475:AL475,"*OK*")*3) + (COUNTIF(AM475:AO475,"*OK*")*2) + COUNTIF(AP475:AR475,"*OK*")+COUNTIF(AZ475:AZ475,"SI")*0.5</f>
        <v>0</v>
      </c>
      <c r="BB475" s="160" t="str">
        <f>IF(BA475&lt;0.6,"Demasiado Riesgo",IF(BA475&lt;=5,"Riesgo Medio",IF(BA475&lt;=11,"Riesgo Bajo","Cliente Blindado")))</f>
        <v>Demasiado Riesgo</v>
      </c>
      <c r="BC475" s="160"/>
      <c r="BD475" s="160"/>
      <c r="BE475" s="160">
        <v>0</v>
      </c>
      <c r="BF475" s="160"/>
      <c r="BG475" s="160"/>
      <c r="BH475" s="160"/>
      <c r="BI475" s="160"/>
      <c r="BJ475" s="160"/>
      <c r="BK475" s="160"/>
      <c r="BL475" s="160"/>
      <c r="BM475" s="160"/>
      <c r="BN475" s="160"/>
      <c r="BO475" s="160"/>
      <c r="BP475" s="160"/>
      <c r="BQ475" s="160"/>
      <c r="BR475" s="160"/>
      <c r="BS475" s="160"/>
      <c r="BT475" s="160"/>
      <c r="BU475" s="160"/>
      <c r="BV475" s="160"/>
      <c r="BW475" s="160"/>
      <c r="BX475" s="160"/>
      <c r="BY475" s="160"/>
      <c r="BZ475" s="160"/>
      <c r="CA475" s="160">
        <f>COUNTIF(AJ475:AX475,"*OK*")</f>
        <v>0</v>
      </c>
      <c r="CB475" s="160"/>
      <c r="CC475" s="160">
        <f>COUNTIF(AJ475:AX475,"*OP*")</f>
        <v>0</v>
      </c>
    </row>
    <row r="476" spans="1:81" ht="15" customHeight="1">
      <c r="A476" s="241"/>
      <c r="B476" s="160"/>
      <c r="C476" s="469"/>
      <c r="D476" s="160">
        <f>COUNTIF(AN476:AY476,"OK")</f>
        <v>0</v>
      </c>
      <c r="E476" s="160"/>
      <c r="F476" s="160"/>
      <c r="G476" s="160"/>
      <c r="H476" s="168"/>
      <c r="I476" s="168"/>
      <c r="J476" s="160"/>
      <c r="K476" s="220"/>
      <c r="L476" s="160"/>
      <c r="M476" s="160"/>
      <c r="N476" s="160"/>
      <c r="O476" s="223"/>
      <c r="P476" s="223"/>
      <c r="Q476" s="223"/>
      <c r="R476" s="239"/>
      <c r="S476" s="462"/>
      <c r="T476" s="564"/>
      <c r="U476" s="164"/>
      <c r="V476" s="165" t="s">
        <v>59</v>
      </c>
      <c r="W476" s="160"/>
      <c r="X476" s="166"/>
      <c r="Y476" s="166"/>
      <c r="Z476" s="167"/>
      <c r="AA476" s="163" t="s">
        <v>59</v>
      </c>
      <c r="AB476" s="167"/>
      <c r="AC476" s="168"/>
      <c r="AD476" s="160"/>
      <c r="AE476" s="160"/>
      <c r="AF476" s="160"/>
      <c r="AG476" s="160"/>
      <c r="AH476" s="160"/>
      <c r="AI476" s="160"/>
      <c r="AZ476" s="160"/>
      <c r="BA476" s="160">
        <f>(COUNTIF(AJ476:AL476,"*OK*")*3) + (COUNTIF(AM476:AO476,"*OK*")*2) + COUNTIF(AP476:AR476,"*OK*")+COUNTIF(AZ476:AZ476,"SI")*0.5</f>
        <v>0</v>
      </c>
      <c r="BB476" s="160" t="str">
        <f>IF(BA476&lt;0.6,"Demasiado Riesgo",IF(BA476&lt;=5,"Riesgo Medio",IF(BA476&lt;=11,"Riesgo Bajo","Cliente Blindado")))</f>
        <v>Demasiado Riesgo</v>
      </c>
      <c r="BC476" s="160"/>
      <c r="BD476" s="160"/>
      <c r="BE476" s="160"/>
      <c r="BF476" s="160"/>
      <c r="BG476" s="160"/>
      <c r="BH476" s="160"/>
      <c r="BI476" s="160"/>
      <c r="BJ476" s="160"/>
      <c r="BK476" s="160"/>
      <c r="BL476" s="160"/>
      <c r="BM476" s="160"/>
      <c r="BN476" s="160"/>
      <c r="BO476" s="160"/>
      <c r="BP476" s="160"/>
      <c r="BQ476" s="160"/>
      <c r="BR476" s="160"/>
      <c r="BS476" s="160"/>
      <c r="BT476" s="160"/>
      <c r="BU476" s="160"/>
      <c r="BV476" s="160"/>
      <c r="BW476" s="160"/>
      <c r="BX476" s="160"/>
      <c r="BY476" s="160"/>
      <c r="BZ476" s="160"/>
      <c r="CA476" s="160">
        <f>COUNTIF(AJ476:AX476,"*OK*")</f>
        <v>0</v>
      </c>
    </row>
    <row r="477" spans="1:81" ht="15" customHeight="1">
      <c r="A477" s="240"/>
      <c r="B477" s="171"/>
      <c r="C477" s="470"/>
      <c r="D477" s="171">
        <f>COUNTIF(AN477:AY477,"OK")</f>
        <v>0</v>
      </c>
      <c r="E477" s="171"/>
      <c r="F477" s="171"/>
      <c r="G477" s="171"/>
      <c r="H477" s="179"/>
      <c r="I477" s="179"/>
      <c r="J477" s="171"/>
      <c r="K477" s="236"/>
      <c r="L477" s="171"/>
      <c r="M477" s="171"/>
      <c r="N477" s="171"/>
      <c r="O477" s="237"/>
      <c r="P477" s="237"/>
      <c r="Q477" s="237"/>
      <c r="R477" s="238"/>
      <c r="S477" s="463"/>
      <c r="T477" s="565"/>
      <c r="U477" s="175"/>
      <c r="V477" s="176" t="s">
        <v>59</v>
      </c>
      <c r="W477" s="171"/>
      <c r="X477" s="177"/>
      <c r="Y477" s="177"/>
      <c r="Z477" s="178"/>
      <c r="AA477" s="174" t="s">
        <v>59</v>
      </c>
      <c r="AB477" s="178"/>
      <c r="AC477" s="179"/>
      <c r="AD477" s="171"/>
      <c r="AE477" s="171"/>
      <c r="AF477" s="171"/>
      <c r="AG477" s="171"/>
      <c r="AH477" s="171"/>
      <c r="AI477" s="171"/>
      <c r="AZ477" s="171"/>
      <c r="BA477" s="171">
        <f>(COUNTIF(AJ477:AL477,"*OK*")*3) + (COUNTIF(AM477:AO477,"*OK*")*2) + COUNTIF(AP477:AR477,"*OK*")+COUNTIF(AZ477:AZ477,"SI")*0.5</f>
        <v>0</v>
      </c>
      <c r="BB477" s="171" t="str">
        <f>IF(BA477&lt;0.6,"Demasiado Riesgo",IF(BA477&lt;=5,"Riesgo Medio",IF(BA477&lt;=11,"Riesgo Bajo","Cliente Blindado")))</f>
        <v>Demasiado Riesgo</v>
      </c>
      <c r="BC477" s="171"/>
      <c r="BD477" s="171"/>
      <c r="BE477" s="171"/>
      <c r="BF477" s="171"/>
      <c r="BG477" s="171"/>
      <c r="BH477" s="171"/>
      <c r="BI477" s="171"/>
      <c r="BJ477" s="171"/>
      <c r="BK477" s="171"/>
      <c r="BL477" s="171"/>
      <c r="BM477" s="171"/>
      <c r="BN477" s="171"/>
      <c r="BO477" s="171"/>
      <c r="BP477" s="171"/>
      <c r="BQ477" s="171"/>
      <c r="BR477" s="171"/>
      <c r="BS477" s="171"/>
      <c r="BT477" s="171"/>
      <c r="BU477" s="171"/>
      <c r="BV477" s="171"/>
      <c r="BW477" s="171"/>
      <c r="BX477" s="171"/>
      <c r="BY477" s="171"/>
      <c r="BZ477" s="171"/>
      <c r="CA477" s="171">
        <f>COUNTIF(AJ477:AX477,"*OK*")</f>
        <v>0</v>
      </c>
    </row>
    <row r="478" spans="1:81" ht="15" customHeight="1">
      <c r="A478" s="241"/>
      <c r="B478" s="160"/>
      <c r="C478" s="469"/>
      <c r="D478" s="160">
        <f>COUNTIF(AN478:AY478,"OK")</f>
        <v>0</v>
      </c>
      <c r="E478" s="160"/>
      <c r="F478" s="160"/>
      <c r="G478" s="160"/>
      <c r="H478" s="168"/>
      <c r="I478" s="168"/>
      <c r="J478" s="160"/>
      <c r="K478" s="220"/>
      <c r="L478" s="160"/>
      <c r="M478" s="160"/>
      <c r="N478" s="160"/>
      <c r="O478" s="223"/>
      <c r="P478" s="223"/>
      <c r="Q478" s="223"/>
      <c r="R478" s="239"/>
      <c r="S478" s="462"/>
      <c r="T478" s="564"/>
      <c r="U478" s="164"/>
      <c r="V478" s="165" t="s">
        <v>59</v>
      </c>
      <c r="W478" s="160"/>
      <c r="X478" s="166"/>
      <c r="Y478" s="166"/>
      <c r="Z478" s="167"/>
      <c r="AA478" s="163" t="s">
        <v>59</v>
      </c>
      <c r="AB478" s="167"/>
      <c r="AC478" s="168"/>
      <c r="AD478" s="160"/>
      <c r="AE478" s="160"/>
      <c r="AF478" s="160"/>
      <c r="AG478" s="160"/>
      <c r="AH478" s="160"/>
      <c r="AI478" s="160"/>
      <c r="AZ478" s="160"/>
      <c r="BA478" s="160">
        <f>(COUNTIF(AJ478:AL478,"*OK*")*3) + (COUNTIF(AM478:AO478,"*OK*")*2) + COUNTIF(AP478:AR478,"*OK*")+COUNTIF(AZ478:AZ478,"SI")*0.5</f>
        <v>0</v>
      </c>
      <c r="BB478" s="160" t="str">
        <f>IF(BA478&lt;0.6,"Demasiado Riesgo",IF(BA478&lt;=5,"Riesgo Medio",IF(BA478&lt;=11,"Riesgo Bajo","Cliente Blindado")))</f>
        <v>Demasiado Riesgo</v>
      </c>
      <c r="BC478" s="160"/>
      <c r="BD478" s="160"/>
      <c r="BE478" s="160"/>
      <c r="BF478" s="160"/>
      <c r="BG478" s="160"/>
      <c r="BH478" s="160"/>
      <c r="BI478" s="160"/>
      <c r="BJ478" s="160"/>
      <c r="BK478" s="160"/>
      <c r="BL478" s="160"/>
      <c r="BM478" s="160"/>
      <c r="BN478" s="160"/>
      <c r="BO478" s="160"/>
      <c r="BP478" s="160"/>
      <c r="BQ478" s="160"/>
      <c r="BR478" s="160"/>
      <c r="BS478" s="160"/>
      <c r="BT478" s="160"/>
      <c r="BU478" s="160"/>
      <c r="BV478" s="160"/>
      <c r="BW478" s="160"/>
      <c r="BX478" s="160"/>
      <c r="BY478" s="160"/>
      <c r="BZ478" s="160"/>
      <c r="CA478" s="160">
        <f>COUNTIF(AJ478:AX478,"*OK*")</f>
        <v>0</v>
      </c>
    </row>
    <row r="479" spans="1:81" ht="15" customHeight="1">
      <c r="A479" s="240"/>
      <c r="B479" s="171"/>
      <c r="C479" s="470"/>
      <c r="D479" s="171">
        <f>COUNTIF(AN479:AY479,"OK")</f>
        <v>0</v>
      </c>
      <c r="E479" s="171"/>
      <c r="F479" s="171"/>
      <c r="G479" s="171"/>
      <c r="H479" s="179"/>
      <c r="I479" s="179"/>
      <c r="J479" s="171"/>
      <c r="K479" s="236"/>
      <c r="L479" s="171"/>
      <c r="M479" s="171"/>
      <c r="N479" s="171"/>
      <c r="O479" s="237"/>
      <c r="P479" s="237"/>
      <c r="Q479" s="237"/>
      <c r="R479" s="238"/>
      <c r="S479" s="463"/>
      <c r="T479" s="565"/>
      <c r="U479" s="175"/>
      <c r="V479" s="176" t="s">
        <v>59</v>
      </c>
      <c r="W479" s="171"/>
      <c r="X479" s="177"/>
      <c r="Y479" s="177"/>
      <c r="Z479" s="178"/>
      <c r="AA479" s="174" t="s">
        <v>59</v>
      </c>
      <c r="AB479" s="178"/>
      <c r="AC479" s="179"/>
      <c r="AD479" s="171"/>
      <c r="AE479" s="171"/>
      <c r="AF479" s="171"/>
      <c r="AG479" s="171"/>
      <c r="AH479" s="171"/>
      <c r="AI479" s="171"/>
      <c r="AZ479" s="171"/>
      <c r="BA479" s="171">
        <f>(COUNTIF(AJ479:AL479,"*OK*")*3) + (COUNTIF(AM479:AO479,"*OK*")*2) + COUNTIF(AP479:AR479,"*OK*")+COUNTIF(AZ479:AZ479,"SI")*0.5</f>
        <v>0</v>
      </c>
      <c r="BB479" s="171" t="str">
        <f>IF(BA479&lt;0.6,"Demasiado Riesgo",IF(BA479&lt;=5,"Riesgo Medio",IF(BA479&lt;=11,"Riesgo Bajo","Cliente Blindado")))</f>
        <v>Demasiado Riesgo</v>
      </c>
      <c r="BC479" s="171"/>
      <c r="BD479" s="171"/>
      <c r="BE479" s="171"/>
      <c r="BF479" s="171"/>
      <c r="BG479" s="171"/>
      <c r="BH479" s="171"/>
      <c r="BI479" s="171"/>
      <c r="BJ479" s="171"/>
      <c r="BK479" s="171"/>
      <c r="BL479" s="171"/>
      <c r="BM479" s="171"/>
      <c r="BN479" s="171"/>
      <c r="BO479" s="171"/>
      <c r="BP479" s="171"/>
      <c r="BQ479" s="171"/>
      <c r="BR479" s="171"/>
      <c r="BS479" s="171"/>
      <c r="BT479" s="171"/>
      <c r="BU479" s="171"/>
      <c r="BV479" s="171"/>
      <c r="BW479" s="171"/>
      <c r="BX479" s="171"/>
      <c r="BY479" s="171"/>
      <c r="BZ479" s="171"/>
      <c r="CA479" s="171">
        <f>COUNTIF(AJ479:AX479,"*OK*")</f>
        <v>0</v>
      </c>
    </row>
    <row r="480" spans="1:81" ht="15" customHeight="1">
      <c r="A480" s="241"/>
      <c r="B480" s="160"/>
      <c r="C480" s="469"/>
      <c r="D480" s="160">
        <f>COUNTIF(AN480:AY480,"OK")</f>
        <v>0</v>
      </c>
      <c r="E480" s="160"/>
      <c r="F480" s="160"/>
      <c r="G480" s="160"/>
      <c r="H480" s="168"/>
      <c r="I480" s="168"/>
      <c r="J480" s="160"/>
      <c r="K480" s="220"/>
      <c r="L480" s="160"/>
      <c r="M480" s="160"/>
      <c r="N480" s="160"/>
      <c r="O480" s="223"/>
      <c r="P480" s="223"/>
      <c r="Q480" s="223"/>
      <c r="R480" s="239"/>
      <c r="S480" s="462"/>
      <c r="T480" s="564"/>
      <c r="U480" s="164"/>
      <c r="V480" s="165" t="s">
        <v>59</v>
      </c>
      <c r="W480" s="160"/>
      <c r="X480" s="166"/>
      <c r="Y480" s="166"/>
      <c r="Z480" s="167"/>
      <c r="AA480" s="163" t="s">
        <v>59</v>
      </c>
      <c r="AB480" s="167"/>
      <c r="AC480" s="168"/>
      <c r="AD480" s="160"/>
      <c r="AE480" s="160"/>
      <c r="AF480" s="160"/>
      <c r="AG480" s="160"/>
      <c r="AH480" s="160"/>
      <c r="AI480" s="160"/>
      <c r="AZ480" s="160"/>
      <c r="BA480" s="160">
        <f>(COUNTIF(AJ480:AL480,"*OK*")*3) + (COUNTIF(AM480:AO480,"*OK*")*2) + COUNTIF(AP480:AR480,"*OK*")+COUNTIF(AZ480:AZ480,"SI")*0.5</f>
        <v>0</v>
      </c>
      <c r="BB480" s="160" t="str">
        <f>IF(BA480&lt;0.6,"Demasiado Riesgo",IF(BA480&lt;=5,"Riesgo Medio",IF(BA480&lt;=11,"Riesgo Bajo","Cliente Blindado")))</f>
        <v>Demasiado Riesgo</v>
      </c>
      <c r="BC480" s="160"/>
      <c r="BD480" s="160"/>
      <c r="BE480" s="160"/>
      <c r="BF480" s="160"/>
      <c r="BG480" s="160"/>
      <c r="BH480" s="160"/>
      <c r="BI480" s="160"/>
      <c r="BJ480" s="160"/>
      <c r="BK480" s="160"/>
      <c r="BL480" s="160"/>
      <c r="BM480" s="160"/>
      <c r="BN480" s="160"/>
      <c r="BO480" s="160"/>
      <c r="BP480" s="160"/>
      <c r="BQ480" s="160"/>
      <c r="BR480" s="160"/>
      <c r="BS480" s="160"/>
      <c r="BT480" s="160"/>
      <c r="BU480" s="160"/>
      <c r="BV480" s="160"/>
      <c r="BW480" s="160"/>
      <c r="BX480" s="160"/>
      <c r="BY480" s="160"/>
      <c r="BZ480" s="160"/>
      <c r="CA480" s="160">
        <f>COUNTIF(AJ480:AX480,"*OK*")</f>
        <v>0</v>
      </c>
    </row>
    <row r="481" spans="1:79" ht="15" customHeight="1">
      <c r="A481" s="240"/>
      <c r="B481" s="171"/>
      <c r="C481" s="470"/>
      <c r="D481" s="171">
        <f>COUNTIF(AN481:AY481,"OK")</f>
        <v>0</v>
      </c>
      <c r="E481" s="171"/>
      <c r="F481" s="171"/>
      <c r="G481" s="171"/>
      <c r="H481" s="179"/>
      <c r="I481" s="179"/>
      <c r="J481" s="171"/>
      <c r="K481" s="236"/>
      <c r="L481" s="171"/>
      <c r="M481" s="171"/>
      <c r="N481" s="171"/>
      <c r="O481" s="237"/>
      <c r="P481" s="237"/>
      <c r="Q481" s="237"/>
      <c r="R481" s="238"/>
      <c r="S481" s="463"/>
      <c r="T481" s="565"/>
      <c r="U481" s="175"/>
      <c r="V481" s="176" t="s">
        <v>59</v>
      </c>
      <c r="W481" s="171"/>
      <c r="X481" s="177"/>
      <c r="Y481" s="177"/>
      <c r="Z481" s="178"/>
      <c r="AA481" s="174" t="s">
        <v>59</v>
      </c>
      <c r="AB481" s="178"/>
      <c r="AC481" s="179"/>
      <c r="AD481" s="171"/>
      <c r="AE481" s="171"/>
      <c r="AF481" s="171"/>
      <c r="AG481" s="171"/>
      <c r="AH481" s="171"/>
      <c r="AI481" s="171"/>
      <c r="AZ481" s="171"/>
      <c r="BA481" s="171">
        <f>(COUNTIF(AJ481:AL481,"*OK*")*3) + (COUNTIF(AM481:AO481,"*OK*")*2) + COUNTIF(AP481:AR481,"*OK*")+COUNTIF(AZ481:AZ481,"SI")*0.5</f>
        <v>0</v>
      </c>
      <c r="BB481" s="171" t="str">
        <f>IF(BA481&lt;0.6,"Demasiado Riesgo",IF(BA481&lt;=5,"Riesgo Medio",IF(BA481&lt;=11,"Riesgo Bajo","Cliente Blindado")))</f>
        <v>Demasiado Riesgo</v>
      </c>
      <c r="BC481" s="171"/>
      <c r="BD481" s="171"/>
      <c r="BE481" s="171"/>
      <c r="BF481" s="171"/>
      <c r="BG481" s="171"/>
      <c r="BH481" s="171"/>
      <c r="BI481" s="171"/>
      <c r="BJ481" s="171"/>
      <c r="BK481" s="171"/>
      <c r="BL481" s="171"/>
      <c r="BM481" s="171"/>
      <c r="BN481" s="171"/>
      <c r="BO481" s="171"/>
      <c r="BP481" s="171"/>
      <c r="BQ481" s="171"/>
      <c r="BR481" s="171"/>
      <c r="BS481" s="171"/>
      <c r="BT481" s="171"/>
      <c r="BU481" s="171"/>
      <c r="BV481" s="171"/>
      <c r="BW481" s="171"/>
      <c r="BX481" s="171"/>
      <c r="BY481" s="171"/>
      <c r="BZ481" s="171"/>
      <c r="CA481" s="171">
        <f>COUNTIF(AJ481:AX481,"*OK*")</f>
        <v>0</v>
      </c>
    </row>
    <row r="482" spans="1:79" ht="15" customHeight="1">
      <c r="A482" s="241"/>
      <c r="B482" s="160"/>
      <c r="C482" s="469"/>
      <c r="D482" s="160">
        <f>COUNTIF(AN482:AY482,"OK")</f>
        <v>0</v>
      </c>
      <c r="E482" s="160"/>
      <c r="F482" s="160"/>
      <c r="G482" s="160"/>
      <c r="H482" s="168"/>
      <c r="I482" s="168"/>
      <c r="J482" s="160"/>
      <c r="K482" s="220"/>
      <c r="L482" s="160"/>
      <c r="M482" s="160"/>
      <c r="N482" s="160"/>
      <c r="O482" s="223"/>
      <c r="P482" s="223"/>
      <c r="Q482" s="223"/>
      <c r="R482" s="239"/>
      <c r="S482" s="462"/>
      <c r="T482" s="564"/>
      <c r="U482" s="164"/>
      <c r="V482" s="165" t="s">
        <v>59</v>
      </c>
      <c r="W482" s="160"/>
      <c r="X482" s="166"/>
      <c r="Y482" s="166"/>
      <c r="Z482" s="167"/>
      <c r="AA482" s="163" t="s">
        <v>59</v>
      </c>
      <c r="AB482" s="167"/>
      <c r="AC482" s="168"/>
      <c r="AD482" s="160"/>
      <c r="AE482" s="160"/>
      <c r="AF482" s="160"/>
      <c r="AG482" s="160"/>
      <c r="AH482" s="160"/>
      <c r="AI482" s="160"/>
      <c r="AZ482" s="160"/>
      <c r="BA482" s="160">
        <f>(COUNTIF(AJ482:AL482,"*OK*")*3) + (COUNTIF(AM482:AO482,"*OK*")*2) + COUNTIF(AP482:AR482,"*OK*")+COUNTIF(AZ482:AZ482,"SI")*0.5</f>
        <v>0</v>
      </c>
      <c r="BB482" s="160" t="str">
        <f>IF(BA482&lt;0.6,"Demasiado Riesgo",IF(BA482&lt;=5,"Riesgo Medio",IF(BA482&lt;=11,"Riesgo Bajo","Cliente Blindado")))</f>
        <v>Demasiado Riesgo</v>
      </c>
      <c r="BC482" s="160"/>
      <c r="BD482" s="160"/>
      <c r="BE482" s="160"/>
      <c r="BF482" s="160"/>
      <c r="BG482" s="160"/>
      <c r="BH482" s="160"/>
      <c r="BI482" s="160"/>
      <c r="BJ482" s="160"/>
      <c r="BK482" s="160"/>
      <c r="BL482" s="160"/>
      <c r="BM482" s="160"/>
      <c r="BN482" s="160"/>
      <c r="BO482" s="160"/>
      <c r="BP482" s="160"/>
      <c r="BQ482" s="160"/>
      <c r="BR482" s="160"/>
      <c r="BS482" s="160"/>
      <c r="BT482" s="160"/>
      <c r="BU482" s="160"/>
      <c r="BV482" s="160"/>
      <c r="BW482" s="160"/>
      <c r="BX482" s="160"/>
      <c r="BY482" s="160"/>
      <c r="BZ482" s="160"/>
      <c r="CA482" s="160">
        <f>COUNTIF(AJ482:AX482,"*OK*")</f>
        <v>0</v>
      </c>
    </row>
    <row r="483" spans="1:79" ht="15" customHeight="1">
      <c r="A483" s="240"/>
      <c r="B483" s="171"/>
      <c r="C483" s="470"/>
      <c r="D483" s="171">
        <f>COUNTIF(AN483:AY483,"OK")</f>
        <v>0</v>
      </c>
      <c r="E483" s="171"/>
      <c r="F483" s="171"/>
      <c r="G483" s="171"/>
      <c r="H483" s="179"/>
      <c r="I483" s="179"/>
      <c r="J483" s="171"/>
      <c r="K483" s="236"/>
      <c r="L483" s="171"/>
      <c r="M483" s="171"/>
      <c r="N483" s="171"/>
      <c r="O483" s="237"/>
      <c r="P483" s="237"/>
      <c r="Q483" s="237"/>
      <c r="R483" s="238"/>
      <c r="S483" s="463"/>
      <c r="T483" s="565"/>
      <c r="U483" s="175"/>
      <c r="V483" s="176" t="s">
        <v>59</v>
      </c>
      <c r="W483" s="171"/>
      <c r="X483" s="177"/>
      <c r="Y483" s="177"/>
      <c r="Z483" s="178"/>
      <c r="AA483" s="174" t="s">
        <v>59</v>
      </c>
      <c r="AB483" s="178"/>
      <c r="AC483" s="179"/>
      <c r="AD483" s="171"/>
      <c r="AE483" s="171"/>
      <c r="AF483" s="171"/>
      <c r="AG483" s="171"/>
      <c r="AH483" s="171"/>
      <c r="AI483" s="171"/>
      <c r="AZ483" s="171"/>
      <c r="BA483" s="171">
        <f>(COUNTIF(AJ483:AL483,"*OK*")*3) + (COUNTIF(AM483:AO483,"*OK*")*2) + COUNTIF(AP483:AR483,"*OK*")+COUNTIF(AZ483:AZ483,"SI")*0.5</f>
        <v>0</v>
      </c>
      <c r="BB483" s="171" t="str">
        <f>IF(BA483&lt;0.6,"Demasiado Riesgo",IF(BA483&lt;=5,"Riesgo Medio",IF(BA483&lt;=11,"Riesgo Bajo","Cliente Blindado")))</f>
        <v>Demasiado Riesgo</v>
      </c>
      <c r="BC483" s="171"/>
      <c r="BD483" s="171"/>
      <c r="BE483" s="171"/>
      <c r="BF483" s="171"/>
      <c r="BG483" s="171"/>
      <c r="BH483" s="171"/>
      <c r="BI483" s="171"/>
      <c r="BJ483" s="171"/>
      <c r="BK483" s="171"/>
      <c r="BL483" s="171"/>
      <c r="BM483" s="171"/>
      <c r="BN483" s="171"/>
      <c r="BO483" s="171"/>
      <c r="BP483" s="171"/>
      <c r="BQ483" s="171"/>
      <c r="BR483" s="171"/>
      <c r="BS483" s="171"/>
      <c r="BT483" s="171"/>
      <c r="BU483" s="171"/>
      <c r="BV483" s="171"/>
      <c r="BW483" s="171"/>
      <c r="BX483" s="171"/>
      <c r="BY483" s="171"/>
      <c r="BZ483" s="171"/>
      <c r="CA483" s="171">
        <f>COUNTIF(AJ483:AX483,"*OK*")</f>
        <v>0</v>
      </c>
    </row>
    <row r="484" spans="1:79" ht="15" customHeight="1">
      <c r="A484" s="241"/>
      <c r="B484" s="160"/>
      <c r="C484" s="469"/>
      <c r="D484" s="160">
        <f>COUNTIF(AN484:AY484,"OK")</f>
        <v>0</v>
      </c>
      <c r="E484" s="160"/>
      <c r="F484" s="160"/>
      <c r="G484" s="160"/>
      <c r="H484" s="168"/>
      <c r="I484" s="168"/>
      <c r="J484" s="160"/>
      <c r="K484" s="220"/>
      <c r="L484" s="160"/>
      <c r="M484" s="160"/>
      <c r="N484" s="160"/>
      <c r="O484" s="223"/>
      <c r="P484" s="223"/>
      <c r="Q484" s="223"/>
      <c r="R484" s="239"/>
      <c r="S484" s="462"/>
      <c r="T484" s="564"/>
      <c r="U484" s="164"/>
      <c r="V484" s="165" t="s">
        <v>59</v>
      </c>
      <c r="W484" s="160"/>
      <c r="X484" s="166"/>
      <c r="Y484" s="166"/>
      <c r="Z484" s="167"/>
      <c r="AA484" s="163" t="s">
        <v>59</v>
      </c>
      <c r="AB484" s="167"/>
      <c r="AC484" s="168"/>
      <c r="AD484" s="160"/>
      <c r="AE484" s="160"/>
      <c r="AF484" s="160"/>
      <c r="AG484" s="160"/>
      <c r="AH484" s="160"/>
      <c r="AI484" s="160"/>
      <c r="AZ484" s="160"/>
      <c r="BA484" s="160">
        <f>(COUNTIF(AJ484:AL484,"*OK*")*3) + (COUNTIF(AM484:AO484,"*OK*")*2) + COUNTIF(AP484:AR484,"*OK*")+COUNTIF(AZ484:AZ484,"SI")*0.5</f>
        <v>0</v>
      </c>
      <c r="BB484" s="160" t="str">
        <f>IF(BA484&lt;0.6,"Demasiado Riesgo",IF(BA484&lt;=5,"Riesgo Medio",IF(BA484&lt;=11,"Riesgo Bajo","Cliente Blindado")))</f>
        <v>Demasiado Riesgo</v>
      </c>
      <c r="BC484" s="160"/>
      <c r="BD484" s="160"/>
      <c r="BE484" s="160"/>
      <c r="BF484" s="160"/>
      <c r="BG484" s="160"/>
      <c r="BH484" s="160"/>
      <c r="BI484" s="160"/>
      <c r="BJ484" s="160"/>
      <c r="BK484" s="160"/>
      <c r="BL484" s="160"/>
      <c r="BM484" s="160"/>
      <c r="BN484" s="160"/>
      <c r="BO484" s="160"/>
      <c r="BP484" s="160"/>
      <c r="BQ484" s="160"/>
      <c r="BR484" s="160"/>
      <c r="BS484" s="160"/>
      <c r="BT484" s="160"/>
      <c r="BU484" s="160"/>
      <c r="BV484" s="160"/>
      <c r="BW484" s="160"/>
      <c r="BX484" s="160"/>
      <c r="BY484" s="160"/>
      <c r="BZ484" s="160"/>
      <c r="CA484" s="160">
        <f>COUNTIF(AJ484:AX484,"*OK*")</f>
        <v>0</v>
      </c>
    </row>
    <row r="485" spans="1:79" ht="15" customHeight="1">
      <c r="A485" s="240"/>
      <c r="B485" s="171"/>
      <c r="C485" s="471"/>
      <c r="D485" s="171">
        <f>COUNTIF(AN485:AY485,"OK")</f>
        <v>0</v>
      </c>
      <c r="E485" s="171"/>
      <c r="F485" s="171"/>
      <c r="G485" s="171"/>
      <c r="H485" s="179"/>
      <c r="I485" s="179"/>
      <c r="J485" s="171"/>
      <c r="K485" s="236"/>
      <c r="L485" s="171"/>
      <c r="M485" s="171"/>
      <c r="N485" s="171"/>
      <c r="O485" s="237"/>
      <c r="P485" s="237"/>
      <c r="Q485" s="237"/>
      <c r="R485" s="238"/>
      <c r="S485" s="463"/>
      <c r="T485" s="565"/>
      <c r="U485" s="240"/>
      <c r="V485" s="174" t="s">
        <v>59</v>
      </c>
      <c r="W485" s="171"/>
      <c r="X485" s="177"/>
      <c r="Y485" s="177"/>
      <c r="Z485" s="178"/>
      <c r="AA485" s="174" t="s">
        <v>59</v>
      </c>
      <c r="AB485" s="178"/>
      <c r="AC485" s="179"/>
      <c r="AD485" s="171"/>
      <c r="AE485" s="171"/>
      <c r="AF485" s="171"/>
      <c r="AG485" s="171"/>
      <c r="AH485" s="171"/>
      <c r="AI485" s="171"/>
      <c r="AZ485" s="171"/>
      <c r="BA485" s="171">
        <f>(COUNTIF(AJ485:AL485,"*OK*")*3) + (COUNTIF(AM485:AO485,"*OK*")*2) + COUNTIF(AP485:AR485,"*OK*")+COUNTIF(AZ485:AZ485,"SI")*0.5</f>
        <v>0</v>
      </c>
      <c r="BB485" s="171" t="str">
        <f>IF(BA485&lt;0.6,"Demasiado Riesgo",IF(BA485&lt;=5,"Riesgo Medio",IF(BA485&lt;=11,"Riesgo Bajo","Cliente Blindado")))</f>
        <v>Demasiado Riesgo</v>
      </c>
      <c r="BC485" s="171"/>
      <c r="BD485" s="171"/>
      <c r="BE485" s="171"/>
      <c r="BF485" s="171"/>
      <c r="BG485" s="171"/>
      <c r="BH485" s="171"/>
      <c r="BI485" s="171"/>
      <c r="BJ485" s="171"/>
      <c r="BK485" s="171"/>
      <c r="BL485" s="171"/>
      <c r="BM485" s="171"/>
      <c r="BN485" s="171"/>
      <c r="BO485" s="171"/>
      <c r="BP485" s="171"/>
      <c r="BQ485" s="171"/>
      <c r="BR485" s="171"/>
      <c r="BS485" s="171"/>
      <c r="BT485" s="171"/>
      <c r="BU485" s="171"/>
      <c r="BV485" s="171"/>
      <c r="BW485" s="171"/>
      <c r="BX485" s="171"/>
      <c r="BY485" s="171"/>
      <c r="BZ485" s="171"/>
      <c r="CA485" s="171">
        <f>COUNTIF(AJ485:AX485,"*OK*")</f>
        <v>0</v>
      </c>
    </row>
    <row r="486" spans="1:79" ht="15" customHeight="1">
      <c r="A486" s="241"/>
      <c r="B486" s="160"/>
      <c r="C486" s="472"/>
      <c r="D486" s="160">
        <f>COUNTIF(AN486:AY486,"OK")</f>
        <v>0</v>
      </c>
      <c r="E486" s="160"/>
      <c r="F486" s="160"/>
      <c r="G486" s="160"/>
      <c r="H486" s="168"/>
      <c r="I486" s="168"/>
      <c r="J486" s="160"/>
      <c r="K486" s="220"/>
      <c r="L486" s="160"/>
      <c r="M486" s="160"/>
      <c r="N486" s="160"/>
      <c r="O486" s="223"/>
      <c r="P486" s="223"/>
      <c r="Q486" s="223"/>
      <c r="R486" s="239"/>
      <c r="S486" s="462"/>
      <c r="T486" s="564"/>
      <c r="U486" s="241"/>
      <c r="V486" s="163" t="s">
        <v>59</v>
      </c>
      <c r="W486" s="160"/>
      <c r="X486" s="166"/>
      <c r="Y486" s="166"/>
      <c r="Z486" s="167"/>
      <c r="AA486" s="163" t="s">
        <v>59</v>
      </c>
      <c r="AB486" s="167"/>
      <c r="AC486" s="168"/>
      <c r="AD486" s="160"/>
      <c r="AE486" s="160"/>
      <c r="AF486" s="160"/>
      <c r="AG486" s="160"/>
      <c r="AH486" s="160"/>
      <c r="AI486" s="160"/>
      <c r="AZ486" s="160"/>
      <c r="BA486" s="160">
        <f>(COUNTIF(AJ486:AL486,"*OK*")*3) + (COUNTIF(AM486:AO486,"*OK*")*2) + COUNTIF(AP486:AR486,"*OK*")+COUNTIF(AZ486:AZ486,"SI")*0.5</f>
        <v>0</v>
      </c>
      <c r="BB486" s="160" t="str">
        <f>IF(BA486&lt;0.6,"Demasiado Riesgo",IF(BA486&lt;=5,"Riesgo Medio",IF(BA486&lt;=11,"Riesgo Bajo","Cliente Blindado")))</f>
        <v>Demasiado Riesgo</v>
      </c>
      <c r="BC486" s="160"/>
      <c r="BD486" s="160"/>
      <c r="BE486" s="160"/>
      <c r="BF486" s="160"/>
      <c r="BG486" s="160"/>
      <c r="BH486" s="160"/>
      <c r="BI486" s="160"/>
      <c r="BJ486" s="160"/>
      <c r="BK486" s="160"/>
      <c r="BL486" s="160"/>
      <c r="BM486" s="160"/>
      <c r="BN486" s="160"/>
      <c r="BO486" s="160"/>
      <c r="BP486" s="160"/>
      <c r="BQ486" s="160"/>
      <c r="BR486" s="160"/>
      <c r="BS486" s="160"/>
      <c r="BT486" s="160"/>
      <c r="BU486" s="160"/>
      <c r="BV486" s="160"/>
      <c r="BW486" s="160"/>
      <c r="BX486" s="160"/>
      <c r="BY486" s="160"/>
      <c r="BZ486" s="160"/>
      <c r="CA486" s="160">
        <f>COUNTIF(AJ486:AX486,"*OK*")</f>
        <v>0</v>
      </c>
    </row>
    <row r="487" spans="1:79" ht="15" customHeight="1">
      <c r="A487" s="240"/>
      <c r="B487" s="171"/>
      <c r="C487" s="471"/>
      <c r="D487" s="171">
        <f>COUNTIF(AN487:AY487,"OK")</f>
        <v>0</v>
      </c>
      <c r="E487" s="171"/>
      <c r="F487" s="171"/>
      <c r="G487" s="171"/>
      <c r="H487" s="179"/>
      <c r="I487" s="179"/>
      <c r="J487" s="171"/>
      <c r="K487" s="236"/>
      <c r="L487" s="171"/>
      <c r="M487" s="171"/>
      <c r="N487" s="171"/>
      <c r="O487" s="237"/>
      <c r="P487" s="237"/>
      <c r="Q487" s="237"/>
      <c r="R487" s="238"/>
      <c r="S487" s="463"/>
      <c r="T487" s="565"/>
      <c r="U487" s="240"/>
      <c r="V487" s="174" t="s">
        <v>59</v>
      </c>
      <c r="W487" s="171"/>
      <c r="X487" s="177"/>
      <c r="Y487" s="177"/>
      <c r="Z487" s="178"/>
      <c r="AA487" s="174" t="s">
        <v>59</v>
      </c>
      <c r="AB487" s="178"/>
      <c r="AC487" s="179"/>
      <c r="AD487" s="171"/>
      <c r="AE487" s="171"/>
      <c r="AF487" s="171"/>
      <c r="AG487" s="171"/>
      <c r="AH487" s="171"/>
      <c r="AI487" s="171"/>
      <c r="AZ487" s="171"/>
      <c r="BA487" s="171">
        <f>(COUNTIF(AJ487:AL487,"*OK*")*3) + (COUNTIF(AM487:AO487,"*OK*")*2) + COUNTIF(AP487:AR487,"*OK*")+COUNTIF(AZ487:AZ487,"SI")*0.5</f>
        <v>0</v>
      </c>
      <c r="BB487" s="171" t="str">
        <f>IF(BA487&lt;0.6,"Demasiado Riesgo",IF(BA487&lt;=5,"Riesgo Medio",IF(BA487&lt;=11,"Riesgo Bajo","Cliente Blindado")))</f>
        <v>Demasiado Riesgo</v>
      </c>
      <c r="BC487" s="171"/>
      <c r="BD487" s="171"/>
      <c r="BE487" s="171"/>
      <c r="BF487" s="171"/>
      <c r="BG487" s="171"/>
      <c r="BH487" s="171"/>
      <c r="BI487" s="171"/>
      <c r="BJ487" s="171"/>
      <c r="BK487" s="171"/>
      <c r="BL487" s="171"/>
      <c r="BM487" s="171"/>
      <c r="BN487" s="171"/>
      <c r="BO487" s="171"/>
      <c r="BP487" s="171"/>
      <c r="BQ487" s="171"/>
      <c r="BR487" s="171"/>
      <c r="BS487" s="171"/>
      <c r="BT487" s="171"/>
      <c r="BU487" s="171"/>
      <c r="BV487" s="171"/>
      <c r="BW487" s="171"/>
      <c r="BX487" s="171"/>
      <c r="BY487" s="171"/>
      <c r="BZ487" s="171"/>
      <c r="CA487" s="171">
        <f>COUNTIF(AJ487:AX487,"*OK*")</f>
        <v>0</v>
      </c>
    </row>
    <row r="488" spans="1:79" ht="15" customHeight="1">
      <c r="A488" s="241"/>
      <c r="B488" s="160"/>
      <c r="C488" s="472"/>
      <c r="D488" s="160">
        <f>COUNTIF(AN488:AY488,"OK")</f>
        <v>0</v>
      </c>
      <c r="E488" s="160"/>
      <c r="F488" s="160"/>
      <c r="G488" s="160"/>
      <c r="H488" s="168"/>
      <c r="I488" s="168"/>
      <c r="J488" s="160"/>
      <c r="K488" s="220"/>
      <c r="L488" s="160"/>
      <c r="M488" s="160"/>
      <c r="N488" s="160"/>
      <c r="O488" s="223"/>
      <c r="P488" s="223"/>
      <c r="Q488" s="223"/>
      <c r="R488" s="239"/>
      <c r="S488" s="462"/>
      <c r="T488" s="564"/>
      <c r="U488" s="241"/>
      <c r="V488" s="163" t="s">
        <v>59</v>
      </c>
      <c r="W488" s="160"/>
      <c r="X488" s="166"/>
      <c r="Y488" s="166"/>
      <c r="Z488" s="167"/>
      <c r="AA488" s="163" t="s">
        <v>59</v>
      </c>
      <c r="AB488" s="167"/>
      <c r="AC488" s="168"/>
      <c r="AD488" s="160"/>
      <c r="AE488" s="160"/>
      <c r="AF488" s="160"/>
      <c r="AG488" s="160"/>
      <c r="AH488" s="160"/>
      <c r="AI488" s="160"/>
      <c r="AZ488" s="160"/>
      <c r="BA488" s="160">
        <f>(COUNTIF(AJ488:AL488,"*OK*")*3) + (COUNTIF(AM488:AO488,"*OK*")*2) + COUNTIF(AP488:AR488,"*OK*")+COUNTIF(AZ488:AZ488,"SI")*0.5</f>
        <v>0</v>
      </c>
      <c r="BB488" s="160" t="str">
        <f>IF(BA488&lt;0.6,"Demasiado Riesgo",IF(BA488&lt;=5,"Riesgo Medio",IF(BA488&lt;=11,"Riesgo Bajo","Cliente Blindado")))</f>
        <v>Demasiado Riesgo</v>
      </c>
      <c r="BC488" s="160"/>
      <c r="BD488" s="160"/>
      <c r="BE488" s="160"/>
      <c r="BF488" s="160"/>
      <c r="BG488" s="160"/>
      <c r="BH488" s="160"/>
      <c r="BI488" s="160"/>
      <c r="BJ488" s="160"/>
      <c r="BK488" s="160"/>
      <c r="BL488" s="160"/>
      <c r="BM488" s="160"/>
      <c r="BN488" s="160"/>
      <c r="BO488" s="160"/>
      <c r="BP488" s="160"/>
      <c r="BQ488" s="160"/>
      <c r="BR488" s="160"/>
      <c r="BS488" s="160"/>
      <c r="BT488" s="160"/>
      <c r="BU488" s="160"/>
      <c r="BV488" s="160"/>
      <c r="BW488" s="160"/>
      <c r="BX488" s="160"/>
      <c r="BY488" s="160"/>
      <c r="BZ488" s="160"/>
      <c r="CA488" s="160">
        <f>COUNTIF(AJ488:AX488,"*OK*")</f>
        <v>0</v>
      </c>
    </row>
    <row r="489" spans="1:79" ht="15" customHeight="1">
      <c r="A489" s="240"/>
      <c r="B489" s="171"/>
      <c r="C489" s="471"/>
      <c r="D489" s="171">
        <f>COUNTIF(AN489:AY489,"OK")</f>
        <v>0</v>
      </c>
      <c r="E489" s="171"/>
      <c r="F489" s="171"/>
      <c r="G489" s="171"/>
      <c r="H489" s="179"/>
      <c r="I489" s="179"/>
      <c r="J489" s="171"/>
      <c r="K489" s="236"/>
      <c r="L489" s="171"/>
      <c r="M489" s="171"/>
      <c r="N489" s="171"/>
      <c r="O489" s="242"/>
      <c r="P489" s="237"/>
      <c r="Q489" s="237"/>
      <c r="R489" s="238"/>
      <c r="S489" s="463"/>
      <c r="T489" s="565"/>
      <c r="U489" s="240"/>
      <c r="V489" s="174" t="s">
        <v>59</v>
      </c>
      <c r="W489" s="171"/>
      <c r="X489" s="177"/>
      <c r="Y489" s="177"/>
      <c r="Z489" s="178"/>
      <c r="AA489" s="174" t="s">
        <v>59</v>
      </c>
      <c r="AB489" s="178"/>
      <c r="AC489" s="179"/>
      <c r="AD489" s="171"/>
      <c r="AE489" s="171"/>
      <c r="AF489" s="171"/>
      <c r="AG489" s="171"/>
      <c r="AH489" s="171"/>
      <c r="AI489" s="171"/>
      <c r="AZ489" s="171"/>
      <c r="BA489" s="171">
        <f>(COUNTIF(AJ489:AL489,"*OK*")*3) + (COUNTIF(AM489:AO489,"*OK*")*2) + COUNTIF(AP489:AR489,"*OK*")+COUNTIF(AZ489:AZ489,"SI")*0.5</f>
        <v>0</v>
      </c>
      <c r="BB489" s="171" t="str">
        <f>IF(BA489&lt;0.6,"Demasiado Riesgo",IF(BA489&lt;=5,"Riesgo Medio",IF(BA489&lt;=11,"Riesgo Bajo","Cliente Blindado")))</f>
        <v>Demasiado Riesgo</v>
      </c>
      <c r="BC489" s="171"/>
      <c r="BD489" s="171"/>
      <c r="BE489" s="171"/>
      <c r="BF489" s="171"/>
      <c r="BG489" s="171"/>
      <c r="BH489" s="171"/>
      <c r="BI489" s="171"/>
      <c r="BJ489" s="171"/>
      <c r="BK489" s="171"/>
      <c r="BL489" s="171"/>
      <c r="BM489" s="171"/>
      <c r="BN489" s="171"/>
      <c r="BO489" s="171"/>
      <c r="BP489" s="171"/>
      <c r="BQ489" s="171"/>
      <c r="BR489" s="171"/>
      <c r="BS489" s="171"/>
      <c r="BT489" s="171"/>
      <c r="BU489" s="171"/>
      <c r="BV489" s="171"/>
      <c r="BW489" s="171"/>
      <c r="BX489" s="171"/>
      <c r="BY489" s="171"/>
      <c r="BZ489" s="171"/>
      <c r="CA489" s="171">
        <f>COUNTIF(AJ489:AX489,"*OK*")</f>
        <v>0</v>
      </c>
    </row>
    <row r="490" spans="1:79" ht="15" customHeight="1">
      <c r="A490" s="241"/>
      <c r="B490" s="160"/>
      <c r="C490" s="472"/>
      <c r="D490" s="160">
        <f>COUNTIF(AN490:AY490,"OK")</f>
        <v>0</v>
      </c>
      <c r="E490" s="160"/>
      <c r="F490" s="160"/>
      <c r="G490" s="160"/>
      <c r="H490" s="168"/>
      <c r="I490" s="168"/>
      <c r="J490" s="160"/>
      <c r="K490" s="220"/>
      <c r="L490" s="160"/>
      <c r="M490" s="160"/>
      <c r="N490" s="160"/>
      <c r="O490" s="243"/>
      <c r="P490" s="223"/>
      <c r="Q490" s="223"/>
      <c r="R490" s="239"/>
      <c r="S490" s="462"/>
      <c r="T490" s="564"/>
      <c r="U490" s="241"/>
      <c r="V490" s="163" t="s">
        <v>59</v>
      </c>
      <c r="W490" s="160"/>
      <c r="X490" s="166"/>
      <c r="Y490" s="166"/>
      <c r="Z490" s="167"/>
      <c r="AA490" s="163" t="s">
        <v>59</v>
      </c>
      <c r="AB490" s="167"/>
      <c r="AC490" s="168"/>
      <c r="AD490" s="160"/>
      <c r="AE490" s="160"/>
      <c r="AF490" s="160"/>
      <c r="AG490" s="160"/>
      <c r="AH490" s="160"/>
      <c r="AI490" s="160"/>
      <c r="AZ490" s="160"/>
      <c r="BA490" s="160">
        <f>(COUNTIF(AJ490:AL490,"*OK*")*3) + (COUNTIF(AM490:AO490,"*OK*")*2) + COUNTIF(AP490:AR490,"*OK*")+COUNTIF(AZ490:AZ490,"SI")*0.5</f>
        <v>0</v>
      </c>
      <c r="BB490" s="160" t="str">
        <f>IF(BA490&lt;0.6,"Demasiado Riesgo",IF(BA490&lt;=5,"Riesgo Medio",IF(BA490&lt;=11,"Riesgo Bajo","Cliente Blindado")))</f>
        <v>Demasiado Riesgo</v>
      </c>
      <c r="BC490" s="160"/>
      <c r="BD490" s="160"/>
      <c r="BE490" s="160"/>
      <c r="BF490" s="160"/>
      <c r="BG490" s="160"/>
      <c r="BH490" s="160"/>
      <c r="BI490" s="160"/>
      <c r="BJ490" s="160"/>
      <c r="BK490" s="160"/>
      <c r="BL490" s="160"/>
      <c r="BM490" s="160"/>
      <c r="BN490" s="160"/>
      <c r="BO490" s="160"/>
      <c r="BP490" s="160"/>
      <c r="BQ490" s="160"/>
      <c r="BR490" s="160"/>
      <c r="BS490" s="160"/>
      <c r="BT490" s="160"/>
      <c r="BU490" s="160"/>
      <c r="BV490" s="160"/>
      <c r="BW490" s="160"/>
      <c r="BX490" s="160"/>
      <c r="BY490" s="160"/>
      <c r="BZ490" s="160"/>
      <c r="CA490" s="160">
        <f>COUNTIF(AJ490:AX490,"*OK*")</f>
        <v>0</v>
      </c>
    </row>
    <row r="491" spans="1:79" ht="15" customHeight="1">
      <c r="A491" s="240"/>
      <c r="B491" s="171"/>
      <c r="C491" s="471"/>
      <c r="D491" s="171">
        <f>COUNTIF(AN491:AY491,"OK")</f>
        <v>0</v>
      </c>
      <c r="E491" s="171"/>
      <c r="F491" s="171"/>
      <c r="G491" s="171"/>
      <c r="H491" s="179"/>
      <c r="I491" s="179"/>
      <c r="J491" s="171"/>
      <c r="K491" s="236"/>
      <c r="L491" s="171"/>
      <c r="M491" s="171"/>
      <c r="N491" s="171"/>
      <c r="O491" s="242"/>
      <c r="P491" s="237"/>
      <c r="Q491" s="237"/>
      <c r="R491" s="238"/>
      <c r="S491" s="463"/>
      <c r="T491" s="565"/>
      <c r="U491" s="240"/>
      <c r="V491" s="174" t="s">
        <v>59</v>
      </c>
      <c r="W491" s="171"/>
      <c r="X491" s="177"/>
      <c r="Y491" s="177"/>
      <c r="Z491" s="178"/>
      <c r="AA491" s="174" t="s">
        <v>59</v>
      </c>
      <c r="AB491" s="178"/>
      <c r="AC491" s="179"/>
      <c r="AD491" s="171"/>
      <c r="AE491" s="171"/>
      <c r="AF491" s="171"/>
      <c r="AG491" s="171"/>
      <c r="AH491" s="171"/>
      <c r="AI491" s="171"/>
      <c r="AZ491" s="171"/>
      <c r="BA491" s="171">
        <f>(COUNTIF(AJ491:AL491,"*OK*")*3) + (COUNTIF(AM491:AO491,"*OK*")*2) + COUNTIF(AP491:AR491,"*OK*")+COUNTIF(AZ491:AZ491,"SI")*0.5</f>
        <v>0</v>
      </c>
      <c r="BB491" s="171" t="str">
        <f>IF(BA491&lt;0.6,"Demasiado Riesgo",IF(BA491&lt;=5,"Riesgo Medio",IF(BA491&lt;=11,"Riesgo Bajo","Cliente Blindado")))</f>
        <v>Demasiado Riesgo</v>
      </c>
      <c r="BC491" s="171"/>
      <c r="BD491" s="171"/>
      <c r="BE491" s="171"/>
      <c r="BF491" s="171"/>
      <c r="BG491" s="171"/>
      <c r="BH491" s="171"/>
      <c r="BI491" s="171"/>
      <c r="BJ491" s="171"/>
      <c r="BK491" s="171"/>
      <c r="BL491" s="171"/>
      <c r="BM491" s="171"/>
      <c r="BN491" s="171"/>
      <c r="BO491" s="171"/>
      <c r="BP491" s="171"/>
      <c r="BQ491" s="171"/>
      <c r="BR491" s="171"/>
      <c r="BS491" s="171"/>
      <c r="BT491" s="171"/>
      <c r="BU491" s="171"/>
      <c r="BV491" s="171"/>
      <c r="BW491" s="171"/>
      <c r="BX491" s="171"/>
      <c r="BY491" s="171"/>
      <c r="BZ491" s="171"/>
      <c r="CA491" s="171">
        <f>COUNTIF(AJ491:AX491,"*OK*")</f>
        <v>0</v>
      </c>
    </row>
    <row r="492" spans="1:79" ht="15" customHeight="1">
      <c r="A492" s="241"/>
      <c r="B492" s="160"/>
      <c r="C492" s="472"/>
      <c r="D492" s="160">
        <f>COUNTIF(AN492:AY492,"OK")</f>
        <v>0</v>
      </c>
      <c r="E492" s="160"/>
      <c r="F492" s="160"/>
      <c r="G492" s="160"/>
      <c r="H492" s="168"/>
      <c r="I492" s="168"/>
      <c r="J492" s="160"/>
      <c r="K492" s="220"/>
      <c r="L492" s="160"/>
      <c r="M492" s="160"/>
      <c r="N492" s="160"/>
      <c r="O492" s="243"/>
      <c r="P492" s="223"/>
      <c r="Q492" s="223"/>
      <c r="R492" s="239"/>
      <c r="S492" s="462"/>
      <c r="T492" s="564"/>
      <c r="U492" s="241"/>
      <c r="V492" s="163" t="s">
        <v>59</v>
      </c>
      <c r="W492" s="160"/>
      <c r="X492" s="166"/>
      <c r="Y492" s="166"/>
      <c r="Z492" s="167"/>
      <c r="AA492" s="163" t="s">
        <v>59</v>
      </c>
      <c r="AB492" s="167"/>
      <c r="AC492" s="168"/>
      <c r="AD492" s="160"/>
      <c r="AE492" s="160"/>
      <c r="AF492" s="160"/>
      <c r="AG492" s="160"/>
      <c r="AH492" s="160"/>
      <c r="AI492" s="160"/>
      <c r="AZ492" s="160"/>
      <c r="BA492" s="160">
        <f>(COUNTIF(AJ492:AL492,"*OK*")*3) + (COUNTIF(AM492:AO492,"*OK*")*2) + COUNTIF(AP492:AR492,"*OK*")+COUNTIF(AZ492:AZ492,"SI")*0.5</f>
        <v>0</v>
      </c>
      <c r="BB492" s="160" t="str">
        <f>IF(BA492&lt;0.6,"Demasiado Riesgo",IF(BA492&lt;=5,"Riesgo Medio",IF(BA492&lt;=11,"Riesgo Bajo","Cliente Blindado")))</f>
        <v>Demasiado Riesgo</v>
      </c>
      <c r="BC492" s="160"/>
      <c r="BD492" s="160"/>
      <c r="BE492" s="160"/>
      <c r="BF492" s="160"/>
      <c r="BG492" s="160"/>
      <c r="BH492" s="160"/>
      <c r="BI492" s="160"/>
      <c r="BJ492" s="160"/>
      <c r="BK492" s="160"/>
      <c r="BL492" s="160"/>
      <c r="BM492" s="160"/>
      <c r="BN492" s="160"/>
      <c r="BO492" s="160"/>
      <c r="BP492" s="160"/>
      <c r="BQ492" s="160"/>
      <c r="BR492" s="160"/>
      <c r="BS492" s="160"/>
      <c r="BT492" s="160"/>
      <c r="BU492" s="160"/>
      <c r="BV492" s="160"/>
      <c r="BW492" s="160"/>
      <c r="BX492" s="160"/>
      <c r="BY492" s="160"/>
      <c r="BZ492" s="160"/>
      <c r="CA492" s="160">
        <f>COUNTIF(AJ492:AX492,"*OK*")</f>
        <v>0</v>
      </c>
    </row>
    <row r="493" spans="1:79" ht="15" customHeight="1">
      <c r="A493" s="240"/>
      <c r="B493" s="171"/>
      <c r="C493" s="471"/>
      <c r="D493" s="171">
        <f>COUNTIF(AN493:AY493,"OK")</f>
        <v>0</v>
      </c>
      <c r="E493" s="171"/>
      <c r="F493" s="171"/>
      <c r="G493" s="171"/>
      <c r="H493" s="179"/>
      <c r="I493" s="179"/>
      <c r="J493" s="171"/>
      <c r="K493" s="236"/>
      <c r="L493" s="171"/>
      <c r="M493" s="171"/>
      <c r="N493" s="171"/>
      <c r="O493" s="242"/>
      <c r="P493" s="237"/>
      <c r="Q493" s="237"/>
      <c r="R493" s="238"/>
      <c r="S493" s="463"/>
      <c r="T493" s="565"/>
      <c r="U493" s="240"/>
      <c r="V493" s="174" t="s">
        <v>59</v>
      </c>
      <c r="W493" s="171"/>
      <c r="X493" s="177"/>
      <c r="Y493" s="177"/>
      <c r="Z493" s="178"/>
      <c r="AA493" s="174" t="s">
        <v>59</v>
      </c>
      <c r="AB493" s="178"/>
      <c r="AC493" s="179"/>
      <c r="AD493" s="171"/>
      <c r="AE493" s="171"/>
      <c r="AF493" s="171"/>
      <c r="AG493" s="171"/>
      <c r="AH493" s="171"/>
      <c r="AI493" s="171"/>
      <c r="AZ493" s="171"/>
      <c r="BA493" s="171">
        <f>(COUNTIF(AJ493:AL493,"*OK*")*3) + (COUNTIF(AM493:AO493,"*OK*")*2) + COUNTIF(AP493:AR493,"*OK*")+COUNTIF(AZ493:AZ493,"SI")*0.5</f>
        <v>0</v>
      </c>
      <c r="BB493" s="171" t="str">
        <f>IF(BA493&lt;0.6,"Demasiado Riesgo",IF(BA493&lt;=5,"Riesgo Medio",IF(BA493&lt;=11,"Riesgo Bajo","Cliente Blindado")))</f>
        <v>Demasiado Riesgo</v>
      </c>
      <c r="BC493" s="171"/>
      <c r="BD493" s="171"/>
      <c r="BE493" s="171"/>
      <c r="BF493" s="171"/>
      <c r="BG493" s="171"/>
      <c r="BH493" s="171"/>
      <c r="BI493" s="171"/>
      <c r="BJ493" s="171"/>
      <c r="BK493" s="171"/>
      <c r="BL493" s="171"/>
      <c r="BM493" s="171"/>
      <c r="BN493" s="171"/>
      <c r="BO493" s="171"/>
      <c r="BP493" s="171"/>
      <c r="BQ493" s="171"/>
      <c r="BR493" s="171"/>
      <c r="BS493" s="171"/>
      <c r="BT493" s="171"/>
      <c r="BU493" s="171"/>
      <c r="BV493" s="171"/>
      <c r="BW493" s="171"/>
      <c r="BX493" s="171"/>
      <c r="BY493" s="171"/>
      <c r="BZ493" s="171"/>
      <c r="CA493" s="171">
        <f>COUNTIF(AJ493:AX493,"*OK*")</f>
        <v>0</v>
      </c>
    </row>
    <row r="494" spans="1:79" ht="15" customHeight="1">
      <c r="A494" s="241"/>
      <c r="B494" s="160"/>
      <c r="C494" s="472"/>
      <c r="D494" s="160">
        <f>COUNTIF(AN494:AY494,"OK")</f>
        <v>0</v>
      </c>
      <c r="E494" s="160"/>
      <c r="F494" s="160"/>
      <c r="G494" s="160"/>
      <c r="H494" s="168"/>
      <c r="I494" s="168"/>
      <c r="J494" s="160"/>
      <c r="K494" s="220"/>
      <c r="L494" s="160"/>
      <c r="M494" s="160"/>
      <c r="N494" s="160"/>
      <c r="O494" s="243"/>
      <c r="P494" s="223"/>
      <c r="Q494" s="223"/>
      <c r="R494" s="239"/>
      <c r="S494" s="462"/>
      <c r="T494" s="564"/>
      <c r="U494" s="241"/>
      <c r="V494" s="163" t="s">
        <v>59</v>
      </c>
      <c r="W494" s="160"/>
      <c r="X494" s="166"/>
      <c r="Y494" s="166"/>
      <c r="Z494" s="167"/>
      <c r="AA494" s="163" t="s">
        <v>59</v>
      </c>
      <c r="AB494" s="167"/>
      <c r="AC494" s="168"/>
      <c r="AD494" s="160"/>
      <c r="AE494" s="160"/>
      <c r="AF494" s="160"/>
      <c r="AG494" s="160"/>
      <c r="AH494" s="160"/>
      <c r="AI494" s="160"/>
      <c r="AZ494" s="160"/>
      <c r="BA494" s="160">
        <f>(COUNTIF(AJ494:AL494,"*OK*")*3) + (COUNTIF(AM494:AO494,"*OK*")*2) + COUNTIF(AP494:AR494,"*OK*")+COUNTIF(AZ494:AZ494,"SI")*0.5</f>
        <v>0</v>
      </c>
      <c r="BB494" s="160" t="str">
        <f>IF(BA494&lt;0.6,"Demasiado Riesgo",IF(BA494&lt;=5,"Riesgo Medio",IF(BA494&lt;=11,"Riesgo Bajo","Cliente Blindado")))</f>
        <v>Demasiado Riesgo</v>
      </c>
      <c r="BC494" s="160"/>
      <c r="BD494" s="160"/>
      <c r="BE494" s="160"/>
      <c r="BF494" s="160"/>
      <c r="BG494" s="160"/>
      <c r="BH494" s="160"/>
      <c r="BI494" s="160"/>
      <c r="BJ494" s="160"/>
      <c r="BK494" s="160"/>
      <c r="BL494" s="160"/>
      <c r="BM494" s="160"/>
      <c r="BN494" s="160"/>
      <c r="BO494" s="160"/>
      <c r="BP494" s="160"/>
      <c r="BQ494" s="160"/>
      <c r="BR494" s="160"/>
      <c r="BS494" s="160"/>
      <c r="BT494" s="160"/>
      <c r="BU494" s="160"/>
      <c r="BV494" s="160"/>
      <c r="BW494" s="160"/>
      <c r="BX494" s="160"/>
      <c r="BY494" s="160"/>
      <c r="BZ494" s="160"/>
      <c r="CA494" s="160">
        <f>COUNTIF(AJ494:AX494,"*OK*")</f>
        <v>0</v>
      </c>
    </row>
    <row r="495" spans="1:79" ht="15" customHeight="1">
      <c r="A495" s="240"/>
      <c r="B495" s="171"/>
      <c r="C495" s="471"/>
      <c r="D495" s="171">
        <f>COUNTIF(AN495:AY495,"OK")</f>
        <v>0</v>
      </c>
      <c r="E495" s="171"/>
      <c r="F495" s="171"/>
      <c r="G495" s="171"/>
      <c r="H495" s="179"/>
      <c r="I495" s="179"/>
      <c r="J495" s="171"/>
      <c r="K495" s="236"/>
      <c r="L495" s="171"/>
      <c r="M495" s="171"/>
      <c r="N495" s="171"/>
      <c r="O495" s="242"/>
      <c r="P495" s="237"/>
      <c r="Q495" s="237"/>
      <c r="R495" s="238"/>
      <c r="S495" s="463"/>
      <c r="T495" s="565"/>
      <c r="U495" s="240"/>
      <c r="V495" s="174" t="s">
        <v>59</v>
      </c>
      <c r="W495" s="171"/>
      <c r="X495" s="177"/>
      <c r="Y495" s="177"/>
      <c r="Z495" s="178"/>
      <c r="AA495" s="174" t="s">
        <v>59</v>
      </c>
      <c r="AB495" s="178"/>
      <c r="AC495" s="179"/>
      <c r="AD495" s="171"/>
      <c r="AE495" s="171"/>
      <c r="AF495" s="171"/>
      <c r="AG495" s="171"/>
      <c r="AH495" s="171"/>
      <c r="AI495" s="171"/>
      <c r="AZ495" s="171"/>
      <c r="BA495" s="171">
        <f>(COUNTIF(AJ495:AL495,"*OK*")*3) + (COUNTIF(AM495:AO495,"*OK*")*2) + COUNTIF(AP495:AR495,"*OK*")+COUNTIF(AZ495:AZ495,"SI")*0.5</f>
        <v>0</v>
      </c>
      <c r="BB495" s="171" t="str">
        <f>IF(BA495&lt;0.6,"Demasiado Riesgo",IF(BA495&lt;=5,"Riesgo Medio",IF(BA495&lt;=11,"Riesgo Bajo","Cliente Blindado")))</f>
        <v>Demasiado Riesgo</v>
      </c>
      <c r="BC495" s="171"/>
      <c r="BD495" s="171"/>
      <c r="BE495" s="171"/>
      <c r="BF495" s="171"/>
      <c r="BG495" s="171"/>
      <c r="BH495" s="171"/>
      <c r="BI495" s="171"/>
      <c r="BJ495" s="171"/>
      <c r="BK495" s="171"/>
      <c r="BL495" s="171"/>
      <c r="BM495" s="171"/>
      <c r="BN495" s="171"/>
      <c r="BO495" s="171"/>
      <c r="BP495" s="171"/>
      <c r="BQ495" s="171"/>
      <c r="BR495" s="171"/>
      <c r="BS495" s="171"/>
      <c r="BT495" s="171"/>
      <c r="BU495" s="171"/>
      <c r="BV495" s="171"/>
      <c r="BW495" s="171"/>
      <c r="BX495" s="171"/>
      <c r="BY495" s="171"/>
      <c r="BZ495" s="171"/>
      <c r="CA495" s="171">
        <f>COUNTIF(AJ495:AX495,"*OK*")</f>
        <v>0</v>
      </c>
    </row>
    <row r="496" spans="1:79" ht="15" customHeight="1">
      <c r="A496" s="241"/>
      <c r="B496" s="160"/>
      <c r="C496" s="472"/>
      <c r="D496" s="160">
        <f>COUNTIF(AN496:AY496,"OK")</f>
        <v>0</v>
      </c>
      <c r="E496" s="160"/>
      <c r="F496" s="160"/>
      <c r="G496" s="160"/>
      <c r="H496" s="168"/>
      <c r="I496" s="168"/>
      <c r="J496" s="160"/>
      <c r="K496" s="220"/>
      <c r="L496" s="160"/>
      <c r="M496" s="160"/>
      <c r="N496" s="160"/>
      <c r="O496" s="243"/>
      <c r="P496" s="223"/>
      <c r="Q496" s="223"/>
      <c r="R496" s="239"/>
      <c r="S496" s="462"/>
      <c r="T496" s="564"/>
      <c r="U496" s="241"/>
      <c r="V496" s="163" t="s">
        <v>59</v>
      </c>
      <c r="W496" s="160"/>
      <c r="X496" s="166"/>
      <c r="Y496" s="166"/>
      <c r="Z496" s="167"/>
      <c r="AA496" s="163" t="s">
        <v>59</v>
      </c>
      <c r="AB496" s="167"/>
      <c r="AC496" s="168"/>
      <c r="AD496" s="160"/>
      <c r="AE496" s="160"/>
      <c r="AF496" s="160"/>
      <c r="AG496" s="160"/>
      <c r="AH496" s="160"/>
      <c r="AI496" s="160"/>
      <c r="AZ496" s="160"/>
      <c r="BA496" s="160">
        <f>(COUNTIF(AJ496:AL496,"*OK*")*3) + (COUNTIF(AM496:AO496,"*OK*")*2) + COUNTIF(AP496:AR496,"*OK*")+COUNTIF(AZ496:AZ496,"SI")*0.5</f>
        <v>0</v>
      </c>
      <c r="BB496" s="160" t="str">
        <f>IF(BA496&lt;0.6,"Demasiado Riesgo",IF(BA496&lt;=5,"Riesgo Medio",IF(BA496&lt;=11,"Riesgo Bajo","Cliente Blindado")))</f>
        <v>Demasiado Riesgo</v>
      </c>
      <c r="BC496" s="160"/>
      <c r="BD496" s="160"/>
      <c r="BE496" s="160"/>
      <c r="BF496" s="160"/>
      <c r="BG496" s="160"/>
      <c r="BH496" s="160"/>
      <c r="BI496" s="160"/>
      <c r="BJ496" s="160"/>
      <c r="BK496" s="160"/>
      <c r="BL496" s="160"/>
      <c r="BM496" s="160"/>
      <c r="BN496" s="160"/>
      <c r="BO496" s="160"/>
      <c r="BP496" s="160"/>
      <c r="BQ496" s="160"/>
      <c r="BR496" s="160"/>
      <c r="BS496" s="160"/>
      <c r="BT496" s="160"/>
      <c r="BU496" s="160"/>
      <c r="BV496" s="160"/>
      <c r="BW496" s="160"/>
      <c r="BX496" s="160"/>
      <c r="BY496" s="160"/>
      <c r="BZ496" s="160"/>
      <c r="CA496" s="160">
        <f>COUNTIF(AJ496:AX496,"*OK*")</f>
        <v>0</v>
      </c>
    </row>
    <row r="497" spans="1:79" ht="15" customHeight="1">
      <c r="A497" s="240"/>
      <c r="B497" s="171"/>
      <c r="C497" s="471"/>
      <c r="D497" s="171">
        <f>COUNTIF(AN497:AY497,"OK")</f>
        <v>0</v>
      </c>
      <c r="E497" s="171"/>
      <c r="F497" s="171"/>
      <c r="G497" s="171"/>
      <c r="H497" s="179"/>
      <c r="I497" s="179"/>
      <c r="J497" s="171"/>
      <c r="K497" s="236"/>
      <c r="L497" s="171"/>
      <c r="M497" s="171"/>
      <c r="N497" s="171"/>
      <c r="O497" s="242"/>
      <c r="P497" s="237"/>
      <c r="Q497" s="237"/>
      <c r="R497" s="238"/>
      <c r="S497" s="463"/>
      <c r="T497" s="565"/>
      <c r="U497" s="240"/>
      <c r="V497" s="174" t="s">
        <v>59</v>
      </c>
      <c r="W497" s="171"/>
      <c r="X497" s="177"/>
      <c r="Y497" s="177"/>
      <c r="Z497" s="178"/>
      <c r="AA497" s="174" t="s">
        <v>59</v>
      </c>
      <c r="AB497" s="178"/>
      <c r="AC497" s="179"/>
      <c r="AD497" s="171"/>
      <c r="AE497" s="171"/>
      <c r="AF497" s="171"/>
      <c r="AG497" s="171"/>
      <c r="AH497" s="171"/>
      <c r="AI497" s="171"/>
      <c r="AZ497" s="171"/>
      <c r="BA497" s="171">
        <f>(COUNTIF(AJ497:AL497,"*OK*")*3) + (COUNTIF(AM497:AO497,"*OK*")*2) + COUNTIF(AP497:AR497,"*OK*")+COUNTIF(AZ497:AZ497,"SI")*0.5</f>
        <v>0</v>
      </c>
      <c r="BB497" s="171" t="str">
        <f>IF(BA497&lt;0.6,"Demasiado Riesgo",IF(BA497&lt;=5,"Riesgo Medio",IF(BA497&lt;=11,"Riesgo Bajo","Cliente Blindado")))</f>
        <v>Demasiado Riesgo</v>
      </c>
      <c r="BC497" s="171"/>
      <c r="BD497" s="171"/>
      <c r="BE497" s="171"/>
      <c r="BF497" s="171"/>
      <c r="BG497" s="171"/>
      <c r="BH497" s="171"/>
      <c r="BI497" s="171"/>
      <c r="BJ497" s="171"/>
      <c r="BK497" s="171"/>
      <c r="BL497" s="171"/>
      <c r="BM497" s="171"/>
      <c r="BN497" s="171"/>
      <c r="BO497" s="171"/>
      <c r="BP497" s="171"/>
      <c r="BQ497" s="171"/>
      <c r="BR497" s="171"/>
      <c r="BS497" s="171"/>
      <c r="BT497" s="171"/>
      <c r="BU497" s="171"/>
      <c r="BV497" s="171"/>
      <c r="BW497" s="171"/>
      <c r="BX497" s="171"/>
      <c r="BY497" s="171"/>
      <c r="BZ497" s="171"/>
      <c r="CA497" s="171">
        <f>COUNTIF(AJ497:AX497,"*OK*")</f>
        <v>0</v>
      </c>
    </row>
    <row r="498" spans="1:79" ht="15" customHeight="1">
      <c r="A498" s="241"/>
      <c r="B498" s="160"/>
      <c r="C498" s="472"/>
      <c r="D498" s="160">
        <f>COUNTIF(AN498:AY498,"OK")</f>
        <v>0</v>
      </c>
      <c r="E498" s="160"/>
      <c r="F498" s="160"/>
      <c r="G498" s="160"/>
      <c r="H498" s="168"/>
      <c r="I498" s="168"/>
      <c r="J498" s="160"/>
      <c r="K498" s="220"/>
      <c r="L498" s="160"/>
      <c r="M498" s="160"/>
      <c r="N498" s="160"/>
      <c r="O498" s="243"/>
      <c r="P498" s="223"/>
      <c r="Q498" s="223"/>
      <c r="R498" s="239"/>
      <c r="S498" s="462"/>
      <c r="T498" s="564"/>
      <c r="U498" s="241"/>
      <c r="V498" s="163" t="s">
        <v>59</v>
      </c>
      <c r="W498" s="160"/>
      <c r="X498" s="166"/>
      <c r="Y498" s="166"/>
      <c r="Z498" s="167"/>
      <c r="AA498" s="163" t="s">
        <v>59</v>
      </c>
      <c r="AB498" s="167"/>
      <c r="AC498" s="168"/>
      <c r="AD498" s="160"/>
      <c r="AE498" s="160"/>
      <c r="AF498" s="160"/>
      <c r="AG498" s="160"/>
      <c r="AH498" s="160"/>
      <c r="AI498" s="160"/>
      <c r="AZ498" s="160"/>
      <c r="BA498" s="160">
        <f>(COUNTIF(AJ498:AL498,"*OK*")*3) + (COUNTIF(AM498:AO498,"*OK*")*2) + COUNTIF(AP498:AR498,"*OK*")+COUNTIF(AZ498:AZ498,"SI")*0.5</f>
        <v>0</v>
      </c>
      <c r="BB498" s="160" t="str">
        <f>IF(BA498&lt;0.6,"Demasiado Riesgo",IF(BA498&lt;=5,"Riesgo Medio",IF(BA498&lt;=11,"Riesgo Bajo","Cliente Blindado")))</f>
        <v>Demasiado Riesgo</v>
      </c>
      <c r="BC498" s="160"/>
      <c r="BD498" s="160"/>
      <c r="BE498" s="160"/>
      <c r="BF498" s="160"/>
      <c r="BG498" s="160"/>
      <c r="BH498" s="160"/>
      <c r="BI498" s="160"/>
      <c r="BJ498" s="160"/>
      <c r="BK498" s="160"/>
      <c r="BL498" s="160"/>
      <c r="BM498" s="160"/>
      <c r="BN498" s="160"/>
      <c r="BO498" s="160"/>
      <c r="BP498" s="160"/>
      <c r="BQ498" s="160"/>
      <c r="BR498" s="160"/>
      <c r="BS498" s="160"/>
      <c r="BT498" s="160"/>
      <c r="BU498" s="160"/>
      <c r="BV498" s="160"/>
      <c r="BW498" s="160"/>
      <c r="BX498" s="160"/>
      <c r="BY498" s="160"/>
      <c r="BZ498" s="160"/>
      <c r="CA498" s="160">
        <f>COUNTIF(AJ498:AX498,"*OK*")</f>
        <v>0</v>
      </c>
    </row>
    <row r="499" spans="1:79" ht="15" customHeight="1">
      <c r="A499" s="240"/>
      <c r="B499" s="171"/>
      <c r="C499" s="471"/>
      <c r="D499" s="171">
        <f>COUNTIF(AN499:AY499,"OK")</f>
        <v>0</v>
      </c>
      <c r="E499" s="171"/>
      <c r="F499" s="171"/>
      <c r="G499" s="171"/>
      <c r="H499" s="179"/>
      <c r="I499" s="179"/>
      <c r="J499" s="171"/>
      <c r="K499" s="236"/>
      <c r="L499" s="171"/>
      <c r="M499" s="171"/>
      <c r="N499" s="171"/>
      <c r="O499" s="242"/>
      <c r="P499" s="237"/>
      <c r="Q499" s="237"/>
      <c r="R499" s="238"/>
      <c r="S499" s="463"/>
      <c r="T499" s="565"/>
      <c r="U499" s="240"/>
      <c r="V499" s="174" t="s">
        <v>59</v>
      </c>
      <c r="W499" s="171"/>
      <c r="X499" s="177"/>
      <c r="Y499" s="177"/>
      <c r="Z499" s="178"/>
      <c r="AA499" s="174" t="s">
        <v>59</v>
      </c>
      <c r="AB499" s="178"/>
      <c r="AC499" s="179"/>
      <c r="AD499" s="171"/>
      <c r="AE499" s="171"/>
      <c r="AF499" s="171"/>
      <c r="AG499" s="171"/>
      <c r="AH499" s="171"/>
      <c r="AI499" s="171"/>
      <c r="AZ499" s="171"/>
      <c r="BA499" s="171">
        <f>(COUNTIF(AJ499:AL499,"*OK*")*3) + (COUNTIF(AM499:AO499,"*OK*")*2) + COUNTIF(AP499:AR499,"*OK*")+COUNTIF(AZ499:AZ499,"SI")*0.5</f>
        <v>0</v>
      </c>
      <c r="BB499" s="171" t="str">
        <f>IF(BA499&lt;0.6,"Demasiado Riesgo",IF(BA499&lt;=5,"Riesgo Medio",IF(BA499&lt;=11,"Riesgo Bajo","Cliente Blindado")))</f>
        <v>Demasiado Riesgo</v>
      </c>
      <c r="BC499" s="171"/>
      <c r="BD499" s="171"/>
      <c r="BE499" s="171"/>
      <c r="BF499" s="171"/>
      <c r="BG499" s="171"/>
      <c r="BH499" s="171"/>
      <c r="BI499" s="171"/>
      <c r="BJ499" s="171"/>
      <c r="BK499" s="171"/>
      <c r="BL499" s="171"/>
      <c r="BM499" s="171"/>
      <c r="BN499" s="171"/>
      <c r="BO499" s="171"/>
      <c r="BP499" s="171"/>
      <c r="BQ499" s="171"/>
      <c r="BR499" s="171"/>
      <c r="BS499" s="171"/>
      <c r="BT499" s="171"/>
      <c r="BU499" s="171"/>
      <c r="BV499" s="171"/>
      <c r="BW499" s="171"/>
      <c r="BX499" s="171"/>
      <c r="BY499" s="171"/>
      <c r="BZ499" s="171"/>
      <c r="CA499" s="171">
        <f>COUNTIF(AJ499:AX499,"*OK*")</f>
        <v>0</v>
      </c>
    </row>
    <row r="500" spans="1:79" ht="15" customHeight="1">
      <c r="A500" s="241"/>
      <c r="B500" s="160"/>
      <c r="C500" s="472"/>
      <c r="D500" s="160">
        <f>COUNTIF(AN500:AY500,"OK")</f>
        <v>0</v>
      </c>
      <c r="E500" s="160"/>
      <c r="F500" s="160"/>
      <c r="G500" s="160"/>
      <c r="H500" s="168"/>
      <c r="I500" s="168"/>
      <c r="J500" s="160"/>
      <c r="K500" s="220"/>
      <c r="L500" s="160"/>
      <c r="M500" s="160"/>
      <c r="N500" s="160"/>
      <c r="O500" s="243"/>
      <c r="P500" s="223"/>
      <c r="Q500" s="223"/>
      <c r="R500" s="239"/>
      <c r="S500" s="462"/>
      <c r="T500" s="564"/>
      <c r="U500" s="241"/>
      <c r="V500" s="163" t="s">
        <v>59</v>
      </c>
      <c r="W500" s="160"/>
      <c r="X500" s="166"/>
      <c r="Y500" s="166"/>
      <c r="Z500" s="167"/>
      <c r="AA500" s="163" t="s">
        <v>59</v>
      </c>
      <c r="AB500" s="167"/>
      <c r="AC500" s="168"/>
      <c r="AD500" s="160"/>
      <c r="AE500" s="160"/>
      <c r="AF500" s="160"/>
      <c r="AG500" s="160"/>
      <c r="AH500" s="160"/>
      <c r="AI500" s="160"/>
      <c r="AZ500" s="160"/>
      <c r="BA500" s="160">
        <f>(COUNTIF(AJ500:AL500,"*OK*")*3) + (COUNTIF(AM500:AO500,"*OK*")*2) + COUNTIF(AP500:AR500,"*OK*")+COUNTIF(AZ500:AZ500,"SI")*0.5</f>
        <v>0</v>
      </c>
      <c r="BB500" s="160" t="str">
        <f>IF(BA500&lt;0.6,"Demasiado Riesgo",IF(BA500&lt;=5,"Riesgo Medio",IF(BA500&lt;=11,"Riesgo Bajo","Cliente Blindado")))</f>
        <v>Demasiado Riesgo</v>
      </c>
      <c r="BC500" s="160"/>
      <c r="BD500" s="160"/>
      <c r="BE500" s="160"/>
      <c r="BF500" s="160"/>
      <c r="BG500" s="160"/>
      <c r="BH500" s="160"/>
      <c r="BI500" s="160"/>
      <c r="BJ500" s="160"/>
      <c r="BK500" s="160"/>
      <c r="BL500" s="160"/>
      <c r="BM500" s="160"/>
      <c r="BN500" s="160"/>
      <c r="BO500" s="160"/>
      <c r="BP500" s="160"/>
      <c r="BQ500" s="160"/>
      <c r="BR500" s="160"/>
      <c r="BS500" s="160"/>
      <c r="BT500" s="160"/>
      <c r="BU500" s="160"/>
      <c r="BV500" s="160"/>
      <c r="BW500" s="160"/>
      <c r="BX500" s="160"/>
      <c r="BY500" s="160"/>
      <c r="BZ500" s="160"/>
      <c r="CA500" s="160">
        <f>COUNTIF(AJ500:AX500,"*OK*")</f>
        <v>0</v>
      </c>
    </row>
    <row r="501" spans="1:79" ht="15" customHeight="1">
      <c r="A501" s="240"/>
      <c r="B501" s="171"/>
      <c r="C501" s="471"/>
      <c r="D501" s="171">
        <f>COUNTIF(AN501:AY501,"OK")</f>
        <v>0</v>
      </c>
      <c r="E501" s="171"/>
      <c r="F501" s="171"/>
      <c r="G501" s="171"/>
      <c r="H501" s="179"/>
      <c r="I501" s="179"/>
      <c r="J501" s="171"/>
      <c r="K501" s="236"/>
      <c r="L501" s="171"/>
      <c r="M501" s="171"/>
      <c r="N501" s="171"/>
      <c r="O501" s="242"/>
      <c r="P501" s="237"/>
      <c r="Q501" s="237"/>
      <c r="R501" s="238"/>
      <c r="S501" s="463"/>
      <c r="T501" s="565"/>
      <c r="U501" s="240"/>
      <c r="V501" s="174" t="s">
        <v>59</v>
      </c>
      <c r="W501" s="171"/>
      <c r="X501" s="177"/>
      <c r="Y501" s="177"/>
      <c r="Z501" s="178"/>
      <c r="AA501" s="174" t="s">
        <v>59</v>
      </c>
      <c r="AB501" s="178"/>
      <c r="AC501" s="179"/>
      <c r="AD501" s="171"/>
      <c r="AE501" s="171"/>
      <c r="AF501" s="171"/>
      <c r="AG501" s="171"/>
      <c r="AH501" s="171"/>
      <c r="AI501" s="171"/>
      <c r="AZ501" s="171"/>
      <c r="BA501" s="171">
        <f>(COUNTIF(AJ501:AL501,"*OK*")*3) + (COUNTIF(AM501:AO501,"*OK*")*2) + COUNTIF(AP501:AR501,"*OK*")+COUNTIF(AZ501:AZ501,"SI")*0.5</f>
        <v>0</v>
      </c>
      <c r="BB501" s="171" t="str">
        <f>IF(BA501&lt;0.6,"Demasiado Riesgo",IF(BA501&lt;=5,"Riesgo Medio",IF(BA501&lt;=11,"Riesgo Bajo","Cliente Blindado")))</f>
        <v>Demasiado Riesgo</v>
      </c>
      <c r="BC501" s="171"/>
      <c r="BD501" s="171"/>
      <c r="BE501" s="171"/>
      <c r="BF501" s="171"/>
      <c r="BG501" s="171"/>
      <c r="BH501" s="171"/>
      <c r="BI501" s="171"/>
      <c r="BJ501" s="171"/>
      <c r="BK501" s="171"/>
      <c r="BL501" s="171"/>
      <c r="BM501" s="171"/>
      <c r="BN501" s="171"/>
      <c r="BO501" s="171"/>
      <c r="BP501" s="171"/>
      <c r="BQ501" s="171"/>
      <c r="BR501" s="171"/>
      <c r="BS501" s="171"/>
      <c r="BT501" s="171"/>
      <c r="BU501" s="171"/>
      <c r="BV501" s="171"/>
      <c r="BW501" s="171"/>
      <c r="BX501" s="171"/>
      <c r="BY501" s="171"/>
      <c r="BZ501" s="171"/>
      <c r="CA501" s="171">
        <f>COUNTIF(AJ501:AX501,"*OK*")</f>
        <v>0</v>
      </c>
    </row>
    <row r="502" spans="1:79" ht="15" customHeight="1">
      <c r="A502" s="241"/>
      <c r="B502" s="160"/>
      <c r="C502" s="472"/>
      <c r="D502" s="160">
        <f>COUNTIF(AN502:AY502,"OK")</f>
        <v>0</v>
      </c>
      <c r="E502" s="160"/>
      <c r="F502" s="160"/>
      <c r="G502" s="160"/>
      <c r="H502" s="168"/>
      <c r="I502" s="168"/>
      <c r="J502" s="160"/>
      <c r="K502" s="220"/>
      <c r="L502" s="160"/>
      <c r="M502" s="160"/>
      <c r="N502" s="160"/>
      <c r="O502" s="243"/>
      <c r="P502" s="223"/>
      <c r="Q502" s="223"/>
      <c r="R502" s="239"/>
      <c r="S502" s="462"/>
      <c r="T502" s="564"/>
      <c r="U502" s="241"/>
      <c r="V502" s="163" t="s">
        <v>59</v>
      </c>
      <c r="W502" s="160"/>
      <c r="X502" s="166"/>
      <c r="Y502" s="166"/>
      <c r="Z502" s="167"/>
      <c r="AA502" s="163" t="s">
        <v>59</v>
      </c>
      <c r="AB502" s="167"/>
      <c r="AC502" s="168"/>
      <c r="AD502" s="160"/>
      <c r="AE502" s="160"/>
      <c r="AF502" s="160"/>
      <c r="AG502" s="160"/>
      <c r="AH502" s="160"/>
      <c r="AI502" s="160"/>
      <c r="AZ502" s="160"/>
      <c r="BA502" s="160">
        <f>(COUNTIF(AJ502:AL502,"*OK*")*3) + (COUNTIF(AM502:AO502,"*OK*")*2) + COUNTIF(AP502:AR502,"*OK*")+COUNTIF(AZ502:AZ502,"SI")*0.5</f>
        <v>0</v>
      </c>
      <c r="BB502" s="160" t="str">
        <f>IF(BA502&lt;0.6,"Demasiado Riesgo",IF(BA502&lt;=5,"Riesgo Medio",IF(BA502&lt;=11,"Riesgo Bajo","Cliente Blindado")))</f>
        <v>Demasiado Riesgo</v>
      </c>
      <c r="BC502" s="160"/>
      <c r="BD502" s="160"/>
      <c r="BE502" s="160"/>
      <c r="BF502" s="160"/>
      <c r="BG502" s="160"/>
      <c r="BH502" s="160"/>
      <c r="BI502" s="160"/>
      <c r="BJ502" s="160"/>
      <c r="BK502" s="160"/>
      <c r="BL502" s="160"/>
      <c r="BM502" s="160"/>
      <c r="BN502" s="160"/>
      <c r="BO502" s="160"/>
      <c r="BP502" s="160"/>
      <c r="BQ502" s="160"/>
      <c r="BR502" s="160"/>
      <c r="BS502" s="160"/>
      <c r="BT502" s="160"/>
      <c r="BU502" s="160"/>
      <c r="BV502" s="160"/>
      <c r="BW502" s="160"/>
      <c r="BX502" s="160"/>
      <c r="BY502" s="160"/>
      <c r="BZ502" s="160"/>
      <c r="CA502" s="160">
        <f>COUNTIF(AJ502:AX502,"*OK*")</f>
        <v>0</v>
      </c>
    </row>
    <row r="503" spans="1:79" ht="15" customHeight="1">
      <c r="A503" s="240"/>
      <c r="B503" s="171"/>
      <c r="C503" s="471"/>
      <c r="D503" s="171">
        <f>COUNTIF(AN503:AY503,"OK")</f>
        <v>0</v>
      </c>
      <c r="E503" s="171"/>
      <c r="F503" s="171"/>
      <c r="G503" s="171"/>
      <c r="H503" s="179"/>
      <c r="I503" s="179"/>
      <c r="J503" s="171"/>
      <c r="K503" s="236"/>
      <c r="L503" s="171"/>
      <c r="M503" s="171"/>
      <c r="N503" s="171"/>
      <c r="O503" s="242"/>
      <c r="P503" s="237"/>
      <c r="Q503" s="237"/>
      <c r="R503" s="238"/>
      <c r="S503" s="463"/>
      <c r="T503" s="565"/>
      <c r="U503" s="240"/>
      <c r="V503" s="174" t="s">
        <v>59</v>
      </c>
      <c r="W503" s="171"/>
      <c r="X503" s="177"/>
      <c r="Y503" s="177"/>
      <c r="Z503" s="178"/>
      <c r="AA503" s="174" t="s">
        <v>59</v>
      </c>
      <c r="AB503" s="178"/>
      <c r="AC503" s="179"/>
      <c r="AD503" s="171"/>
      <c r="AE503" s="171"/>
      <c r="AF503" s="171"/>
      <c r="AG503" s="171"/>
      <c r="AH503" s="171"/>
      <c r="AI503" s="171"/>
      <c r="AZ503" s="171"/>
      <c r="BA503" s="171">
        <f>(COUNTIF(AJ503:AL503,"*OK*")*3) + (COUNTIF(AM503:AO503,"*OK*")*2) + COUNTIF(AP503:AR503,"*OK*")+COUNTIF(AZ503:AZ503,"SI")*0.5</f>
        <v>0</v>
      </c>
      <c r="BB503" s="171" t="str">
        <f>IF(BA503&lt;0.6,"Demasiado Riesgo",IF(BA503&lt;=5,"Riesgo Medio",IF(BA503&lt;=11,"Riesgo Bajo","Cliente Blindado")))</f>
        <v>Demasiado Riesgo</v>
      </c>
      <c r="BC503" s="171"/>
      <c r="BD503" s="171"/>
      <c r="BE503" s="171"/>
      <c r="BF503" s="171"/>
      <c r="BG503" s="171"/>
      <c r="BH503" s="171"/>
      <c r="BI503" s="171"/>
      <c r="BJ503" s="171"/>
      <c r="BK503" s="171"/>
      <c r="BL503" s="171"/>
      <c r="BM503" s="171"/>
      <c r="BN503" s="171"/>
      <c r="BO503" s="171"/>
      <c r="BP503" s="171"/>
      <c r="BQ503" s="171"/>
      <c r="BR503" s="171"/>
      <c r="BS503" s="171"/>
      <c r="BT503" s="171"/>
      <c r="BU503" s="171"/>
      <c r="BV503" s="171"/>
      <c r="BW503" s="171"/>
      <c r="BX503" s="171"/>
      <c r="BY503" s="171"/>
      <c r="BZ503" s="171"/>
      <c r="CA503" s="171">
        <f>COUNTIF(AJ503:AX503,"*OK*")</f>
        <v>0</v>
      </c>
    </row>
    <row r="504" spans="1:79" ht="15" customHeight="1">
      <c r="A504" s="241"/>
      <c r="B504" s="160"/>
      <c r="C504" s="472"/>
      <c r="D504" s="160">
        <f>COUNTIF(AN504:AY504,"OK")</f>
        <v>0</v>
      </c>
      <c r="E504" s="160"/>
      <c r="F504" s="160"/>
      <c r="G504" s="160"/>
      <c r="H504" s="168"/>
      <c r="I504" s="168"/>
      <c r="J504" s="160"/>
      <c r="K504" s="220"/>
      <c r="L504" s="160"/>
      <c r="M504" s="160"/>
      <c r="N504" s="160"/>
      <c r="O504" s="243"/>
      <c r="P504" s="223"/>
      <c r="Q504" s="223"/>
      <c r="R504" s="239"/>
      <c r="S504" s="462"/>
      <c r="T504" s="564"/>
      <c r="U504" s="241"/>
      <c r="V504" s="163" t="s">
        <v>59</v>
      </c>
      <c r="W504" s="160"/>
      <c r="X504" s="166"/>
      <c r="Y504" s="166"/>
      <c r="Z504" s="167"/>
      <c r="AA504" s="163" t="s">
        <v>59</v>
      </c>
      <c r="AB504" s="167"/>
      <c r="AC504" s="168"/>
      <c r="AD504" s="160"/>
      <c r="AE504" s="160"/>
      <c r="AF504" s="160"/>
      <c r="AG504" s="160"/>
      <c r="AH504" s="160"/>
      <c r="AI504" s="160"/>
      <c r="AZ504" s="160"/>
      <c r="BA504" s="160">
        <f>(COUNTIF(AJ504:AL504,"*OK*")*3) + (COUNTIF(AM504:AO504,"*OK*")*2) + COUNTIF(AP504:AR504,"*OK*")+COUNTIF(AZ504:AZ504,"SI")*0.5</f>
        <v>0</v>
      </c>
      <c r="BB504" s="160" t="str">
        <f>IF(BA504&lt;0.6,"Demasiado Riesgo",IF(BA504&lt;=5,"Riesgo Medio",IF(BA504&lt;=11,"Riesgo Bajo","Cliente Blindado")))</f>
        <v>Demasiado Riesgo</v>
      </c>
      <c r="BC504" s="160"/>
      <c r="BD504" s="160"/>
      <c r="BE504" s="160"/>
      <c r="BF504" s="160"/>
      <c r="BG504" s="160"/>
      <c r="BH504" s="160"/>
      <c r="BI504" s="160"/>
      <c r="BJ504" s="160"/>
      <c r="BK504" s="160"/>
      <c r="BL504" s="160"/>
      <c r="BM504" s="160"/>
      <c r="BN504" s="160"/>
      <c r="BO504" s="160"/>
      <c r="BP504" s="160"/>
      <c r="BQ504" s="160"/>
      <c r="BR504" s="160"/>
      <c r="BS504" s="160"/>
      <c r="BT504" s="160"/>
      <c r="BU504" s="160"/>
      <c r="BV504" s="160"/>
      <c r="BW504" s="160"/>
      <c r="BX504" s="160"/>
      <c r="BY504" s="160"/>
      <c r="BZ504" s="160"/>
      <c r="CA504" s="160">
        <f>COUNTIF(AJ504:AX504,"*OK*")</f>
        <v>0</v>
      </c>
    </row>
    <row r="505" spans="1:79" ht="15" customHeight="1">
      <c r="A505" s="240"/>
      <c r="B505" s="171"/>
      <c r="C505" s="471"/>
      <c r="D505" s="171">
        <f>COUNTIF(AN505:AY505,"OK")</f>
        <v>0</v>
      </c>
      <c r="E505" s="171"/>
      <c r="F505" s="171"/>
      <c r="G505" s="171"/>
      <c r="H505" s="179"/>
      <c r="I505" s="179"/>
      <c r="J505" s="171"/>
      <c r="K505" s="236"/>
      <c r="L505" s="171"/>
      <c r="M505" s="171"/>
      <c r="N505" s="171"/>
      <c r="O505" s="242"/>
      <c r="P505" s="237"/>
      <c r="Q505" s="237"/>
      <c r="R505" s="238"/>
      <c r="S505" s="463"/>
      <c r="T505" s="565"/>
      <c r="U505" s="240"/>
      <c r="V505" s="174" t="s">
        <v>59</v>
      </c>
      <c r="W505" s="171"/>
      <c r="X505" s="177"/>
      <c r="Y505" s="177"/>
      <c r="Z505" s="178"/>
      <c r="AA505" s="174" t="s">
        <v>59</v>
      </c>
      <c r="AB505" s="178"/>
      <c r="AC505" s="179"/>
      <c r="AD505" s="171"/>
      <c r="AE505" s="171"/>
      <c r="AF505" s="171"/>
      <c r="AG505" s="171"/>
      <c r="AH505" s="171"/>
      <c r="AI505" s="171"/>
      <c r="AZ505" s="171"/>
      <c r="BA505" s="171">
        <f>(COUNTIF(AJ505:AL505,"*OK*")*3) + (COUNTIF(AM505:AO505,"*OK*")*2) + COUNTIF(AP505:AR505,"*OK*")+COUNTIF(AZ505:AZ505,"SI")*0.5</f>
        <v>0</v>
      </c>
      <c r="BB505" s="171" t="str">
        <f>IF(BA505&lt;0.6,"Demasiado Riesgo",IF(BA505&lt;=5,"Riesgo Medio",IF(BA505&lt;=11,"Riesgo Bajo","Cliente Blindado")))</f>
        <v>Demasiado Riesgo</v>
      </c>
      <c r="BC505" s="171"/>
      <c r="BD505" s="171"/>
      <c r="BE505" s="171"/>
      <c r="BF505" s="171"/>
      <c r="BG505" s="171"/>
      <c r="BH505" s="171"/>
      <c r="BI505" s="171"/>
      <c r="BJ505" s="171"/>
      <c r="BK505" s="171"/>
      <c r="BL505" s="171"/>
      <c r="BM505" s="171"/>
      <c r="BN505" s="171"/>
      <c r="BO505" s="171"/>
      <c r="BP505" s="171"/>
      <c r="BQ505" s="171"/>
      <c r="BR505" s="171"/>
      <c r="BS505" s="171"/>
      <c r="BT505" s="171"/>
      <c r="BU505" s="171"/>
      <c r="BV505" s="171"/>
      <c r="BW505" s="171"/>
      <c r="BX505" s="171"/>
      <c r="BY505" s="171"/>
      <c r="BZ505" s="171"/>
      <c r="CA505" s="171">
        <f>COUNTIF(AJ505:AX505,"*OK*")</f>
        <v>0</v>
      </c>
    </row>
    <row r="506" spans="1:79" ht="15" customHeight="1">
      <c r="A506" s="241"/>
      <c r="B506" s="160"/>
      <c r="C506" s="472"/>
      <c r="D506" s="160">
        <f>COUNTIF(AN506:AY506,"OK")</f>
        <v>0</v>
      </c>
      <c r="E506" s="160"/>
      <c r="F506" s="160"/>
      <c r="G506" s="160"/>
      <c r="H506" s="168"/>
      <c r="I506" s="168"/>
      <c r="J506" s="160"/>
      <c r="K506" s="220"/>
      <c r="L506" s="160"/>
      <c r="M506" s="160"/>
      <c r="N506" s="160"/>
      <c r="O506" s="243"/>
      <c r="P506" s="223"/>
      <c r="Q506" s="223"/>
      <c r="R506" s="239"/>
      <c r="S506" s="462"/>
      <c r="T506" s="564"/>
      <c r="U506" s="241"/>
      <c r="V506" s="163" t="s">
        <v>59</v>
      </c>
      <c r="W506" s="160"/>
      <c r="X506" s="166"/>
      <c r="Y506" s="166"/>
      <c r="Z506" s="167"/>
      <c r="AA506" s="163" t="s">
        <v>59</v>
      </c>
      <c r="AB506" s="167"/>
      <c r="AC506" s="168"/>
      <c r="AD506" s="160"/>
      <c r="AE506" s="160"/>
      <c r="AF506" s="160"/>
      <c r="AG506" s="160"/>
      <c r="AH506" s="160"/>
      <c r="AI506" s="160"/>
      <c r="AZ506" s="160"/>
      <c r="BA506" s="160">
        <f>(COUNTIF(AJ506:AL506,"*OK*")*3) + (COUNTIF(AM506:AO506,"*OK*")*2) + COUNTIF(AP506:AR506,"*OK*")+COUNTIF(AZ506:AZ506,"SI")*0.5</f>
        <v>0</v>
      </c>
      <c r="BB506" s="160" t="str">
        <f>IF(BA506&lt;0.6,"Demasiado Riesgo",IF(BA506&lt;=5,"Riesgo Medio",IF(BA506&lt;=11,"Riesgo Bajo","Cliente Blindado")))</f>
        <v>Demasiado Riesgo</v>
      </c>
      <c r="BC506" s="160"/>
      <c r="BD506" s="160"/>
      <c r="BE506" s="160"/>
      <c r="BF506" s="160"/>
      <c r="BG506" s="160"/>
      <c r="BH506" s="160"/>
      <c r="BI506" s="160"/>
      <c r="BJ506" s="160"/>
      <c r="BK506" s="160"/>
      <c r="BL506" s="160"/>
      <c r="BM506" s="160"/>
      <c r="BN506" s="160"/>
      <c r="BO506" s="160"/>
      <c r="BP506" s="160"/>
      <c r="BQ506" s="160"/>
      <c r="BR506" s="160"/>
      <c r="BS506" s="160"/>
      <c r="BT506" s="160"/>
      <c r="BU506" s="160"/>
      <c r="BV506" s="160"/>
      <c r="BW506" s="160"/>
      <c r="BX506" s="160"/>
      <c r="BY506" s="160"/>
      <c r="BZ506" s="160"/>
      <c r="CA506" s="160">
        <f>COUNTIF(AJ506:AX506,"*OK*")</f>
        <v>0</v>
      </c>
    </row>
    <row r="507" spans="1:79" ht="15" customHeight="1">
      <c r="A507" s="240"/>
      <c r="B507" s="171"/>
      <c r="C507" s="471"/>
      <c r="D507" s="171">
        <f>COUNTIF(AN507:AY507,"OK")</f>
        <v>0</v>
      </c>
      <c r="E507" s="171"/>
      <c r="F507" s="171"/>
      <c r="G507" s="171"/>
      <c r="H507" s="179"/>
      <c r="I507" s="179"/>
      <c r="J507" s="171"/>
      <c r="K507" s="236"/>
      <c r="L507" s="171"/>
      <c r="M507" s="171"/>
      <c r="N507" s="171"/>
      <c r="O507" s="242"/>
      <c r="P507" s="237"/>
      <c r="Q507" s="237"/>
      <c r="R507" s="238"/>
      <c r="S507" s="463"/>
      <c r="T507" s="565"/>
      <c r="U507" s="240"/>
      <c r="V507" s="174" t="s">
        <v>59</v>
      </c>
      <c r="W507" s="171"/>
      <c r="X507" s="177"/>
      <c r="Y507" s="177"/>
      <c r="Z507" s="178"/>
      <c r="AA507" s="174" t="s">
        <v>59</v>
      </c>
      <c r="AB507" s="178"/>
      <c r="AC507" s="179"/>
      <c r="AD507" s="171"/>
      <c r="AE507" s="171"/>
      <c r="AF507" s="171"/>
      <c r="AG507" s="171"/>
      <c r="AH507" s="171"/>
      <c r="AI507" s="171"/>
      <c r="AZ507" s="171"/>
      <c r="BA507" s="171">
        <f>(COUNTIF(AJ507:AL507,"*OK*")*3) + (COUNTIF(AM507:AO507,"*OK*")*2) + COUNTIF(AP507:AR507,"*OK*")+COUNTIF(AZ507:AZ507,"SI")*0.5</f>
        <v>0</v>
      </c>
      <c r="BB507" s="171" t="str">
        <f>IF(BA507&lt;0.6,"Demasiado Riesgo",IF(BA507&lt;=5,"Riesgo Medio",IF(BA507&lt;=11,"Riesgo Bajo","Cliente Blindado")))</f>
        <v>Demasiado Riesgo</v>
      </c>
      <c r="BC507" s="171"/>
      <c r="BD507" s="171"/>
      <c r="BE507" s="171"/>
      <c r="BF507" s="171"/>
      <c r="BG507" s="171"/>
      <c r="BH507" s="171"/>
      <c r="BI507" s="171"/>
      <c r="BJ507" s="171"/>
      <c r="BK507" s="171"/>
      <c r="BL507" s="171"/>
      <c r="BM507" s="171"/>
      <c r="BN507" s="171"/>
      <c r="BO507" s="171"/>
      <c r="BP507" s="171"/>
      <c r="BQ507" s="171"/>
      <c r="BR507" s="171"/>
      <c r="BS507" s="171"/>
      <c r="BT507" s="171"/>
      <c r="BU507" s="171"/>
      <c r="BV507" s="171"/>
      <c r="BW507" s="171"/>
      <c r="BX507" s="171"/>
      <c r="BY507" s="171"/>
      <c r="BZ507" s="171"/>
      <c r="CA507" s="171">
        <f>COUNTIF(AJ507:AX507,"*OK*")</f>
        <v>0</v>
      </c>
    </row>
    <row r="508" spans="1:79" ht="15" customHeight="1">
      <c r="A508" s="241"/>
      <c r="B508" s="160"/>
      <c r="C508" s="472"/>
      <c r="D508" s="160">
        <f>COUNTIF(AN508:AY508,"OK")</f>
        <v>0</v>
      </c>
      <c r="E508" s="160"/>
      <c r="F508" s="160"/>
      <c r="G508" s="160"/>
      <c r="H508" s="168"/>
      <c r="I508" s="168"/>
      <c r="J508" s="160"/>
      <c r="K508" s="220"/>
      <c r="L508" s="160"/>
      <c r="M508" s="160"/>
      <c r="N508" s="160"/>
      <c r="O508" s="243"/>
      <c r="P508" s="223"/>
      <c r="Q508" s="223"/>
      <c r="R508" s="239"/>
      <c r="S508" s="462"/>
      <c r="T508" s="564"/>
      <c r="U508" s="241"/>
      <c r="V508" s="163" t="s">
        <v>59</v>
      </c>
      <c r="W508" s="160"/>
      <c r="X508" s="166"/>
      <c r="Y508" s="166"/>
      <c r="Z508" s="167"/>
      <c r="AA508" s="163" t="s">
        <v>59</v>
      </c>
      <c r="AB508" s="167"/>
      <c r="AC508" s="168"/>
      <c r="AD508" s="160"/>
      <c r="AE508" s="160"/>
      <c r="AF508" s="160"/>
      <c r="AG508" s="160"/>
      <c r="AH508" s="160"/>
      <c r="AI508" s="160"/>
      <c r="AZ508" s="160"/>
      <c r="BA508" s="160">
        <f>(COUNTIF(AJ508:AL508,"*OK*")*3) + (COUNTIF(AM508:AO508,"*OK*")*2) + COUNTIF(AP508:AR508,"*OK*")+COUNTIF(AZ508:AZ508,"SI")*0.5</f>
        <v>0</v>
      </c>
      <c r="BB508" s="160" t="str">
        <f>IF(BA508&lt;0.6,"Demasiado Riesgo",IF(BA508&lt;=5,"Riesgo Medio",IF(BA508&lt;=11,"Riesgo Bajo","Cliente Blindado")))</f>
        <v>Demasiado Riesgo</v>
      </c>
      <c r="BC508" s="160"/>
      <c r="BD508" s="160"/>
      <c r="BE508" s="160"/>
      <c r="BF508" s="160"/>
      <c r="BG508" s="160"/>
      <c r="BH508" s="160"/>
      <c r="BI508" s="160"/>
      <c r="BJ508" s="160"/>
      <c r="BK508" s="160"/>
      <c r="BL508" s="160"/>
      <c r="BM508" s="160"/>
      <c r="BN508" s="160"/>
      <c r="BO508" s="160"/>
      <c r="BP508" s="160"/>
      <c r="BQ508" s="160"/>
      <c r="BR508" s="160"/>
      <c r="BS508" s="160"/>
      <c r="BT508" s="160"/>
      <c r="BU508" s="160"/>
      <c r="BV508" s="160"/>
      <c r="BW508" s="160"/>
      <c r="BX508" s="160"/>
      <c r="BY508" s="160"/>
      <c r="BZ508" s="160"/>
      <c r="CA508" s="160">
        <f>COUNTIF(AJ508:AX508,"*OK*")</f>
        <v>0</v>
      </c>
    </row>
    <row r="509" spans="1:79" ht="15" customHeight="1">
      <c r="A509" s="240"/>
      <c r="B509" s="171"/>
      <c r="C509" s="471"/>
      <c r="D509" s="171">
        <f>COUNTIF(AN509:AY509,"OK")</f>
        <v>0</v>
      </c>
      <c r="E509" s="171"/>
      <c r="F509" s="171"/>
      <c r="G509" s="171"/>
      <c r="H509" s="179"/>
      <c r="I509" s="179"/>
      <c r="J509" s="171"/>
      <c r="K509" s="236"/>
      <c r="L509" s="171"/>
      <c r="M509" s="171"/>
      <c r="N509" s="171"/>
      <c r="O509" s="242"/>
      <c r="P509" s="237"/>
      <c r="Q509" s="237"/>
      <c r="R509" s="238"/>
      <c r="S509" s="463"/>
      <c r="T509" s="565"/>
      <c r="U509" s="240"/>
      <c r="V509" s="174" t="s">
        <v>59</v>
      </c>
      <c r="W509" s="171"/>
      <c r="X509" s="177"/>
      <c r="Y509" s="177"/>
      <c r="Z509" s="178"/>
      <c r="AA509" s="174" t="s">
        <v>59</v>
      </c>
      <c r="AB509" s="178"/>
      <c r="AC509" s="179"/>
      <c r="AD509" s="171"/>
      <c r="AE509" s="171"/>
      <c r="AF509" s="171"/>
      <c r="AG509" s="171"/>
      <c r="AH509" s="171"/>
      <c r="AI509" s="171"/>
      <c r="AZ509" s="171"/>
      <c r="BA509" s="171">
        <f>(COUNTIF(AJ509:AL509,"*OK*")*3) + (COUNTIF(AM509:AO509,"*OK*")*2) + COUNTIF(AP509:AR509,"*OK*")+COUNTIF(AZ509:AZ509,"SI")*0.5</f>
        <v>0</v>
      </c>
      <c r="BB509" s="171" t="str">
        <f>IF(BA509&lt;0.6,"Demasiado Riesgo",IF(BA509&lt;=5,"Riesgo Medio",IF(BA509&lt;=11,"Riesgo Bajo","Cliente Blindado")))</f>
        <v>Demasiado Riesgo</v>
      </c>
      <c r="BC509" s="171"/>
      <c r="BD509" s="171"/>
      <c r="BE509" s="171"/>
      <c r="BF509" s="171"/>
      <c r="BG509" s="171"/>
      <c r="BH509" s="171"/>
      <c r="BI509" s="171"/>
      <c r="BJ509" s="171"/>
      <c r="BK509" s="171"/>
      <c r="BL509" s="171"/>
      <c r="BM509" s="171"/>
      <c r="BN509" s="171"/>
      <c r="BO509" s="171"/>
      <c r="BP509" s="171"/>
      <c r="BQ509" s="171"/>
      <c r="BR509" s="171"/>
      <c r="BS509" s="171"/>
      <c r="BT509" s="171"/>
      <c r="BU509" s="171"/>
      <c r="BV509" s="171"/>
      <c r="BW509" s="171"/>
      <c r="BX509" s="171"/>
      <c r="BY509" s="171"/>
      <c r="BZ509" s="171"/>
      <c r="CA509" s="171">
        <f>COUNTIF(AJ509:AX509,"*OK*")</f>
        <v>0</v>
      </c>
    </row>
    <row r="510" spans="1:79" ht="15" customHeight="1">
      <c r="A510" s="241"/>
      <c r="B510" s="160"/>
      <c r="C510" s="472"/>
      <c r="D510" s="160">
        <f>COUNTIF(AN510:AY510,"OK")</f>
        <v>0</v>
      </c>
      <c r="E510" s="160"/>
      <c r="F510" s="160"/>
      <c r="G510" s="160"/>
      <c r="H510" s="168"/>
      <c r="I510" s="168"/>
      <c r="J510" s="160"/>
      <c r="K510" s="220"/>
      <c r="L510" s="160"/>
      <c r="M510" s="160"/>
      <c r="N510" s="160"/>
      <c r="O510" s="243"/>
      <c r="P510" s="223"/>
      <c r="Q510" s="223"/>
      <c r="R510" s="239"/>
      <c r="S510" s="462"/>
      <c r="T510" s="564"/>
      <c r="U510" s="241"/>
      <c r="V510" s="163" t="s">
        <v>59</v>
      </c>
      <c r="W510" s="160"/>
      <c r="X510" s="166"/>
      <c r="Y510" s="166"/>
      <c r="Z510" s="167"/>
      <c r="AA510" s="163" t="s">
        <v>59</v>
      </c>
      <c r="AB510" s="167"/>
      <c r="AC510" s="168"/>
      <c r="AD510" s="160"/>
      <c r="AE510" s="160"/>
      <c r="AF510" s="160"/>
      <c r="AG510" s="160"/>
      <c r="AH510" s="160"/>
      <c r="AI510" s="160"/>
      <c r="AZ510" s="160"/>
      <c r="BA510" s="160">
        <f>(COUNTIF(AJ510:AL510,"*OK*")*3) + (COUNTIF(AM510:AO510,"*OK*")*2) + COUNTIF(AP510:AR510,"*OK*")+COUNTIF(AZ510:AZ510,"SI")*0.5</f>
        <v>0</v>
      </c>
      <c r="BB510" s="160" t="str">
        <f>IF(BA510&lt;0.6,"Demasiado Riesgo",IF(BA510&lt;=5,"Riesgo Medio",IF(BA510&lt;=11,"Riesgo Bajo","Cliente Blindado")))</f>
        <v>Demasiado Riesgo</v>
      </c>
      <c r="BC510" s="160"/>
      <c r="BD510" s="160"/>
      <c r="BE510" s="160"/>
      <c r="BF510" s="160"/>
      <c r="BG510" s="160"/>
      <c r="BH510" s="160"/>
      <c r="BI510" s="160"/>
      <c r="BJ510" s="160"/>
      <c r="BK510" s="160"/>
      <c r="BL510" s="160"/>
      <c r="BM510" s="160"/>
      <c r="BN510" s="160"/>
      <c r="BO510" s="160"/>
      <c r="BP510" s="160"/>
      <c r="BQ510" s="160"/>
      <c r="BR510" s="160"/>
      <c r="BS510" s="160"/>
      <c r="BT510" s="160"/>
      <c r="BU510" s="160"/>
      <c r="BV510" s="160"/>
      <c r="BW510" s="160"/>
      <c r="BX510" s="160"/>
      <c r="BY510" s="160"/>
      <c r="BZ510" s="160"/>
      <c r="CA510" s="160">
        <f>COUNTIF(AJ510:AX510,"*OK*")</f>
        <v>0</v>
      </c>
    </row>
    <row r="511" spans="1:79" ht="15" customHeight="1">
      <c r="A511" s="240"/>
      <c r="B511" s="171"/>
      <c r="C511" s="471"/>
      <c r="D511" s="171">
        <f>COUNTIF(AN511:AY511,"OK")</f>
        <v>0</v>
      </c>
      <c r="E511" s="171"/>
      <c r="F511" s="171"/>
      <c r="G511" s="171"/>
      <c r="H511" s="179"/>
      <c r="I511" s="179"/>
      <c r="J511" s="171"/>
      <c r="K511" s="236"/>
      <c r="L511" s="171"/>
      <c r="M511" s="171"/>
      <c r="N511" s="171"/>
      <c r="O511" s="242"/>
      <c r="P511" s="237"/>
      <c r="Q511" s="237"/>
      <c r="R511" s="238"/>
      <c r="S511" s="463"/>
      <c r="T511" s="565"/>
      <c r="U511" s="240"/>
      <c r="V511" s="174" t="s">
        <v>59</v>
      </c>
      <c r="W511" s="171"/>
      <c r="X511" s="177"/>
      <c r="Y511" s="177"/>
      <c r="Z511" s="178"/>
      <c r="AA511" s="174" t="s">
        <v>59</v>
      </c>
      <c r="AB511" s="178"/>
      <c r="AC511" s="179"/>
      <c r="AD511" s="171"/>
      <c r="AE511" s="171"/>
      <c r="AF511" s="171"/>
      <c r="AG511" s="171"/>
      <c r="AH511" s="171"/>
      <c r="AI511" s="171"/>
      <c r="AZ511" s="171"/>
      <c r="BA511" s="171">
        <f>(COUNTIF(AJ511:AL511,"*OK*")*3) + (COUNTIF(AM511:AO511,"*OK*")*2) + COUNTIF(AP511:AR511,"*OK*")+COUNTIF(AZ511:AZ511,"SI")*0.5</f>
        <v>0</v>
      </c>
      <c r="BB511" s="171" t="str">
        <f>IF(BA511&lt;0.6,"Demasiado Riesgo",IF(BA511&lt;=5,"Riesgo Medio",IF(BA511&lt;=11,"Riesgo Bajo","Cliente Blindado")))</f>
        <v>Demasiado Riesgo</v>
      </c>
      <c r="BC511" s="171"/>
      <c r="BD511" s="171"/>
      <c r="BE511" s="171"/>
      <c r="BF511" s="171"/>
      <c r="BG511" s="171"/>
      <c r="BH511" s="171"/>
      <c r="BI511" s="171"/>
      <c r="BJ511" s="171"/>
      <c r="BK511" s="171"/>
      <c r="BL511" s="171"/>
      <c r="BM511" s="171"/>
      <c r="BN511" s="171"/>
      <c r="BO511" s="171"/>
      <c r="BP511" s="171"/>
      <c r="BQ511" s="171"/>
      <c r="BR511" s="171"/>
      <c r="BS511" s="171"/>
      <c r="BT511" s="171"/>
      <c r="BU511" s="171"/>
      <c r="BV511" s="171"/>
      <c r="BW511" s="171"/>
      <c r="BX511" s="171"/>
      <c r="BY511" s="171"/>
      <c r="BZ511" s="171"/>
      <c r="CA511" s="171">
        <f>COUNTIF(AJ511:AX511,"*OK*")</f>
        <v>0</v>
      </c>
    </row>
    <row r="512" spans="1:79" ht="15" customHeight="1">
      <c r="A512" s="241"/>
      <c r="B512" s="160"/>
      <c r="C512" s="472"/>
      <c r="D512" s="160">
        <f>COUNTIF(AN512:AY512,"OK")</f>
        <v>0</v>
      </c>
      <c r="E512" s="160"/>
      <c r="F512" s="160"/>
      <c r="G512" s="160"/>
      <c r="H512" s="168"/>
      <c r="I512" s="168"/>
      <c r="J512" s="160"/>
      <c r="K512" s="220"/>
      <c r="L512" s="160"/>
      <c r="M512" s="160"/>
      <c r="N512" s="160"/>
      <c r="O512" s="243"/>
      <c r="P512" s="223"/>
      <c r="Q512" s="223"/>
      <c r="R512" s="239"/>
      <c r="S512" s="462"/>
      <c r="T512" s="564"/>
      <c r="U512" s="241"/>
      <c r="V512" s="163" t="s">
        <v>59</v>
      </c>
      <c r="W512" s="160"/>
      <c r="X512" s="166"/>
      <c r="Y512" s="166"/>
      <c r="Z512" s="167"/>
      <c r="AA512" s="163" t="s">
        <v>59</v>
      </c>
      <c r="AB512" s="167"/>
      <c r="AC512" s="168"/>
      <c r="AD512" s="160"/>
      <c r="AE512" s="160"/>
      <c r="AF512" s="160"/>
      <c r="AG512" s="160"/>
      <c r="AH512" s="160"/>
      <c r="AI512" s="160"/>
      <c r="AZ512" s="160"/>
      <c r="BA512" s="160">
        <f>(COUNTIF(AJ512:AL512,"*OK*")*3) + (COUNTIF(AM512:AO512,"*OK*")*2) + COUNTIF(AP512:AR512,"*OK*")+COUNTIF(AZ512:AZ512,"SI")*0.5</f>
        <v>0</v>
      </c>
      <c r="BB512" s="160" t="str">
        <f>IF(BA512&lt;0.6,"Demasiado Riesgo",IF(BA512&lt;=5,"Riesgo Medio",IF(BA512&lt;=11,"Riesgo Bajo","Cliente Blindado")))</f>
        <v>Demasiado Riesgo</v>
      </c>
      <c r="BC512" s="160"/>
      <c r="BD512" s="160"/>
      <c r="BE512" s="160"/>
      <c r="BF512" s="160"/>
      <c r="BG512" s="160"/>
      <c r="BH512" s="160"/>
      <c r="BI512" s="160"/>
      <c r="BJ512" s="160"/>
      <c r="BK512" s="160"/>
      <c r="BL512" s="160"/>
      <c r="BM512" s="160"/>
      <c r="BN512" s="160"/>
      <c r="BO512" s="160"/>
      <c r="BP512" s="160"/>
      <c r="BQ512" s="160"/>
      <c r="BR512" s="160"/>
      <c r="BS512" s="160"/>
      <c r="BT512" s="160"/>
      <c r="BU512" s="160"/>
      <c r="BV512" s="160"/>
      <c r="BW512" s="160"/>
      <c r="BX512" s="160"/>
      <c r="BY512" s="160"/>
      <c r="BZ512" s="160"/>
      <c r="CA512" s="160">
        <f>COUNTIF(AJ512:AX512,"*OK*")</f>
        <v>0</v>
      </c>
    </row>
    <row r="513" spans="1:79" ht="15" customHeight="1">
      <c r="A513" s="240"/>
      <c r="B513" s="171"/>
      <c r="C513" s="471"/>
      <c r="D513" s="171">
        <f>COUNTIF(AN513:AY513,"OK")</f>
        <v>0</v>
      </c>
      <c r="E513" s="171"/>
      <c r="F513" s="171"/>
      <c r="G513" s="171"/>
      <c r="H513" s="179"/>
      <c r="I513" s="179"/>
      <c r="J513" s="171"/>
      <c r="K513" s="236"/>
      <c r="L513" s="171"/>
      <c r="M513" s="171"/>
      <c r="N513" s="171"/>
      <c r="O513" s="242"/>
      <c r="P513" s="237"/>
      <c r="Q513" s="237"/>
      <c r="R513" s="238"/>
      <c r="S513" s="463"/>
      <c r="T513" s="565"/>
      <c r="U513" s="240"/>
      <c r="V513" s="174" t="s">
        <v>59</v>
      </c>
      <c r="W513" s="171"/>
      <c r="X513" s="177"/>
      <c r="Y513" s="177"/>
      <c r="Z513" s="178"/>
      <c r="AA513" s="174" t="s">
        <v>59</v>
      </c>
      <c r="AB513" s="178"/>
      <c r="AC513" s="179"/>
      <c r="AD513" s="171"/>
      <c r="AE513" s="171"/>
      <c r="AF513" s="171"/>
      <c r="AG513" s="171"/>
      <c r="AH513" s="171"/>
      <c r="AI513" s="171"/>
      <c r="AZ513" s="171"/>
      <c r="BA513" s="171">
        <f>(COUNTIF(AJ513:AL513,"*OK*")*3) + (COUNTIF(AM513:AO513,"*OK*")*2) + COUNTIF(AP513:AR513,"*OK*")+COUNTIF(AZ513:AZ513,"SI")*0.5</f>
        <v>0</v>
      </c>
      <c r="BB513" s="171" t="str">
        <f>IF(BA513&lt;0.6,"Demasiado Riesgo",IF(BA513&lt;=5,"Riesgo Medio",IF(BA513&lt;=11,"Riesgo Bajo","Cliente Blindado")))</f>
        <v>Demasiado Riesgo</v>
      </c>
      <c r="BC513" s="171"/>
      <c r="BD513" s="171"/>
      <c r="BE513" s="171"/>
      <c r="BF513" s="171"/>
      <c r="BG513" s="171"/>
      <c r="BH513" s="171"/>
      <c r="BI513" s="171"/>
      <c r="BJ513" s="171"/>
      <c r="BK513" s="171"/>
      <c r="BL513" s="171"/>
      <c r="BM513" s="171"/>
      <c r="BN513" s="171"/>
      <c r="BO513" s="171"/>
      <c r="BP513" s="171"/>
      <c r="BQ513" s="171"/>
      <c r="BR513" s="171"/>
      <c r="BS513" s="171"/>
      <c r="BT513" s="171"/>
      <c r="BU513" s="171"/>
      <c r="BV513" s="171"/>
      <c r="BW513" s="171"/>
      <c r="BX513" s="171"/>
      <c r="BY513" s="171"/>
      <c r="BZ513" s="171"/>
      <c r="CA513" s="171">
        <f>COUNTIF(AJ513:AX513,"*OK*")</f>
        <v>0</v>
      </c>
    </row>
    <row r="514" spans="1:79" ht="15" customHeight="1">
      <c r="A514" s="241"/>
      <c r="B514" s="160"/>
      <c r="C514" s="472"/>
      <c r="D514" s="160">
        <f>COUNTIF(AN514:AY514,"OK")</f>
        <v>0</v>
      </c>
      <c r="E514" s="160"/>
      <c r="F514" s="160"/>
      <c r="G514" s="160"/>
      <c r="H514" s="168"/>
      <c r="I514" s="168"/>
      <c r="J514" s="160"/>
      <c r="K514" s="220"/>
      <c r="L514" s="160"/>
      <c r="M514" s="160"/>
      <c r="N514" s="160"/>
      <c r="O514" s="243"/>
      <c r="P514" s="223"/>
      <c r="Q514" s="223"/>
      <c r="R514" s="239"/>
      <c r="S514" s="462"/>
      <c r="T514" s="564"/>
      <c r="U514" s="241"/>
      <c r="V514" s="163" t="s">
        <v>59</v>
      </c>
      <c r="W514" s="160"/>
      <c r="X514" s="166"/>
      <c r="Y514" s="166"/>
      <c r="Z514" s="167"/>
      <c r="AA514" s="163" t="s">
        <v>59</v>
      </c>
      <c r="AB514" s="167"/>
      <c r="AC514" s="168"/>
      <c r="AD514" s="160"/>
      <c r="AE514" s="160"/>
      <c r="AF514" s="160"/>
      <c r="AG514" s="160"/>
      <c r="AH514" s="160"/>
      <c r="AI514" s="160"/>
      <c r="AZ514" s="160"/>
      <c r="BA514" s="160">
        <f>(COUNTIF(AJ514:AL514,"*OK*")*3) + (COUNTIF(AM514:AO514,"*OK*")*2) + COUNTIF(AP514:AR514,"*OK*")+COUNTIF(AZ514:AZ514,"SI")*0.5</f>
        <v>0</v>
      </c>
      <c r="BB514" s="160" t="str">
        <f>IF(BA514&lt;0.6,"Demasiado Riesgo",IF(BA514&lt;=5,"Riesgo Medio",IF(BA514&lt;=11,"Riesgo Bajo","Cliente Blindado")))</f>
        <v>Demasiado Riesgo</v>
      </c>
      <c r="BC514" s="160"/>
      <c r="BD514" s="160"/>
      <c r="BE514" s="160"/>
      <c r="BF514" s="160"/>
      <c r="BG514" s="160"/>
      <c r="BH514" s="160"/>
      <c r="BI514" s="160"/>
      <c r="BJ514" s="160"/>
      <c r="BK514" s="160"/>
      <c r="BL514" s="160"/>
      <c r="BM514" s="160"/>
      <c r="BN514" s="160"/>
      <c r="BO514" s="160"/>
      <c r="BP514" s="160"/>
      <c r="BQ514" s="160"/>
      <c r="BR514" s="160"/>
      <c r="BS514" s="160"/>
      <c r="BT514" s="160"/>
      <c r="BU514" s="160"/>
      <c r="BV514" s="160"/>
      <c r="BW514" s="160"/>
      <c r="BX514" s="160"/>
      <c r="BY514" s="160"/>
      <c r="BZ514" s="160"/>
      <c r="CA514" s="160">
        <f>COUNTIF(AJ514:AX514,"*OK*")</f>
        <v>0</v>
      </c>
    </row>
    <row r="515" spans="1:79" ht="15" customHeight="1">
      <c r="A515" s="240"/>
      <c r="B515" s="171"/>
      <c r="C515" s="471"/>
      <c r="D515" s="171">
        <f>COUNTIF(AN515:AY515,"OK")</f>
        <v>0</v>
      </c>
      <c r="E515" s="171"/>
      <c r="F515" s="171"/>
      <c r="G515" s="171"/>
      <c r="H515" s="179"/>
      <c r="I515" s="179"/>
      <c r="J515" s="171"/>
      <c r="K515" s="236"/>
      <c r="L515" s="171"/>
      <c r="M515" s="171"/>
      <c r="N515" s="171"/>
      <c r="O515" s="242"/>
      <c r="P515" s="237"/>
      <c r="Q515" s="237"/>
      <c r="R515" s="238"/>
      <c r="S515" s="463"/>
      <c r="T515" s="565"/>
      <c r="U515" s="240"/>
      <c r="V515" s="174" t="s">
        <v>59</v>
      </c>
      <c r="W515" s="171"/>
      <c r="X515" s="177"/>
      <c r="Y515" s="177"/>
      <c r="Z515" s="178"/>
      <c r="AA515" s="174" t="s">
        <v>59</v>
      </c>
      <c r="AB515" s="178"/>
      <c r="AC515" s="179"/>
      <c r="AD515" s="171"/>
      <c r="AE515" s="171"/>
      <c r="AF515" s="171"/>
      <c r="AG515" s="171"/>
      <c r="AH515" s="171"/>
      <c r="AI515" s="171"/>
      <c r="AZ515" s="171"/>
      <c r="BA515" s="171">
        <f>(COUNTIF(AJ515:AL515,"*OK*")*3) + (COUNTIF(AM515:AO515,"*OK*")*2) + COUNTIF(AP515:AR515,"*OK*")+COUNTIF(AZ515:AZ515,"SI")*0.5</f>
        <v>0</v>
      </c>
      <c r="BB515" s="171" t="str">
        <f>IF(BA515&lt;0.6,"Demasiado Riesgo",IF(BA515&lt;=5,"Riesgo Medio",IF(BA515&lt;=11,"Riesgo Bajo","Cliente Blindado")))</f>
        <v>Demasiado Riesgo</v>
      </c>
      <c r="BC515" s="171"/>
      <c r="BD515" s="171"/>
      <c r="BE515" s="171"/>
      <c r="BF515" s="171"/>
      <c r="BG515" s="171"/>
      <c r="BH515" s="171"/>
      <c r="BI515" s="171"/>
      <c r="BJ515" s="171"/>
      <c r="BK515" s="171"/>
      <c r="BL515" s="171"/>
      <c r="BM515" s="171"/>
      <c r="BN515" s="171"/>
      <c r="BO515" s="171"/>
      <c r="BP515" s="171"/>
      <c r="BQ515" s="171"/>
      <c r="BR515" s="171"/>
      <c r="BS515" s="171"/>
      <c r="BT515" s="171"/>
      <c r="BU515" s="171"/>
      <c r="BV515" s="171"/>
      <c r="BW515" s="171"/>
      <c r="BX515" s="171"/>
      <c r="BY515" s="171"/>
      <c r="BZ515" s="171"/>
      <c r="CA515" s="171">
        <f>COUNTIF(AJ515:AX515,"*OK*")</f>
        <v>0</v>
      </c>
    </row>
    <row r="516" spans="1:79" ht="15" customHeight="1">
      <c r="A516" s="241"/>
      <c r="B516" s="160"/>
      <c r="C516" s="472"/>
      <c r="D516" s="160">
        <f>COUNTIF(AN516:AY516,"OK")</f>
        <v>0</v>
      </c>
      <c r="E516" s="160"/>
      <c r="F516" s="160"/>
      <c r="G516" s="160"/>
      <c r="H516" s="168"/>
      <c r="I516" s="168"/>
      <c r="J516" s="160"/>
      <c r="K516" s="220"/>
      <c r="L516" s="160"/>
      <c r="M516" s="160"/>
      <c r="N516" s="160"/>
      <c r="O516" s="243"/>
      <c r="P516" s="223"/>
      <c r="Q516" s="223"/>
      <c r="R516" s="239"/>
      <c r="S516" s="462"/>
      <c r="T516" s="564"/>
      <c r="U516" s="241"/>
      <c r="V516" s="163" t="s">
        <v>59</v>
      </c>
      <c r="W516" s="160"/>
      <c r="X516" s="166"/>
      <c r="Y516" s="166"/>
      <c r="Z516" s="167"/>
      <c r="AA516" s="163" t="s">
        <v>59</v>
      </c>
      <c r="AB516" s="167"/>
      <c r="AC516" s="168"/>
      <c r="AD516" s="160"/>
      <c r="AE516" s="160"/>
      <c r="AF516" s="160"/>
      <c r="AG516" s="160"/>
      <c r="AH516" s="160"/>
      <c r="AI516" s="160"/>
      <c r="AZ516" s="160"/>
      <c r="BA516" s="160">
        <f>(COUNTIF(AJ516:AL516,"*OK*")*3) + (COUNTIF(AM516:AO516,"*OK*")*2) + COUNTIF(AP516:AR516,"*OK*")+COUNTIF(AZ516:AZ516,"SI")*0.5</f>
        <v>0</v>
      </c>
      <c r="BB516" s="160" t="str">
        <f>IF(BA516&lt;0.6,"Demasiado Riesgo",IF(BA516&lt;=5,"Riesgo Medio",IF(BA516&lt;=11,"Riesgo Bajo","Cliente Blindado")))</f>
        <v>Demasiado Riesgo</v>
      </c>
      <c r="BC516" s="160"/>
      <c r="BD516" s="160"/>
      <c r="BE516" s="160"/>
      <c r="BF516" s="160"/>
      <c r="BG516" s="160"/>
      <c r="BH516" s="160"/>
      <c r="BI516" s="160"/>
      <c r="BJ516" s="160"/>
      <c r="BK516" s="160"/>
      <c r="BL516" s="160"/>
      <c r="BM516" s="160"/>
      <c r="BN516" s="160"/>
      <c r="BO516" s="160"/>
      <c r="BP516" s="160"/>
      <c r="BQ516" s="160"/>
      <c r="BR516" s="160"/>
      <c r="BS516" s="160"/>
      <c r="BT516" s="160"/>
      <c r="BU516" s="160"/>
      <c r="BV516" s="160"/>
      <c r="BW516" s="160"/>
      <c r="BX516" s="160"/>
      <c r="BY516" s="160"/>
      <c r="BZ516" s="160"/>
      <c r="CA516" s="160">
        <f>COUNTIF(AJ516:AX516,"*OK*")</f>
        <v>0</v>
      </c>
    </row>
    <row r="517" spans="1:79" ht="15" customHeight="1">
      <c r="A517" s="240"/>
      <c r="B517" s="171"/>
      <c r="C517" s="471"/>
      <c r="D517" s="171">
        <f>COUNTIF(AN517:AY517,"OK")</f>
        <v>0</v>
      </c>
      <c r="E517" s="171"/>
      <c r="F517" s="171"/>
      <c r="G517" s="171"/>
      <c r="H517" s="179"/>
      <c r="I517" s="179"/>
      <c r="J517" s="171"/>
      <c r="K517" s="236"/>
      <c r="L517" s="171"/>
      <c r="M517" s="171"/>
      <c r="N517" s="171"/>
      <c r="O517" s="242"/>
      <c r="P517" s="237"/>
      <c r="Q517" s="237"/>
      <c r="R517" s="238"/>
      <c r="S517" s="463"/>
      <c r="T517" s="565"/>
      <c r="U517" s="240"/>
      <c r="V517" s="174" t="s">
        <v>59</v>
      </c>
      <c r="W517" s="171"/>
      <c r="X517" s="177"/>
      <c r="Y517" s="177"/>
      <c r="Z517" s="178"/>
      <c r="AA517" s="174" t="s">
        <v>59</v>
      </c>
      <c r="AB517" s="178"/>
      <c r="AC517" s="179"/>
      <c r="AD517" s="171"/>
      <c r="AE517" s="171"/>
      <c r="AF517" s="171"/>
      <c r="AG517" s="171"/>
      <c r="AH517" s="171"/>
      <c r="AI517" s="171"/>
      <c r="AZ517" s="171"/>
      <c r="BA517" s="171">
        <f>(COUNTIF(AJ517:AL517,"*OK*")*3) + (COUNTIF(AM517:AO517,"*OK*")*2) + COUNTIF(AP517:AR517,"*OK*")+COUNTIF(AZ517:AZ517,"SI")*0.5</f>
        <v>0</v>
      </c>
      <c r="BB517" s="171" t="str">
        <f>IF(BA517&lt;0.6,"Demasiado Riesgo",IF(BA517&lt;=5,"Riesgo Medio",IF(BA517&lt;=11,"Riesgo Bajo","Cliente Blindado")))</f>
        <v>Demasiado Riesgo</v>
      </c>
      <c r="BC517" s="171"/>
      <c r="BD517" s="171"/>
      <c r="BE517" s="171"/>
      <c r="BF517" s="171"/>
      <c r="BG517" s="171"/>
      <c r="BH517" s="171"/>
      <c r="BI517" s="171"/>
      <c r="BJ517" s="171"/>
      <c r="BK517" s="171"/>
      <c r="BL517" s="171"/>
      <c r="BM517" s="171"/>
      <c r="BN517" s="171"/>
      <c r="BO517" s="171"/>
      <c r="BP517" s="171"/>
      <c r="BQ517" s="171"/>
      <c r="BR517" s="171"/>
      <c r="BS517" s="171"/>
      <c r="BT517" s="171"/>
      <c r="BU517" s="171"/>
      <c r="BV517" s="171"/>
      <c r="BW517" s="171"/>
      <c r="BX517" s="171"/>
      <c r="BY517" s="171"/>
      <c r="BZ517" s="171"/>
      <c r="CA517" s="171">
        <f>COUNTIF(AJ517:AX517,"*OK*")</f>
        <v>0</v>
      </c>
    </row>
    <row r="518" spans="1:79" ht="15" customHeight="1">
      <c r="A518" s="241"/>
      <c r="B518" s="160"/>
      <c r="C518" s="472"/>
      <c r="D518" s="160">
        <f>COUNTIF(AN518:AY518,"OK")</f>
        <v>0</v>
      </c>
      <c r="E518" s="160"/>
      <c r="F518" s="160"/>
      <c r="G518" s="160"/>
      <c r="H518" s="168"/>
      <c r="I518" s="168"/>
      <c r="J518" s="160"/>
      <c r="K518" s="220"/>
      <c r="L518" s="160"/>
      <c r="M518" s="160"/>
      <c r="N518" s="160"/>
      <c r="O518" s="243"/>
      <c r="P518" s="223"/>
      <c r="Q518" s="223"/>
      <c r="R518" s="239"/>
      <c r="S518" s="462"/>
      <c r="T518" s="564"/>
      <c r="U518" s="241"/>
      <c r="V518" s="163" t="s">
        <v>59</v>
      </c>
      <c r="W518" s="160"/>
      <c r="X518" s="166"/>
      <c r="Y518" s="166"/>
      <c r="Z518" s="167"/>
      <c r="AA518" s="163" t="s">
        <v>59</v>
      </c>
      <c r="AB518" s="167"/>
      <c r="AC518" s="168"/>
      <c r="AD518" s="160"/>
      <c r="AE518" s="160"/>
      <c r="AF518" s="160"/>
      <c r="AG518" s="160"/>
      <c r="AH518" s="160"/>
      <c r="AI518" s="160"/>
      <c r="AZ518" s="160"/>
      <c r="BA518" s="160">
        <f>(COUNTIF(AJ518:AL518,"*OK*")*3) + (COUNTIF(AM518:AO518,"*OK*")*2) + COUNTIF(AP518:AR518,"*OK*")+COUNTIF(AZ518:AZ518,"SI")*0.5</f>
        <v>0</v>
      </c>
      <c r="BB518" s="160" t="str">
        <f>IF(BA518&lt;0.6,"Demasiado Riesgo",IF(BA518&lt;=5,"Riesgo Medio",IF(BA518&lt;=11,"Riesgo Bajo","Cliente Blindado")))</f>
        <v>Demasiado Riesgo</v>
      </c>
      <c r="BC518" s="160"/>
      <c r="BD518" s="160"/>
      <c r="BE518" s="160"/>
      <c r="BF518" s="160"/>
      <c r="BG518" s="160"/>
      <c r="BH518" s="160"/>
      <c r="BI518" s="160"/>
      <c r="BJ518" s="160"/>
      <c r="BK518" s="160"/>
      <c r="BL518" s="160"/>
      <c r="BM518" s="160"/>
      <c r="BN518" s="160"/>
      <c r="BO518" s="160"/>
      <c r="BP518" s="160"/>
      <c r="BQ518" s="160"/>
      <c r="BR518" s="160"/>
      <c r="BS518" s="160"/>
      <c r="BT518" s="160"/>
      <c r="BU518" s="160"/>
      <c r="BV518" s="160"/>
      <c r="BW518" s="160"/>
      <c r="BX518" s="160"/>
      <c r="BY518" s="160"/>
      <c r="BZ518" s="160"/>
      <c r="CA518" s="160">
        <f>COUNTIF(AJ518:AX518,"*OK*")</f>
        <v>0</v>
      </c>
    </row>
    <row r="519" spans="1:79" ht="15" customHeight="1">
      <c r="A519" s="240"/>
      <c r="B519" s="171"/>
      <c r="C519" s="471"/>
      <c r="D519" s="171">
        <f>COUNTIF(AN519:AY519,"OK")</f>
        <v>0</v>
      </c>
      <c r="E519" s="171"/>
      <c r="F519" s="171"/>
      <c r="G519" s="171"/>
      <c r="H519" s="179"/>
      <c r="I519" s="179"/>
      <c r="J519" s="171"/>
      <c r="K519" s="236"/>
      <c r="L519" s="171"/>
      <c r="M519" s="171"/>
      <c r="N519" s="171"/>
      <c r="O519" s="242"/>
      <c r="P519" s="237"/>
      <c r="Q519" s="237"/>
      <c r="R519" s="238"/>
      <c r="S519" s="463"/>
      <c r="T519" s="565"/>
      <c r="U519" s="240"/>
      <c r="V519" s="174" t="s">
        <v>59</v>
      </c>
      <c r="W519" s="171"/>
      <c r="X519" s="177"/>
      <c r="Y519" s="177"/>
      <c r="Z519" s="178"/>
      <c r="AA519" s="174" t="s">
        <v>59</v>
      </c>
      <c r="AB519" s="178"/>
      <c r="AC519" s="179"/>
      <c r="AD519" s="171"/>
      <c r="AE519" s="171"/>
      <c r="AF519" s="171"/>
      <c r="AG519" s="171"/>
      <c r="AH519" s="171"/>
      <c r="AI519" s="171"/>
      <c r="AZ519" s="171"/>
      <c r="BA519" s="171">
        <f>(COUNTIF(AJ519:AL519,"*OK*")*3) + (COUNTIF(AM519:AO519,"*OK*")*2) + COUNTIF(AP519:AR519,"*OK*")+COUNTIF(AZ519:AZ519,"SI")*0.5</f>
        <v>0</v>
      </c>
      <c r="BB519" s="171" t="str">
        <f>IF(BA519&lt;0.6,"Demasiado Riesgo",IF(BA519&lt;=5,"Riesgo Medio",IF(BA519&lt;=11,"Riesgo Bajo","Cliente Blindado")))</f>
        <v>Demasiado Riesgo</v>
      </c>
      <c r="BC519" s="171"/>
      <c r="BD519" s="171"/>
      <c r="BE519" s="171"/>
      <c r="BF519" s="171"/>
      <c r="BG519" s="171"/>
      <c r="BH519" s="171"/>
      <c r="BI519" s="171"/>
      <c r="BJ519" s="171"/>
      <c r="BK519" s="171"/>
      <c r="BL519" s="171"/>
      <c r="BM519" s="171"/>
      <c r="BN519" s="171"/>
      <c r="BO519" s="171"/>
      <c r="BP519" s="171"/>
      <c r="BQ519" s="171"/>
      <c r="BR519" s="171"/>
      <c r="BS519" s="171"/>
      <c r="BT519" s="171"/>
      <c r="BU519" s="171"/>
      <c r="BV519" s="171"/>
      <c r="BW519" s="171"/>
      <c r="BX519" s="171"/>
      <c r="BY519" s="171"/>
      <c r="BZ519" s="171"/>
      <c r="CA519" s="171">
        <f>COUNTIF(AJ519:AX519,"*OK*")</f>
        <v>0</v>
      </c>
    </row>
    <row r="520" spans="1:79" ht="15" customHeight="1">
      <c r="A520" s="241"/>
      <c r="B520" s="160"/>
      <c r="C520" s="472"/>
      <c r="D520" s="160">
        <f>COUNTIF(AN520:AY520,"OK")</f>
        <v>0</v>
      </c>
      <c r="E520" s="160"/>
      <c r="F520" s="160"/>
      <c r="G520" s="160"/>
      <c r="H520" s="168"/>
      <c r="I520" s="168"/>
      <c r="J520" s="160"/>
      <c r="K520" s="220"/>
      <c r="L520" s="160"/>
      <c r="M520" s="160"/>
      <c r="N520" s="160"/>
      <c r="O520" s="243"/>
      <c r="P520" s="223"/>
      <c r="Q520" s="223"/>
      <c r="R520" s="239"/>
      <c r="S520" s="462"/>
      <c r="T520" s="564"/>
      <c r="U520" s="241"/>
      <c r="V520" s="163" t="s">
        <v>59</v>
      </c>
      <c r="W520" s="160"/>
      <c r="X520" s="166"/>
      <c r="Y520" s="166"/>
      <c r="Z520" s="167"/>
      <c r="AA520" s="163" t="s">
        <v>59</v>
      </c>
      <c r="AB520" s="167"/>
      <c r="AC520" s="168"/>
      <c r="AD520" s="160"/>
      <c r="AE520" s="160"/>
      <c r="AF520" s="160"/>
      <c r="AG520" s="160"/>
      <c r="AH520" s="160"/>
      <c r="AI520" s="160"/>
      <c r="AZ520" s="160"/>
      <c r="BA520" s="160">
        <f>(COUNTIF(AJ520:AL520,"*OK*")*3) + (COUNTIF(AM520:AO520,"*OK*")*2) + COUNTIF(AP520:AR520,"*OK*")+COUNTIF(AZ520:AZ520,"SI")*0.5</f>
        <v>0</v>
      </c>
      <c r="BB520" s="160" t="str">
        <f>IF(BA520&lt;0.6,"Demasiado Riesgo",IF(BA520&lt;=5,"Riesgo Medio",IF(BA520&lt;=11,"Riesgo Bajo","Cliente Blindado")))</f>
        <v>Demasiado Riesgo</v>
      </c>
      <c r="BC520" s="160"/>
      <c r="BD520" s="160"/>
      <c r="BE520" s="160"/>
      <c r="BF520" s="160"/>
      <c r="BG520" s="160"/>
      <c r="BH520" s="160"/>
      <c r="BI520" s="160"/>
      <c r="BJ520" s="160"/>
      <c r="BK520" s="160"/>
      <c r="BL520" s="160"/>
      <c r="BM520" s="160"/>
      <c r="BN520" s="160"/>
      <c r="BO520" s="160"/>
      <c r="BP520" s="160"/>
      <c r="BQ520" s="160"/>
      <c r="BR520" s="160"/>
      <c r="BS520" s="160"/>
      <c r="BT520" s="160"/>
      <c r="BU520" s="160"/>
      <c r="BV520" s="160"/>
      <c r="BW520" s="160"/>
      <c r="BX520" s="160"/>
      <c r="BY520" s="160"/>
      <c r="BZ520" s="160"/>
      <c r="CA520" s="160">
        <f>COUNTIF(AJ520:AX520,"*OK*")</f>
        <v>0</v>
      </c>
    </row>
    <row r="521" spans="1:79" ht="15" customHeight="1">
      <c r="A521" s="240"/>
      <c r="B521" s="171"/>
      <c r="C521" s="471"/>
      <c r="D521" s="171">
        <f>COUNTIF(AN521:AY521,"OK")</f>
        <v>0</v>
      </c>
      <c r="E521" s="171"/>
      <c r="F521" s="171"/>
      <c r="G521" s="171"/>
      <c r="H521" s="179"/>
      <c r="I521" s="179"/>
      <c r="J521" s="171"/>
      <c r="K521" s="236"/>
      <c r="L521" s="171"/>
      <c r="M521" s="171"/>
      <c r="N521" s="171"/>
      <c r="O521" s="242"/>
      <c r="P521" s="237"/>
      <c r="Q521" s="237"/>
      <c r="R521" s="238"/>
      <c r="S521" s="463"/>
      <c r="T521" s="565"/>
      <c r="U521" s="240"/>
      <c r="V521" s="174" t="s">
        <v>59</v>
      </c>
      <c r="W521" s="171"/>
      <c r="X521" s="177"/>
      <c r="Y521" s="177"/>
      <c r="Z521" s="178"/>
      <c r="AA521" s="174" t="s">
        <v>59</v>
      </c>
      <c r="AB521" s="178"/>
      <c r="AC521" s="179"/>
      <c r="AD521" s="171"/>
      <c r="AE521" s="171"/>
      <c r="AF521" s="171"/>
      <c r="AG521" s="171"/>
      <c r="AH521" s="171"/>
      <c r="AI521" s="171"/>
      <c r="AZ521" s="171"/>
      <c r="BA521" s="171">
        <f>(COUNTIF(AJ521:AL521,"*OK*")*3) + (COUNTIF(AM521:AO521,"*OK*")*2) + COUNTIF(AP521:AR521,"*OK*")+COUNTIF(AZ521:AZ521,"SI")*0.5</f>
        <v>0</v>
      </c>
      <c r="BB521" s="171" t="str">
        <f>IF(BA521&lt;0.6,"Demasiado Riesgo",IF(BA521&lt;=5,"Riesgo Medio",IF(BA521&lt;=11,"Riesgo Bajo","Cliente Blindado")))</f>
        <v>Demasiado Riesgo</v>
      </c>
      <c r="BC521" s="171"/>
      <c r="BD521" s="171"/>
      <c r="BE521" s="171"/>
      <c r="BF521" s="171"/>
      <c r="BG521" s="171"/>
      <c r="BH521" s="171"/>
      <c r="BI521" s="171"/>
      <c r="BJ521" s="171"/>
      <c r="BK521" s="171"/>
      <c r="BL521" s="171"/>
      <c r="BM521" s="171"/>
      <c r="BN521" s="171"/>
      <c r="BO521" s="171"/>
      <c r="BP521" s="171"/>
      <c r="BQ521" s="171"/>
      <c r="BR521" s="171"/>
      <c r="BS521" s="171"/>
      <c r="BT521" s="171"/>
      <c r="BU521" s="171"/>
      <c r="BV521" s="171"/>
      <c r="BW521" s="171"/>
      <c r="BX521" s="171"/>
      <c r="BY521" s="171"/>
      <c r="BZ521" s="171"/>
      <c r="CA521" s="171">
        <f>COUNTIF(AJ521:AX521,"*OK*")</f>
        <v>0</v>
      </c>
    </row>
    <row r="522" spans="1:79" ht="15" customHeight="1">
      <c r="A522" s="241"/>
      <c r="B522" s="160"/>
      <c r="C522" s="472"/>
      <c r="D522" s="160">
        <f>COUNTIF(AN522:AY522,"OK")</f>
        <v>0</v>
      </c>
      <c r="E522" s="160"/>
      <c r="F522" s="160"/>
      <c r="G522" s="160"/>
      <c r="H522" s="168"/>
      <c r="I522" s="168"/>
      <c r="J522" s="160"/>
      <c r="K522" s="220"/>
      <c r="L522" s="160"/>
      <c r="M522" s="160"/>
      <c r="N522" s="160"/>
      <c r="O522" s="243"/>
      <c r="P522" s="223"/>
      <c r="Q522" s="223"/>
      <c r="R522" s="239"/>
      <c r="S522" s="462"/>
      <c r="T522" s="564"/>
      <c r="U522" s="241"/>
      <c r="V522" s="163" t="s">
        <v>59</v>
      </c>
      <c r="W522" s="160"/>
      <c r="X522" s="166"/>
      <c r="Y522" s="166"/>
      <c r="Z522" s="167"/>
      <c r="AA522" s="163" t="s">
        <v>59</v>
      </c>
      <c r="AB522" s="167"/>
      <c r="AC522" s="168"/>
      <c r="AD522" s="160"/>
      <c r="AE522" s="160"/>
      <c r="AF522" s="160"/>
      <c r="AG522" s="160"/>
      <c r="AH522" s="160"/>
      <c r="AI522" s="160"/>
      <c r="AZ522" s="160"/>
      <c r="BA522" s="160">
        <f>(COUNTIF(AJ522:AL522,"*OK*")*3) + (COUNTIF(AM522:AO522,"*OK*")*2) + COUNTIF(AP522:AR522,"*OK*")+COUNTIF(AZ522:AZ522,"SI")*0.5</f>
        <v>0</v>
      </c>
      <c r="BB522" s="160" t="str">
        <f>IF(BA522&lt;0.6,"Demasiado Riesgo",IF(BA522&lt;=5,"Riesgo Medio",IF(BA522&lt;=11,"Riesgo Bajo","Cliente Blindado")))</f>
        <v>Demasiado Riesgo</v>
      </c>
      <c r="BC522" s="160"/>
      <c r="BD522" s="160"/>
      <c r="BE522" s="160"/>
      <c r="BF522" s="160"/>
      <c r="BG522" s="160"/>
      <c r="BH522" s="160"/>
      <c r="BI522" s="160"/>
      <c r="BJ522" s="160"/>
      <c r="BK522" s="160"/>
      <c r="BL522" s="160"/>
      <c r="BM522" s="160"/>
      <c r="BN522" s="160"/>
      <c r="BO522" s="160"/>
      <c r="BP522" s="160"/>
      <c r="BQ522" s="160"/>
      <c r="BR522" s="160"/>
      <c r="BS522" s="160"/>
      <c r="BT522" s="160"/>
      <c r="BU522" s="160"/>
      <c r="BV522" s="160"/>
      <c r="BW522" s="160"/>
      <c r="BX522" s="160"/>
      <c r="BY522" s="160"/>
      <c r="BZ522" s="160"/>
      <c r="CA522" s="160">
        <f>COUNTIF(AJ522:AX522,"*OK*")</f>
        <v>0</v>
      </c>
    </row>
    <row r="523" spans="1:79" ht="15" customHeight="1">
      <c r="A523" s="240"/>
      <c r="B523" s="171"/>
      <c r="C523" s="471"/>
      <c r="D523" s="171">
        <f>COUNTIF(AN523:AY523,"OK")</f>
        <v>0</v>
      </c>
      <c r="E523" s="171"/>
      <c r="F523" s="171"/>
      <c r="G523" s="171"/>
      <c r="H523" s="179"/>
      <c r="I523" s="179"/>
      <c r="J523" s="171"/>
      <c r="K523" s="236"/>
      <c r="L523" s="171"/>
      <c r="M523" s="171"/>
      <c r="N523" s="171"/>
      <c r="O523" s="242"/>
      <c r="P523" s="237"/>
      <c r="Q523" s="237"/>
      <c r="R523" s="238"/>
      <c r="S523" s="463"/>
      <c r="T523" s="565"/>
      <c r="U523" s="240"/>
      <c r="V523" s="174" t="s">
        <v>59</v>
      </c>
      <c r="W523" s="171"/>
      <c r="X523" s="177"/>
      <c r="Y523" s="177"/>
      <c r="Z523" s="178"/>
      <c r="AA523" s="174" t="s">
        <v>59</v>
      </c>
      <c r="AB523" s="178"/>
      <c r="AC523" s="179"/>
      <c r="AD523" s="171"/>
      <c r="AE523" s="171"/>
      <c r="AF523" s="171"/>
      <c r="AG523" s="171"/>
      <c r="AH523" s="171"/>
      <c r="AI523" s="171"/>
      <c r="AZ523" s="171"/>
      <c r="BA523" s="171">
        <f>(COUNTIF(AJ523:AL523,"*OK*")*3) + (COUNTIF(AM523:AO523,"*OK*")*2) + COUNTIF(AP523:AR523,"*OK*")+COUNTIF(AZ523:AZ523,"SI")*0.5</f>
        <v>0</v>
      </c>
      <c r="BB523" s="171" t="str">
        <f>IF(BA523&lt;0.6,"Demasiado Riesgo",IF(BA523&lt;=5,"Riesgo Medio",IF(BA523&lt;=11,"Riesgo Bajo","Cliente Blindado")))</f>
        <v>Demasiado Riesgo</v>
      </c>
      <c r="BC523" s="171"/>
      <c r="BD523" s="171"/>
      <c r="BE523" s="171"/>
      <c r="BF523" s="171"/>
      <c r="BG523" s="171"/>
      <c r="BH523" s="171"/>
      <c r="BI523" s="171"/>
      <c r="BJ523" s="171"/>
      <c r="BK523" s="171"/>
      <c r="BL523" s="171"/>
      <c r="BM523" s="171"/>
      <c r="BN523" s="171"/>
      <c r="BO523" s="171"/>
      <c r="BP523" s="171"/>
      <c r="BQ523" s="171"/>
      <c r="BR523" s="171"/>
      <c r="BS523" s="171"/>
      <c r="BT523" s="171"/>
      <c r="BU523" s="171"/>
      <c r="BV523" s="171"/>
      <c r="BW523" s="171"/>
      <c r="BX523" s="171"/>
      <c r="BY523" s="171"/>
      <c r="BZ523" s="171"/>
      <c r="CA523" s="171">
        <f>COUNTIF(AJ523:AX523,"*OK*")</f>
        <v>0</v>
      </c>
    </row>
    <row r="524" spans="1:79" ht="15" customHeight="1">
      <c r="A524" s="241"/>
      <c r="B524" s="160"/>
      <c r="C524" s="472"/>
      <c r="D524" s="160">
        <f>COUNTIF(AN524:AY524,"OK")</f>
        <v>0</v>
      </c>
      <c r="E524" s="160"/>
      <c r="F524" s="160"/>
      <c r="G524" s="160"/>
      <c r="H524" s="168"/>
      <c r="I524" s="168"/>
      <c r="J524" s="160"/>
      <c r="K524" s="220"/>
      <c r="L524" s="160"/>
      <c r="M524" s="160"/>
      <c r="N524" s="160"/>
      <c r="O524" s="243"/>
      <c r="P524" s="223"/>
      <c r="Q524" s="223"/>
      <c r="R524" s="239"/>
      <c r="S524" s="462"/>
      <c r="T524" s="564"/>
      <c r="U524" s="241"/>
      <c r="V524" s="163" t="s">
        <v>59</v>
      </c>
      <c r="W524" s="160"/>
      <c r="X524" s="166"/>
      <c r="Y524" s="166"/>
      <c r="Z524" s="167"/>
      <c r="AA524" s="163" t="s">
        <v>59</v>
      </c>
      <c r="AB524" s="167"/>
      <c r="AC524" s="168"/>
      <c r="AD524" s="160"/>
      <c r="AE524" s="160"/>
      <c r="AF524" s="160"/>
      <c r="AG524" s="160"/>
      <c r="AH524" s="160"/>
      <c r="AI524" s="160"/>
      <c r="AZ524" s="160"/>
      <c r="BA524" s="160">
        <f>(COUNTIF(AJ524:AL524,"*OK*")*3) + (COUNTIF(AM524:AO524,"*OK*")*2) + COUNTIF(AP524:AR524,"*OK*")+COUNTIF(AZ524:AZ524,"SI")*0.5</f>
        <v>0</v>
      </c>
      <c r="BB524" s="160" t="str">
        <f>IF(BA524&lt;0.6,"Demasiado Riesgo",IF(BA524&lt;=5,"Riesgo Medio",IF(BA524&lt;=11,"Riesgo Bajo","Cliente Blindado")))</f>
        <v>Demasiado Riesgo</v>
      </c>
      <c r="BC524" s="160"/>
      <c r="BD524" s="160"/>
      <c r="BE524" s="160"/>
      <c r="BF524" s="160"/>
      <c r="BG524" s="160"/>
      <c r="BH524" s="160"/>
      <c r="BI524" s="160"/>
      <c r="BJ524" s="160"/>
      <c r="BK524" s="160"/>
      <c r="BL524" s="160"/>
      <c r="BM524" s="160"/>
      <c r="BN524" s="160"/>
      <c r="BO524" s="160"/>
      <c r="BP524" s="160"/>
      <c r="BQ524" s="160"/>
      <c r="BR524" s="160"/>
      <c r="BS524" s="160"/>
      <c r="BT524" s="160"/>
      <c r="BU524" s="160"/>
      <c r="BV524" s="160"/>
      <c r="BW524" s="160"/>
      <c r="BX524" s="160"/>
      <c r="BY524" s="160"/>
      <c r="BZ524" s="160"/>
      <c r="CA524" s="160">
        <f>COUNTIF(AJ524:AX524,"*OK*")</f>
        <v>0</v>
      </c>
    </row>
    <row r="525" spans="1:79" ht="15" customHeight="1">
      <c r="A525" s="240"/>
      <c r="B525" s="171"/>
      <c r="C525" s="471"/>
      <c r="D525" s="171">
        <f>COUNTIF(AN525:AY525,"OK")</f>
        <v>0</v>
      </c>
      <c r="E525" s="171"/>
      <c r="F525" s="171"/>
      <c r="G525" s="171"/>
      <c r="H525" s="179"/>
      <c r="I525" s="179"/>
      <c r="J525" s="171"/>
      <c r="K525" s="236"/>
      <c r="L525" s="171"/>
      <c r="M525" s="171"/>
      <c r="N525" s="171"/>
      <c r="O525" s="242"/>
      <c r="P525" s="237"/>
      <c r="Q525" s="237"/>
      <c r="R525" s="238"/>
      <c r="S525" s="463"/>
      <c r="T525" s="565"/>
      <c r="U525" s="240"/>
      <c r="V525" s="174" t="s">
        <v>59</v>
      </c>
      <c r="W525" s="171"/>
      <c r="X525" s="177"/>
      <c r="Y525" s="177"/>
      <c r="Z525" s="178"/>
      <c r="AA525" s="174" t="s">
        <v>59</v>
      </c>
      <c r="AB525" s="178"/>
      <c r="AC525" s="179"/>
      <c r="AD525" s="171"/>
      <c r="AE525" s="171"/>
      <c r="AF525" s="171"/>
      <c r="AG525" s="171"/>
      <c r="AH525" s="171"/>
      <c r="AI525" s="171"/>
      <c r="AZ525" s="171"/>
      <c r="BA525" s="171">
        <f>(COUNTIF(AJ525:AL525,"*OK*")*3) + (COUNTIF(AM525:AO525,"*OK*")*2) + COUNTIF(AP525:AR525,"*OK*")+COUNTIF(AZ525:AZ525,"SI")*0.5</f>
        <v>0</v>
      </c>
      <c r="BB525" s="171" t="str">
        <f>IF(BA525&lt;0.6,"Demasiado Riesgo",IF(BA525&lt;=5,"Riesgo Medio",IF(BA525&lt;=11,"Riesgo Bajo","Cliente Blindado")))</f>
        <v>Demasiado Riesgo</v>
      </c>
      <c r="BC525" s="171"/>
      <c r="BD525" s="171"/>
      <c r="BE525" s="171"/>
      <c r="BF525" s="171"/>
      <c r="BG525" s="171"/>
      <c r="BH525" s="171"/>
      <c r="BI525" s="171"/>
      <c r="BJ525" s="171"/>
      <c r="BK525" s="171"/>
      <c r="BL525" s="171"/>
      <c r="BM525" s="171"/>
      <c r="BN525" s="171"/>
      <c r="BO525" s="171"/>
      <c r="BP525" s="171"/>
      <c r="BQ525" s="171"/>
      <c r="BR525" s="171"/>
      <c r="BS525" s="171"/>
      <c r="BT525" s="171"/>
      <c r="BU525" s="171"/>
      <c r="BV525" s="171"/>
      <c r="BW525" s="171"/>
      <c r="BX525" s="171"/>
      <c r="BY525" s="171"/>
      <c r="BZ525" s="171"/>
      <c r="CA525" s="171">
        <f>COUNTIF(AJ525:AX525,"*OK*")</f>
        <v>0</v>
      </c>
    </row>
    <row r="526" spans="1:79" ht="15" customHeight="1">
      <c r="A526" s="241"/>
      <c r="B526" s="160"/>
      <c r="C526" s="472"/>
      <c r="D526" s="160">
        <f>COUNTIF(AN526:AY526,"OK")</f>
        <v>0</v>
      </c>
      <c r="E526" s="160"/>
      <c r="F526" s="160"/>
      <c r="G526" s="160"/>
      <c r="H526" s="168"/>
      <c r="I526" s="168"/>
      <c r="J526" s="160"/>
      <c r="K526" s="220"/>
      <c r="L526" s="160"/>
      <c r="M526" s="160"/>
      <c r="N526" s="160"/>
      <c r="O526" s="243"/>
      <c r="P526" s="223"/>
      <c r="Q526" s="223"/>
      <c r="R526" s="239"/>
      <c r="S526" s="462"/>
      <c r="T526" s="564"/>
      <c r="U526" s="241"/>
      <c r="V526" s="163" t="s">
        <v>59</v>
      </c>
      <c r="W526" s="160"/>
      <c r="X526" s="166"/>
      <c r="Y526" s="166"/>
      <c r="Z526" s="167"/>
      <c r="AA526" s="163" t="s">
        <v>59</v>
      </c>
      <c r="AB526" s="167"/>
      <c r="AC526" s="168"/>
      <c r="AD526" s="160"/>
      <c r="AE526" s="160"/>
      <c r="AF526" s="160"/>
      <c r="AG526" s="160"/>
      <c r="AH526" s="160"/>
      <c r="AI526" s="160"/>
      <c r="AZ526" s="160"/>
      <c r="BA526" s="160">
        <f>(COUNTIF(AJ526:AL526,"*OK*")*3) + (COUNTIF(AM526:AO526,"*OK*")*2) + COUNTIF(AP526:AR526,"*OK*")+COUNTIF(AZ526:AZ526,"SI")*0.5</f>
        <v>0</v>
      </c>
      <c r="BB526" s="160" t="str">
        <f>IF(BA526&lt;0.6,"Demasiado Riesgo",IF(BA526&lt;=5,"Riesgo Medio",IF(BA526&lt;=11,"Riesgo Bajo","Cliente Blindado")))</f>
        <v>Demasiado Riesgo</v>
      </c>
      <c r="BC526" s="160"/>
      <c r="BD526" s="160"/>
      <c r="BE526" s="160"/>
      <c r="BF526" s="160"/>
      <c r="BG526" s="160"/>
      <c r="BH526" s="160"/>
      <c r="BI526" s="160"/>
      <c r="BJ526" s="160"/>
      <c r="BK526" s="160"/>
      <c r="BL526" s="160"/>
      <c r="BM526" s="160"/>
      <c r="BN526" s="160"/>
      <c r="BO526" s="160"/>
      <c r="BP526" s="160"/>
      <c r="BQ526" s="160"/>
      <c r="BR526" s="160"/>
      <c r="BS526" s="160"/>
      <c r="BT526" s="160"/>
      <c r="BU526" s="160"/>
      <c r="BV526" s="160"/>
      <c r="BW526" s="160"/>
      <c r="BX526" s="160"/>
      <c r="BY526" s="160"/>
      <c r="BZ526" s="160"/>
      <c r="CA526" s="160">
        <f>COUNTIF(AJ526:AX526,"*OK*")</f>
        <v>0</v>
      </c>
    </row>
    <row r="527" spans="1:79" ht="15" customHeight="1">
      <c r="A527" s="240"/>
      <c r="B527" s="171"/>
      <c r="C527" s="471"/>
      <c r="D527" s="171">
        <f>COUNTIF(AN527:AY527,"OK")</f>
        <v>0</v>
      </c>
      <c r="E527" s="171"/>
      <c r="F527" s="171"/>
      <c r="G527" s="171"/>
      <c r="H527" s="179"/>
      <c r="I527" s="179"/>
      <c r="J527" s="171"/>
      <c r="K527" s="236"/>
      <c r="L527" s="171"/>
      <c r="M527" s="171"/>
      <c r="N527" s="171"/>
      <c r="O527" s="242"/>
      <c r="P527" s="237"/>
      <c r="Q527" s="237"/>
      <c r="R527" s="238"/>
      <c r="S527" s="463"/>
      <c r="T527" s="565"/>
      <c r="U527" s="240"/>
      <c r="V527" s="174" t="s">
        <v>59</v>
      </c>
      <c r="W527" s="171"/>
      <c r="X527" s="177"/>
      <c r="Y527" s="177"/>
      <c r="Z527" s="178"/>
      <c r="AA527" s="174" t="s">
        <v>59</v>
      </c>
      <c r="AB527" s="178"/>
      <c r="AC527" s="179"/>
      <c r="AD527" s="171"/>
      <c r="AE527" s="171"/>
      <c r="AF527" s="171"/>
      <c r="AG527" s="171"/>
      <c r="AH527" s="171"/>
      <c r="AI527" s="171"/>
      <c r="AZ527" s="171"/>
      <c r="BA527" s="171">
        <f>(COUNTIF(AJ527:AL527,"*OK*")*3) + (COUNTIF(AM527:AO527,"*OK*")*2) + COUNTIF(AP527:AR527,"*OK*")+COUNTIF(AZ527:AZ527,"SI")*0.5</f>
        <v>0</v>
      </c>
      <c r="BB527" s="171" t="str">
        <f>IF(BA527&lt;0.6,"Demasiado Riesgo",IF(BA527&lt;=5,"Riesgo Medio",IF(BA527&lt;=11,"Riesgo Bajo","Cliente Blindado")))</f>
        <v>Demasiado Riesgo</v>
      </c>
      <c r="BC527" s="171"/>
      <c r="BD527" s="171"/>
      <c r="BE527" s="171"/>
      <c r="BF527" s="171"/>
      <c r="BG527" s="171"/>
      <c r="BH527" s="171"/>
      <c r="BI527" s="171"/>
      <c r="BJ527" s="171"/>
      <c r="BK527" s="171"/>
      <c r="BL527" s="171"/>
      <c r="BM527" s="171"/>
      <c r="BN527" s="171"/>
      <c r="BO527" s="171"/>
      <c r="BP527" s="171"/>
      <c r="BQ527" s="171"/>
      <c r="BR527" s="171"/>
      <c r="BS527" s="171"/>
      <c r="BT527" s="171"/>
      <c r="BU527" s="171"/>
      <c r="BV527" s="171"/>
      <c r="BW527" s="171"/>
      <c r="BX527" s="171"/>
      <c r="BY527" s="171"/>
      <c r="BZ527" s="171"/>
      <c r="CA527" s="171">
        <f>COUNTIF(AJ527:AX527,"*OK*")</f>
        <v>0</v>
      </c>
    </row>
    <row r="528" spans="1:79" ht="15" customHeight="1">
      <c r="A528" s="241"/>
      <c r="B528" s="160"/>
      <c r="C528" s="472"/>
      <c r="D528" s="160">
        <f>COUNTIF(AN528:AY528,"OK")</f>
        <v>0</v>
      </c>
      <c r="E528" s="160"/>
      <c r="F528" s="160"/>
      <c r="G528" s="160"/>
      <c r="H528" s="168"/>
      <c r="I528" s="168"/>
      <c r="J528" s="160"/>
      <c r="K528" s="220"/>
      <c r="L528" s="160"/>
      <c r="M528" s="160"/>
      <c r="N528" s="160"/>
      <c r="O528" s="243"/>
      <c r="P528" s="223"/>
      <c r="Q528" s="223"/>
      <c r="R528" s="239"/>
      <c r="S528" s="462"/>
      <c r="T528" s="564"/>
      <c r="U528" s="241"/>
      <c r="V528" s="163" t="s">
        <v>59</v>
      </c>
      <c r="W528" s="160"/>
      <c r="X528" s="166"/>
      <c r="Y528" s="166"/>
      <c r="Z528" s="167"/>
      <c r="AA528" s="163" t="s">
        <v>59</v>
      </c>
      <c r="AB528" s="167"/>
      <c r="AC528" s="168"/>
      <c r="AD528" s="160"/>
      <c r="AE528" s="160"/>
      <c r="AF528" s="160"/>
      <c r="AG528" s="160"/>
      <c r="AH528" s="160"/>
      <c r="AI528" s="160"/>
      <c r="AZ528" s="160"/>
      <c r="BA528" s="160">
        <f>(COUNTIF(AJ528:AL528,"*OK*")*3) + (COUNTIF(AM528:AO528,"*OK*")*2) + COUNTIF(AP528:AR528,"*OK*")+COUNTIF(AZ528:AZ528,"SI")*0.5</f>
        <v>0</v>
      </c>
      <c r="BB528" s="160" t="str">
        <f>IF(BA528&lt;0.6,"Demasiado Riesgo",IF(BA528&lt;=5,"Riesgo Medio",IF(BA528&lt;=11,"Riesgo Bajo","Cliente Blindado")))</f>
        <v>Demasiado Riesgo</v>
      </c>
      <c r="BC528" s="160"/>
      <c r="BD528" s="160"/>
      <c r="BE528" s="160"/>
      <c r="BF528" s="160"/>
      <c r="BG528" s="160"/>
      <c r="BH528" s="160"/>
      <c r="BI528" s="160"/>
      <c r="BJ528" s="160"/>
      <c r="BK528" s="160"/>
      <c r="BL528" s="160"/>
      <c r="BM528" s="160"/>
      <c r="BN528" s="160"/>
      <c r="BO528" s="160"/>
      <c r="BP528" s="160"/>
      <c r="BQ528" s="160"/>
      <c r="BR528" s="160"/>
      <c r="BS528" s="160"/>
      <c r="BT528" s="160"/>
      <c r="BU528" s="160"/>
      <c r="BV528" s="160"/>
      <c r="BW528" s="160"/>
      <c r="BX528" s="160"/>
      <c r="BY528" s="160"/>
      <c r="BZ528" s="160"/>
      <c r="CA528" s="160">
        <f>COUNTIF(AJ528:AX528,"*OK*")</f>
        <v>0</v>
      </c>
    </row>
    <row r="529" spans="1:79" ht="15" customHeight="1">
      <c r="A529" s="240"/>
      <c r="B529" s="171"/>
      <c r="C529" s="471"/>
      <c r="D529" s="171">
        <f>COUNTIF(AN529:AY529,"OK")</f>
        <v>0</v>
      </c>
      <c r="E529" s="171"/>
      <c r="F529" s="171"/>
      <c r="G529" s="171"/>
      <c r="H529" s="179"/>
      <c r="I529" s="179"/>
      <c r="J529" s="171"/>
      <c r="K529" s="236"/>
      <c r="L529" s="171"/>
      <c r="M529" s="171"/>
      <c r="N529" s="171"/>
      <c r="O529" s="242"/>
      <c r="P529" s="237"/>
      <c r="Q529" s="237"/>
      <c r="R529" s="238"/>
      <c r="S529" s="463"/>
      <c r="T529" s="565"/>
      <c r="U529" s="240"/>
      <c r="V529" s="174" t="s">
        <v>59</v>
      </c>
      <c r="W529" s="171"/>
      <c r="X529" s="177"/>
      <c r="Y529" s="177"/>
      <c r="Z529" s="178"/>
      <c r="AA529" s="174" t="s">
        <v>59</v>
      </c>
      <c r="AB529" s="178"/>
      <c r="AC529" s="179"/>
      <c r="AD529" s="171"/>
      <c r="AE529" s="171"/>
      <c r="AF529" s="171"/>
      <c r="AG529" s="171"/>
      <c r="AH529" s="171"/>
      <c r="AI529" s="171"/>
      <c r="AZ529" s="171"/>
      <c r="BA529" s="171">
        <f>(COUNTIF(AJ529:AL529,"*OK*")*3) + (COUNTIF(AM529:AO529,"*OK*")*2) + COUNTIF(AP529:AR529,"*OK*")+COUNTIF(AZ529:AZ529,"SI")*0.5</f>
        <v>0</v>
      </c>
      <c r="BB529" s="171" t="str">
        <f>IF(BA529&lt;0.6,"Demasiado Riesgo",IF(BA529&lt;=5,"Riesgo Medio",IF(BA529&lt;=11,"Riesgo Bajo","Cliente Blindado")))</f>
        <v>Demasiado Riesgo</v>
      </c>
      <c r="BC529" s="171"/>
      <c r="BD529" s="171"/>
      <c r="BE529" s="171"/>
      <c r="BF529" s="171"/>
      <c r="BG529" s="171"/>
      <c r="BH529" s="171"/>
      <c r="BI529" s="171"/>
      <c r="BJ529" s="171"/>
      <c r="BK529" s="171"/>
      <c r="BL529" s="171"/>
      <c r="BM529" s="171"/>
      <c r="BN529" s="171"/>
      <c r="BO529" s="171"/>
      <c r="BP529" s="171"/>
      <c r="BQ529" s="171"/>
      <c r="BR529" s="171"/>
      <c r="BS529" s="171"/>
      <c r="BT529" s="171"/>
      <c r="BU529" s="171"/>
      <c r="BV529" s="171"/>
      <c r="BW529" s="171"/>
      <c r="BX529" s="171"/>
      <c r="BY529" s="171"/>
      <c r="BZ529" s="171"/>
      <c r="CA529" s="171">
        <f>COUNTIF(AJ529:AX529,"*OK*")</f>
        <v>0</v>
      </c>
    </row>
    <row r="530" spans="1:79" ht="15" customHeight="1">
      <c r="A530" s="241"/>
      <c r="B530" s="160"/>
      <c r="C530" s="472"/>
      <c r="D530" s="160">
        <f>COUNTIF(AN530:AY530,"OK")</f>
        <v>0</v>
      </c>
      <c r="E530" s="160"/>
      <c r="F530" s="160"/>
      <c r="G530" s="160"/>
      <c r="H530" s="168"/>
      <c r="I530" s="168"/>
      <c r="J530" s="160"/>
      <c r="K530" s="220"/>
      <c r="L530" s="160"/>
      <c r="M530" s="160"/>
      <c r="N530" s="160"/>
      <c r="O530" s="243"/>
      <c r="P530" s="223"/>
      <c r="Q530" s="223"/>
      <c r="R530" s="239"/>
      <c r="S530" s="462"/>
      <c r="T530" s="564"/>
      <c r="U530" s="241"/>
      <c r="V530" s="163" t="s">
        <v>59</v>
      </c>
      <c r="W530" s="160"/>
      <c r="X530" s="166"/>
      <c r="Y530" s="166"/>
      <c r="Z530" s="167"/>
      <c r="AA530" s="163" t="s">
        <v>59</v>
      </c>
      <c r="AB530" s="167"/>
      <c r="AC530" s="168"/>
      <c r="AD530" s="160"/>
      <c r="AE530" s="160"/>
      <c r="AF530" s="160"/>
      <c r="AG530" s="160"/>
      <c r="AH530" s="160"/>
      <c r="AI530" s="160"/>
      <c r="AZ530" s="160"/>
      <c r="BA530" s="160">
        <f>(COUNTIF(AJ530:AL530,"*OK*")*3) + (COUNTIF(AM530:AO530,"*OK*")*2) + COUNTIF(AP530:AR530,"*OK*")+COUNTIF(AZ530:AZ530,"SI")*0.5</f>
        <v>0</v>
      </c>
      <c r="BB530" s="160" t="str">
        <f>IF(BA530&lt;0.6,"Demasiado Riesgo",IF(BA530&lt;=5,"Riesgo Medio",IF(BA530&lt;=11,"Riesgo Bajo","Cliente Blindado")))</f>
        <v>Demasiado Riesgo</v>
      </c>
      <c r="BC530" s="160"/>
      <c r="BD530" s="160"/>
      <c r="BE530" s="160"/>
      <c r="BF530" s="160"/>
      <c r="BG530" s="160"/>
      <c r="BH530" s="160"/>
      <c r="BI530" s="160"/>
      <c r="BJ530" s="160"/>
      <c r="BK530" s="160"/>
      <c r="BL530" s="160"/>
      <c r="BM530" s="160"/>
      <c r="BN530" s="160"/>
      <c r="BO530" s="160"/>
      <c r="BP530" s="160"/>
      <c r="BQ530" s="160"/>
      <c r="BR530" s="160"/>
      <c r="BS530" s="160"/>
      <c r="BT530" s="160"/>
      <c r="BU530" s="160"/>
      <c r="BV530" s="160"/>
      <c r="BW530" s="160"/>
      <c r="BX530" s="160"/>
      <c r="BY530" s="160"/>
      <c r="BZ530" s="160"/>
      <c r="CA530" s="160">
        <f>COUNTIF(AJ530:AX530,"*OK*")</f>
        <v>0</v>
      </c>
    </row>
    <row r="531" spans="1:79" ht="15" customHeight="1">
      <c r="A531" s="240"/>
      <c r="B531" s="171"/>
      <c r="C531" s="471"/>
      <c r="D531" s="171">
        <f>COUNTIF(AN531:AY531,"OK")</f>
        <v>0</v>
      </c>
      <c r="E531" s="171"/>
      <c r="F531" s="171"/>
      <c r="G531" s="171"/>
      <c r="H531" s="179"/>
      <c r="I531" s="179"/>
      <c r="J531" s="171"/>
      <c r="K531" s="236"/>
      <c r="L531" s="171"/>
      <c r="M531" s="171"/>
      <c r="N531" s="171"/>
      <c r="O531" s="242"/>
      <c r="P531" s="237"/>
      <c r="Q531" s="237"/>
      <c r="R531" s="238"/>
      <c r="S531" s="463"/>
      <c r="T531" s="565"/>
      <c r="U531" s="240"/>
      <c r="V531" s="174" t="s">
        <v>59</v>
      </c>
      <c r="W531" s="171"/>
      <c r="X531" s="177"/>
      <c r="Y531" s="177"/>
      <c r="Z531" s="178"/>
      <c r="AA531" s="174" t="s">
        <v>59</v>
      </c>
      <c r="AB531" s="178"/>
      <c r="AC531" s="179"/>
      <c r="AD531" s="171"/>
      <c r="AE531" s="171"/>
      <c r="AF531" s="171"/>
      <c r="AG531" s="171"/>
      <c r="AH531" s="171"/>
      <c r="AI531" s="171"/>
      <c r="AZ531" s="171"/>
      <c r="BA531" s="171">
        <f>(COUNTIF(AJ531:AL531,"*OK*")*3) + (COUNTIF(AM531:AO531,"*OK*")*2) + COUNTIF(AP531:AR531,"*OK*")+COUNTIF(AZ531:AZ531,"SI")*0.5</f>
        <v>0</v>
      </c>
      <c r="BB531" s="171" t="str">
        <f>IF(BA531&lt;0.6,"Demasiado Riesgo",IF(BA531&lt;=5,"Riesgo Medio",IF(BA531&lt;=11,"Riesgo Bajo","Cliente Blindado")))</f>
        <v>Demasiado Riesgo</v>
      </c>
      <c r="BC531" s="171"/>
      <c r="BD531" s="171"/>
      <c r="BE531" s="171"/>
      <c r="BF531" s="171"/>
      <c r="BG531" s="171"/>
      <c r="BH531" s="171"/>
      <c r="BI531" s="171"/>
      <c r="BJ531" s="171"/>
      <c r="BK531" s="171"/>
      <c r="BL531" s="171"/>
      <c r="BM531" s="171"/>
      <c r="BN531" s="171"/>
      <c r="BO531" s="171"/>
      <c r="BP531" s="171"/>
      <c r="BQ531" s="171"/>
      <c r="BR531" s="171"/>
      <c r="BS531" s="171"/>
      <c r="BT531" s="171"/>
      <c r="BU531" s="171"/>
      <c r="BV531" s="171"/>
      <c r="BW531" s="171"/>
      <c r="BX531" s="171"/>
      <c r="BY531" s="171"/>
      <c r="BZ531" s="171"/>
      <c r="CA531" s="171">
        <f>COUNTIF(AJ531:AX531,"*OK*")</f>
        <v>0</v>
      </c>
    </row>
    <row r="532" spans="1:79" ht="15" customHeight="1">
      <c r="A532" s="241"/>
      <c r="B532" s="160"/>
      <c r="C532" s="472"/>
      <c r="D532" s="160">
        <f>COUNTIF(AN532:AY532,"OK")</f>
        <v>0</v>
      </c>
      <c r="E532" s="160"/>
      <c r="F532" s="160"/>
      <c r="G532" s="160"/>
      <c r="H532" s="168"/>
      <c r="I532" s="168"/>
      <c r="J532" s="160"/>
      <c r="K532" s="220"/>
      <c r="L532" s="160"/>
      <c r="M532" s="160"/>
      <c r="N532" s="160"/>
      <c r="O532" s="243"/>
      <c r="P532" s="223"/>
      <c r="Q532" s="223"/>
      <c r="R532" s="239"/>
      <c r="S532" s="462"/>
      <c r="T532" s="564"/>
      <c r="U532" s="241"/>
      <c r="V532" s="163" t="s">
        <v>59</v>
      </c>
      <c r="W532" s="160"/>
      <c r="X532" s="166"/>
      <c r="Y532" s="166"/>
      <c r="Z532" s="167"/>
      <c r="AA532" s="163" t="s">
        <v>59</v>
      </c>
      <c r="AB532" s="167"/>
      <c r="AC532" s="168"/>
      <c r="AD532" s="160"/>
      <c r="AE532" s="160"/>
      <c r="AF532" s="160"/>
      <c r="AG532" s="160"/>
      <c r="AH532" s="160"/>
      <c r="AI532" s="160"/>
      <c r="AZ532" s="160"/>
      <c r="BA532" s="160">
        <f>(COUNTIF(AJ532:AL532,"*OK*")*3) + (COUNTIF(AM532:AO532,"*OK*")*2) + COUNTIF(AP532:AR532,"*OK*")+COUNTIF(AZ532:AZ532,"SI")*0.5</f>
        <v>0</v>
      </c>
      <c r="BB532" s="160" t="str">
        <f>IF(BA532&lt;0.6,"Demasiado Riesgo",IF(BA532&lt;=5,"Riesgo Medio",IF(BA532&lt;=11,"Riesgo Bajo","Cliente Blindado")))</f>
        <v>Demasiado Riesgo</v>
      </c>
      <c r="BC532" s="160"/>
      <c r="BD532" s="160"/>
      <c r="BE532" s="160"/>
      <c r="BF532" s="160"/>
      <c r="BG532" s="160"/>
      <c r="BH532" s="160"/>
      <c r="BI532" s="160"/>
      <c r="BJ532" s="160"/>
      <c r="BK532" s="160"/>
      <c r="BL532" s="160"/>
      <c r="BM532" s="160"/>
      <c r="BN532" s="160"/>
      <c r="BO532" s="160"/>
      <c r="BP532" s="160"/>
      <c r="BQ532" s="160"/>
      <c r="BR532" s="160"/>
      <c r="BS532" s="160"/>
      <c r="BT532" s="160"/>
      <c r="BU532" s="160"/>
      <c r="BV532" s="160"/>
      <c r="BW532" s="160"/>
      <c r="BX532" s="160"/>
      <c r="BY532" s="160"/>
      <c r="BZ532" s="160"/>
      <c r="CA532" s="160">
        <f>COUNTIF(AJ532:AX532,"*OK*")</f>
        <v>0</v>
      </c>
    </row>
    <row r="533" spans="1:79" ht="15" customHeight="1">
      <c r="A533" s="240"/>
      <c r="B533" s="171"/>
      <c r="C533" s="471"/>
      <c r="D533" s="171">
        <f>COUNTIF(AN533:AY533,"OK")</f>
        <v>0</v>
      </c>
      <c r="E533" s="171"/>
      <c r="F533" s="171"/>
      <c r="G533" s="171"/>
      <c r="H533" s="179"/>
      <c r="I533" s="179"/>
      <c r="J533" s="171"/>
      <c r="K533" s="236"/>
      <c r="L533" s="171"/>
      <c r="M533" s="171"/>
      <c r="N533" s="171"/>
      <c r="O533" s="242"/>
      <c r="P533" s="237"/>
      <c r="Q533" s="237"/>
      <c r="R533" s="238"/>
      <c r="S533" s="463"/>
      <c r="T533" s="565"/>
      <c r="U533" s="240"/>
      <c r="V533" s="174" t="s">
        <v>59</v>
      </c>
      <c r="W533" s="171"/>
      <c r="X533" s="177"/>
      <c r="Y533" s="177"/>
      <c r="Z533" s="178"/>
      <c r="AA533" s="174" t="s">
        <v>59</v>
      </c>
      <c r="AB533" s="178"/>
      <c r="AC533" s="179"/>
      <c r="AD533" s="171"/>
      <c r="AE533" s="171"/>
      <c r="AF533" s="171"/>
      <c r="AG533" s="171"/>
      <c r="AH533" s="171"/>
      <c r="AI533" s="171"/>
      <c r="AZ533" s="171"/>
      <c r="BA533" s="171">
        <f>(COUNTIF(AJ533:AL533,"*OK*")*3) + (COUNTIF(AM533:AO533,"*OK*")*2) + COUNTIF(AP533:AR533,"*OK*")+COUNTIF(AZ533:AZ533,"SI")*0.5</f>
        <v>0</v>
      </c>
      <c r="BB533" s="171" t="str">
        <f>IF(BA533&lt;0.6,"Demasiado Riesgo",IF(BA533&lt;=5,"Riesgo Medio",IF(BA533&lt;=11,"Riesgo Bajo","Cliente Blindado")))</f>
        <v>Demasiado Riesgo</v>
      </c>
      <c r="BC533" s="171"/>
      <c r="BD533" s="171"/>
      <c r="BE533" s="171"/>
      <c r="BF533" s="171"/>
      <c r="BG533" s="171"/>
      <c r="BH533" s="171"/>
      <c r="BI533" s="171"/>
      <c r="BJ533" s="171"/>
      <c r="BK533" s="171"/>
      <c r="BL533" s="171"/>
      <c r="BM533" s="171"/>
      <c r="BN533" s="171"/>
      <c r="BO533" s="171"/>
      <c r="BP533" s="171"/>
      <c r="BQ533" s="171"/>
      <c r="BR533" s="171"/>
      <c r="BS533" s="171"/>
      <c r="BT533" s="171"/>
      <c r="BU533" s="171"/>
      <c r="BV533" s="171"/>
      <c r="BW533" s="171"/>
      <c r="BX533" s="171"/>
      <c r="BY533" s="171"/>
      <c r="BZ533" s="171"/>
      <c r="CA533" s="171">
        <f>COUNTIF(AJ533:AX533,"*OK*")</f>
        <v>0</v>
      </c>
    </row>
    <row r="534" spans="1:79" ht="15" customHeight="1">
      <c r="A534" s="241"/>
      <c r="B534" s="160"/>
      <c r="C534" s="472"/>
      <c r="D534" s="160">
        <f>COUNTIF(AN534:AY534,"OK")</f>
        <v>0</v>
      </c>
      <c r="E534" s="160"/>
      <c r="F534" s="160"/>
      <c r="G534" s="160"/>
      <c r="H534" s="168"/>
      <c r="I534" s="168"/>
      <c r="J534" s="160"/>
      <c r="K534" s="220"/>
      <c r="L534" s="160"/>
      <c r="M534" s="160"/>
      <c r="N534" s="160"/>
      <c r="O534" s="243"/>
      <c r="P534" s="223"/>
      <c r="Q534" s="223"/>
      <c r="R534" s="239"/>
      <c r="S534" s="462"/>
      <c r="T534" s="564"/>
      <c r="U534" s="241"/>
      <c r="V534" s="163" t="s">
        <v>59</v>
      </c>
      <c r="W534" s="160"/>
      <c r="X534" s="166"/>
      <c r="Y534" s="166"/>
      <c r="Z534" s="167"/>
      <c r="AA534" s="163" t="s">
        <v>59</v>
      </c>
      <c r="AB534" s="167"/>
      <c r="AC534" s="168"/>
      <c r="AD534" s="160"/>
      <c r="AE534" s="160"/>
      <c r="AF534" s="160"/>
      <c r="AG534" s="160"/>
      <c r="AH534" s="160"/>
      <c r="AI534" s="160"/>
      <c r="AZ534" s="160"/>
      <c r="BA534" s="160">
        <f>(COUNTIF(AJ534:AL534,"*OK*")*3) + (COUNTIF(AM534:AO534,"*OK*")*2) + COUNTIF(AP534:AR534,"*OK*")+COUNTIF(AZ534:AZ534,"SI")*0.5</f>
        <v>0</v>
      </c>
      <c r="BB534" s="160" t="str">
        <f>IF(BA534&lt;0.6,"Demasiado Riesgo",IF(BA534&lt;=5,"Riesgo Medio",IF(BA534&lt;=11,"Riesgo Bajo","Cliente Blindado")))</f>
        <v>Demasiado Riesgo</v>
      </c>
      <c r="BC534" s="160"/>
      <c r="BD534" s="160"/>
      <c r="BE534" s="160"/>
      <c r="BF534" s="160"/>
      <c r="BG534" s="160"/>
      <c r="BH534" s="160"/>
      <c r="BI534" s="160"/>
      <c r="BJ534" s="160"/>
      <c r="BK534" s="160"/>
      <c r="BL534" s="160"/>
      <c r="BM534" s="160"/>
      <c r="BN534" s="160"/>
      <c r="BO534" s="160"/>
      <c r="BP534" s="160"/>
      <c r="BQ534" s="160"/>
      <c r="BR534" s="160"/>
      <c r="BS534" s="160"/>
      <c r="BT534" s="160"/>
      <c r="BU534" s="160"/>
      <c r="BV534" s="160"/>
      <c r="BW534" s="160"/>
      <c r="BX534" s="160"/>
      <c r="BY534" s="160"/>
      <c r="BZ534" s="160"/>
      <c r="CA534" s="160">
        <f>COUNTIF(AJ534:AX534,"*OK*")</f>
        <v>0</v>
      </c>
    </row>
    <row r="535" spans="1:79" ht="15" customHeight="1">
      <c r="A535" s="240"/>
      <c r="B535" s="171"/>
      <c r="C535" s="471"/>
      <c r="D535" s="171">
        <f>COUNTIF(AN535:AY535,"OK")</f>
        <v>0</v>
      </c>
      <c r="E535" s="171"/>
      <c r="F535" s="171"/>
      <c r="G535" s="171"/>
      <c r="H535" s="179"/>
      <c r="I535" s="179"/>
      <c r="J535" s="171"/>
      <c r="K535" s="236"/>
      <c r="L535" s="171"/>
      <c r="M535" s="171"/>
      <c r="N535" s="171"/>
      <c r="O535" s="242"/>
      <c r="P535" s="237"/>
      <c r="Q535" s="237"/>
      <c r="R535" s="238"/>
      <c r="S535" s="463"/>
      <c r="T535" s="565"/>
      <c r="U535" s="240"/>
      <c r="V535" s="174" t="s">
        <v>59</v>
      </c>
      <c r="W535" s="171"/>
      <c r="X535" s="177"/>
      <c r="Y535" s="177"/>
      <c r="Z535" s="178"/>
      <c r="AA535" s="174" t="s">
        <v>59</v>
      </c>
      <c r="AB535" s="178"/>
      <c r="AC535" s="179"/>
      <c r="AD535" s="171"/>
      <c r="AE535" s="171"/>
      <c r="AF535" s="171"/>
      <c r="AG535" s="171"/>
      <c r="AH535" s="171"/>
      <c r="AI535" s="171"/>
      <c r="AZ535" s="171"/>
      <c r="BA535" s="171">
        <f>(COUNTIF(AJ535:AL535,"*OK*")*3) + (COUNTIF(AM535:AO535,"*OK*")*2) + COUNTIF(AP535:AR535,"*OK*")+COUNTIF(AZ535:AZ535,"SI")*0.5</f>
        <v>0</v>
      </c>
      <c r="BB535" s="171" t="str">
        <f>IF(BA535&lt;0.6,"Demasiado Riesgo",IF(BA535&lt;=5,"Riesgo Medio",IF(BA535&lt;=11,"Riesgo Bajo","Cliente Blindado")))</f>
        <v>Demasiado Riesgo</v>
      </c>
      <c r="BC535" s="171"/>
      <c r="BD535" s="171"/>
      <c r="BE535" s="171"/>
      <c r="BF535" s="171"/>
      <c r="BG535" s="171"/>
      <c r="BH535" s="171"/>
      <c r="BI535" s="171"/>
      <c r="BJ535" s="171"/>
      <c r="BK535" s="171"/>
      <c r="BL535" s="171"/>
      <c r="BM535" s="171"/>
      <c r="BN535" s="171"/>
      <c r="BO535" s="171"/>
      <c r="BP535" s="171"/>
      <c r="BQ535" s="171"/>
      <c r="BR535" s="171"/>
      <c r="BS535" s="171"/>
      <c r="BT535" s="171"/>
      <c r="BU535" s="171"/>
      <c r="BV535" s="171"/>
      <c r="BW535" s="171"/>
      <c r="BX535" s="171"/>
      <c r="BY535" s="171"/>
      <c r="BZ535" s="171"/>
      <c r="CA535" s="171">
        <f>COUNTIF(AJ535:AX535,"*OK*")</f>
        <v>0</v>
      </c>
    </row>
    <row r="536" spans="1:79" ht="15" customHeight="1">
      <c r="A536" s="241"/>
      <c r="B536" s="160"/>
      <c r="C536" s="472"/>
      <c r="D536" s="160">
        <f>COUNTIF(AN536:AY536,"OK")</f>
        <v>0</v>
      </c>
      <c r="E536" s="160"/>
      <c r="F536" s="160"/>
      <c r="G536" s="160"/>
      <c r="H536" s="168"/>
      <c r="I536" s="168"/>
      <c r="J536" s="160"/>
      <c r="K536" s="220"/>
      <c r="L536" s="160"/>
      <c r="M536" s="160"/>
      <c r="N536" s="160"/>
      <c r="O536" s="243"/>
      <c r="P536" s="223"/>
      <c r="Q536" s="223"/>
      <c r="R536" s="239"/>
      <c r="S536" s="462"/>
      <c r="T536" s="564"/>
      <c r="U536" s="241"/>
      <c r="V536" s="163" t="s">
        <v>59</v>
      </c>
      <c r="W536" s="160"/>
      <c r="X536" s="166"/>
      <c r="Y536" s="166"/>
      <c r="Z536" s="167"/>
      <c r="AA536" s="163" t="s">
        <v>59</v>
      </c>
      <c r="AB536" s="167"/>
      <c r="AC536" s="168"/>
      <c r="AD536" s="160"/>
      <c r="AE536" s="160"/>
      <c r="AF536" s="160"/>
      <c r="AG536" s="160"/>
      <c r="AH536" s="160"/>
      <c r="AI536" s="160"/>
      <c r="AZ536" s="160"/>
      <c r="BA536" s="160">
        <f>(COUNTIF(AJ536:AL536,"*OK*")*3) + (COUNTIF(AM536:AO536,"*OK*")*2) + COUNTIF(AP536:AR536,"*OK*")+COUNTIF(AZ536:AZ536,"SI")*0.5</f>
        <v>0</v>
      </c>
      <c r="BB536" s="160" t="str">
        <f>IF(BA536&lt;0.6,"Demasiado Riesgo",IF(BA536&lt;=5,"Riesgo Medio",IF(BA536&lt;=11,"Riesgo Bajo","Cliente Blindado")))</f>
        <v>Demasiado Riesgo</v>
      </c>
      <c r="BC536" s="160"/>
      <c r="BD536" s="160"/>
      <c r="BE536" s="160"/>
      <c r="BF536" s="160"/>
      <c r="BG536" s="160"/>
      <c r="BH536" s="160"/>
      <c r="BI536" s="160"/>
      <c r="BJ536" s="160"/>
      <c r="BK536" s="160"/>
      <c r="BL536" s="160"/>
      <c r="BM536" s="160"/>
      <c r="BN536" s="160"/>
      <c r="BO536" s="160"/>
      <c r="BP536" s="160"/>
      <c r="BQ536" s="160"/>
      <c r="BR536" s="160"/>
      <c r="BS536" s="160"/>
      <c r="BT536" s="160"/>
      <c r="BU536" s="160"/>
      <c r="BV536" s="160"/>
      <c r="BW536" s="160"/>
      <c r="BX536" s="160"/>
      <c r="BY536" s="160"/>
      <c r="BZ536" s="160"/>
      <c r="CA536" s="160">
        <f>COUNTIF(AJ536:AX536,"*OK*")</f>
        <v>0</v>
      </c>
    </row>
    <row r="537" spans="1:79" ht="15" customHeight="1">
      <c r="A537" s="240"/>
      <c r="B537" s="171"/>
      <c r="C537" s="471"/>
      <c r="D537" s="171">
        <f>COUNTIF(AN537:AY537,"OK")</f>
        <v>0</v>
      </c>
      <c r="E537" s="171"/>
      <c r="F537" s="171"/>
      <c r="G537" s="171"/>
      <c r="H537" s="179"/>
      <c r="I537" s="179"/>
      <c r="J537" s="171"/>
      <c r="K537" s="236"/>
      <c r="L537" s="171"/>
      <c r="M537" s="171"/>
      <c r="N537" s="171"/>
      <c r="O537" s="242"/>
      <c r="P537" s="237"/>
      <c r="Q537" s="237"/>
      <c r="R537" s="238"/>
      <c r="S537" s="463"/>
      <c r="T537" s="565"/>
      <c r="U537" s="240"/>
      <c r="V537" s="174" t="s">
        <v>59</v>
      </c>
      <c r="W537" s="171"/>
      <c r="X537" s="177"/>
      <c r="Y537" s="177"/>
      <c r="Z537" s="178"/>
      <c r="AA537" s="174" t="s">
        <v>59</v>
      </c>
      <c r="AB537" s="178"/>
      <c r="AC537" s="179"/>
      <c r="AD537" s="171"/>
      <c r="AE537" s="171"/>
      <c r="AF537" s="171"/>
      <c r="AG537" s="171"/>
      <c r="AH537" s="171"/>
      <c r="AI537" s="171"/>
      <c r="AZ537" s="171"/>
      <c r="BA537" s="171">
        <f>(COUNTIF(AJ537:AL537,"*OK*")*3) + (COUNTIF(AM537:AO537,"*OK*")*2) + COUNTIF(AP537:AR537,"*OK*")+COUNTIF(AZ537:AZ537,"SI")*0.5</f>
        <v>0</v>
      </c>
      <c r="BB537" s="171" t="str">
        <f>IF(BA537&lt;0.6,"Demasiado Riesgo",IF(BA537&lt;=5,"Riesgo Medio",IF(BA537&lt;=11,"Riesgo Bajo","Cliente Blindado")))</f>
        <v>Demasiado Riesgo</v>
      </c>
      <c r="BC537" s="171"/>
      <c r="BD537" s="171"/>
      <c r="BE537" s="171"/>
      <c r="BF537" s="171"/>
      <c r="BG537" s="171"/>
      <c r="BH537" s="171"/>
      <c r="BI537" s="171"/>
      <c r="BJ537" s="171"/>
      <c r="BK537" s="171"/>
      <c r="BL537" s="171"/>
      <c r="BM537" s="171"/>
      <c r="BN537" s="171"/>
      <c r="BO537" s="171"/>
      <c r="BP537" s="171"/>
      <c r="BQ537" s="171"/>
      <c r="BR537" s="171"/>
      <c r="BS537" s="171"/>
      <c r="BT537" s="171"/>
      <c r="BU537" s="171"/>
      <c r="BV537" s="171"/>
      <c r="BW537" s="171"/>
      <c r="BX537" s="171"/>
      <c r="BY537" s="171"/>
      <c r="BZ537" s="171"/>
      <c r="CA537" s="171">
        <f>COUNTIF(AJ537:AX537,"*OK*")</f>
        <v>0</v>
      </c>
    </row>
    <row r="538" spans="1:79" ht="15" customHeight="1">
      <c r="A538" s="241"/>
      <c r="B538" s="160"/>
      <c r="C538" s="472"/>
      <c r="D538" s="160">
        <f>COUNTIF(AN538:AY538,"OK")</f>
        <v>0</v>
      </c>
      <c r="E538" s="160"/>
      <c r="F538" s="160"/>
      <c r="G538" s="160"/>
      <c r="H538" s="168"/>
      <c r="I538" s="168"/>
      <c r="J538" s="160"/>
      <c r="K538" s="220"/>
      <c r="L538" s="160"/>
      <c r="M538" s="160"/>
      <c r="N538" s="160"/>
      <c r="O538" s="243"/>
      <c r="P538" s="223"/>
      <c r="Q538" s="223"/>
      <c r="R538" s="239"/>
      <c r="S538" s="462"/>
      <c r="T538" s="564"/>
      <c r="U538" s="241"/>
      <c r="V538" s="163" t="s">
        <v>59</v>
      </c>
      <c r="W538" s="160"/>
      <c r="X538" s="166"/>
      <c r="Y538" s="166"/>
      <c r="Z538" s="167"/>
      <c r="AA538" s="163" t="s">
        <v>59</v>
      </c>
      <c r="AB538" s="167"/>
      <c r="AC538" s="168"/>
      <c r="AD538" s="160"/>
      <c r="AE538" s="160"/>
      <c r="AF538" s="160"/>
      <c r="AG538" s="160"/>
      <c r="AH538" s="160"/>
      <c r="AI538" s="160"/>
      <c r="AZ538" s="160"/>
      <c r="BA538" s="160">
        <f>(COUNTIF(AJ538:AL538,"*OK*")*3) + (COUNTIF(AM538:AO538,"*OK*")*2) + COUNTIF(AP538:AR538,"*OK*")+COUNTIF(AZ538:AZ538,"SI")*0.5</f>
        <v>0</v>
      </c>
      <c r="BB538" s="160" t="str">
        <f>IF(BA538&lt;0.6,"Demasiado Riesgo",IF(BA538&lt;=5,"Riesgo Medio",IF(BA538&lt;=11,"Riesgo Bajo","Cliente Blindado")))</f>
        <v>Demasiado Riesgo</v>
      </c>
      <c r="BC538" s="160"/>
      <c r="BD538" s="160"/>
      <c r="BE538" s="160"/>
      <c r="BF538" s="160"/>
      <c r="BG538" s="160"/>
      <c r="BH538" s="160"/>
      <c r="BI538" s="160"/>
      <c r="BJ538" s="160"/>
      <c r="BK538" s="160"/>
      <c r="BL538" s="160"/>
      <c r="BM538" s="160"/>
      <c r="BN538" s="160"/>
      <c r="BO538" s="160"/>
      <c r="BP538" s="160"/>
      <c r="BQ538" s="160"/>
      <c r="BR538" s="160"/>
      <c r="BS538" s="160"/>
      <c r="BT538" s="160"/>
      <c r="BU538" s="160"/>
      <c r="BV538" s="160"/>
      <c r="BW538" s="160"/>
      <c r="BX538" s="160"/>
      <c r="BY538" s="160"/>
      <c r="BZ538" s="160"/>
      <c r="CA538" s="160">
        <f>COUNTIF(AJ538:AX538,"*OK*")</f>
        <v>0</v>
      </c>
    </row>
    <row r="539" spans="1:79" ht="15" customHeight="1">
      <c r="A539" s="240"/>
      <c r="B539" s="171"/>
      <c r="C539" s="471"/>
      <c r="D539" s="171">
        <f>COUNTIF(AN539:AY539,"OK")</f>
        <v>0</v>
      </c>
      <c r="E539" s="171"/>
      <c r="F539" s="171"/>
      <c r="G539" s="171"/>
      <c r="H539" s="179"/>
      <c r="I539" s="179"/>
      <c r="J539" s="171"/>
      <c r="K539" s="236"/>
      <c r="L539" s="171"/>
      <c r="M539" s="171"/>
      <c r="N539" s="171"/>
      <c r="O539" s="242"/>
      <c r="P539" s="237"/>
      <c r="Q539" s="237"/>
      <c r="R539" s="238"/>
      <c r="S539" s="463"/>
      <c r="T539" s="565"/>
      <c r="U539" s="240"/>
      <c r="V539" s="174" t="s">
        <v>59</v>
      </c>
      <c r="W539" s="171"/>
      <c r="X539" s="177"/>
      <c r="Y539" s="177"/>
      <c r="Z539" s="178"/>
      <c r="AA539" s="174" t="s">
        <v>59</v>
      </c>
      <c r="AB539" s="178"/>
      <c r="AC539" s="179"/>
      <c r="AD539" s="171"/>
      <c r="AE539" s="171"/>
      <c r="AF539" s="171"/>
      <c r="AG539" s="171"/>
      <c r="AH539" s="171"/>
      <c r="AI539" s="171"/>
      <c r="AZ539" s="171"/>
      <c r="BA539" s="171">
        <f>(COUNTIF(AJ539:AL539,"*OK*")*3) + (COUNTIF(AM539:AO539,"*OK*")*2) + COUNTIF(AP539:AR539,"*OK*")+COUNTIF(AZ539:AZ539,"SI")*0.5</f>
        <v>0</v>
      </c>
      <c r="BB539" s="171" t="str">
        <f>IF(BA539&lt;0.6,"Demasiado Riesgo",IF(BA539&lt;=5,"Riesgo Medio",IF(BA539&lt;=11,"Riesgo Bajo","Cliente Blindado")))</f>
        <v>Demasiado Riesgo</v>
      </c>
      <c r="BC539" s="171"/>
      <c r="BD539" s="171"/>
      <c r="BE539" s="171"/>
      <c r="BF539" s="171"/>
      <c r="BG539" s="171"/>
      <c r="BH539" s="171"/>
      <c r="BI539" s="171"/>
      <c r="BJ539" s="171"/>
      <c r="BK539" s="171"/>
      <c r="BL539" s="171"/>
      <c r="BM539" s="171"/>
      <c r="BN539" s="171"/>
      <c r="BO539" s="171"/>
      <c r="BP539" s="171"/>
      <c r="BQ539" s="171"/>
      <c r="BR539" s="171"/>
      <c r="BS539" s="171"/>
      <c r="BT539" s="171"/>
      <c r="BU539" s="171"/>
      <c r="BV539" s="171"/>
      <c r="BW539" s="171"/>
      <c r="BX539" s="171"/>
      <c r="BY539" s="171"/>
      <c r="BZ539" s="171"/>
      <c r="CA539" s="171">
        <f>COUNTIF(AJ539:AX539,"*OK*")</f>
        <v>0</v>
      </c>
    </row>
    <row r="540" spans="1:79" ht="15" customHeight="1">
      <c r="A540" s="241"/>
      <c r="B540" s="160"/>
      <c r="C540" s="472"/>
      <c r="D540" s="160">
        <f>COUNTIF(AN540:AY540,"OK")</f>
        <v>0</v>
      </c>
      <c r="E540" s="160"/>
      <c r="F540" s="160"/>
      <c r="G540" s="160"/>
      <c r="H540" s="168"/>
      <c r="I540" s="168"/>
      <c r="J540" s="160"/>
      <c r="K540" s="220"/>
      <c r="L540" s="160"/>
      <c r="M540" s="160"/>
      <c r="N540" s="160"/>
      <c r="O540" s="243"/>
      <c r="P540" s="223"/>
      <c r="Q540" s="223"/>
      <c r="R540" s="239"/>
      <c r="S540" s="462"/>
      <c r="T540" s="564"/>
      <c r="U540" s="241"/>
      <c r="V540" s="163" t="s">
        <v>59</v>
      </c>
      <c r="W540" s="160"/>
      <c r="X540" s="166"/>
      <c r="Y540" s="166"/>
      <c r="Z540" s="167"/>
      <c r="AA540" s="163" t="s">
        <v>59</v>
      </c>
      <c r="AB540" s="167"/>
      <c r="AC540" s="168"/>
      <c r="AD540" s="160"/>
      <c r="AE540" s="160"/>
      <c r="AF540" s="160"/>
      <c r="AG540" s="160"/>
      <c r="AH540" s="160"/>
      <c r="AI540" s="160"/>
      <c r="AZ540" s="160"/>
      <c r="BA540" s="160">
        <f>(COUNTIF(AJ540:AL540,"*OK*")*3) + (COUNTIF(AM540:AO540,"*OK*")*2) + COUNTIF(AP540:AR540,"*OK*")+COUNTIF(AZ540:AZ540,"SI")*0.5</f>
        <v>0</v>
      </c>
      <c r="BB540" s="160" t="str">
        <f>IF(BA540&lt;0.6,"Demasiado Riesgo",IF(BA540&lt;=5,"Riesgo Medio",IF(BA540&lt;=11,"Riesgo Bajo","Cliente Blindado")))</f>
        <v>Demasiado Riesgo</v>
      </c>
      <c r="BC540" s="160"/>
      <c r="BD540" s="160"/>
      <c r="BE540" s="160"/>
      <c r="BF540" s="160"/>
      <c r="BG540" s="160"/>
      <c r="BH540" s="160"/>
      <c r="BI540" s="160"/>
      <c r="BJ540" s="160"/>
      <c r="BK540" s="160"/>
      <c r="BL540" s="160"/>
      <c r="BM540" s="160"/>
      <c r="BN540" s="160"/>
      <c r="BO540" s="160"/>
      <c r="BP540" s="160"/>
      <c r="BQ540" s="160"/>
      <c r="BR540" s="160"/>
      <c r="BS540" s="160"/>
      <c r="BT540" s="160"/>
      <c r="BU540" s="160"/>
      <c r="BV540" s="160"/>
      <c r="BW540" s="160"/>
      <c r="BX540" s="160"/>
      <c r="BY540" s="160"/>
      <c r="BZ540" s="160"/>
      <c r="CA540" s="160">
        <f>COUNTIF(AJ540:AX540,"*OK*")</f>
        <v>0</v>
      </c>
    </row>
    <row r="541" spans="1:79" ht="15" customHeight="1">
      <c r="A541" s="240"/>
      <c r="B541" s="171"/>
      <c r="C541" s="471"/>
      <c r="D541" s="171">
        <f>COUNTIF(AN541:AY541,"OK")</f>
        <v>0</v>
      </c>
      <c r="E541" s="171"/>
      <c r="F541" s="171"/>
      <c r="G541" s="171"/>
      <c r="H541" s="179"/>
      <c r="I541" s="179"/>
      <c r="J541" s="171"/>
      <c r="K541" s="236"/>
      <c r="L541" s="171"/>
      <c r="M541" s="171"/>
      <c r="N541" s="171"/>
      <c r="O541" s="242"/>
      <c r="P541" s="237"/>
      <c r="Q541" s="237"/>
      <c r="R541" s="238"/>
      <c r="S541" s="463"/>
      <c r="T541" s="565"/>
      <c r="U541" s="240"/>
      <c r="V541" s="174" t="s">
        <v>59</v>
      </c>
      <c r="W541" s="171"/>
      <c r="X541" s="177"/>
      <c r="Y541" s="177"/>
      <c r="Z541" s="178"/>
      <c r="AA541" s="174" t="s">
        <v>59</v>
      </c>
      <c r="AB541" s="178"/>
      <c r="AC541" s="179"/>
      <c r="AD541" s="171"/>
      <c r="AE541" s="171"/>
      <c r="AF541" s="171"/>
      <c r="AG541" s="171"/>
      <c r="AH541" s="171"/>
      <c r="AI541" s="171"/>
      <c r="AZ541" s="171"/>
      <c r="BA541" s="171">
        <f>(COUNTIF(AJ541:AL541,"*OK*")*3) + (COUNTIF(AM541:AO541,"*OK*")*2) + COUNTIF(AP541:AR541,"*OK*")+COUNTIF(AZ541:AZ541,"SI")*0.5</f>
        <v>0</v>
      </c>
      <c r="BB541" s="171" t="str">
        <f>IF(BA541&lt;0.6,"Demasiado Riesgo",IF(BA541&lt;=5,"Riesgo Medio",IF(BA541&lt;=11,"Riesgo Bajo","Cliente Blindado")))</f>
        <v>Demasiado Riesgo</v>
      </c>
      <c r="BC541" s="171"/>
      <c r="BD541" s="171"/>
      <c r="BE541" s="171"/>
      <c r="BF541" s="171"/>
      <c r="BG541" s="171"/>
      <c r="BH541" s="171"/>
      <c r="BI541" s="171"/>
      <c r="BJ541" s="171"/>
      <c r="BK541" s="171"/>
      <c r="BL541" s="171"/>
      <c r="BM541" s="171"/>
      <c r="BN541" s="171"/>
      <c r="BO541" s="171"/>
      <c r="BP541" s="171"/>
      <c r="BQ541" s="171"/>
      <c r="BR541" s="171"/>
      <c r="BS541" s="171"/>
      <c r="BT541" s="171"/>
      <c r="BU541" s="171"/>
      <c r="BV541" s="171"/>
      <c r="BW541" s="171"/>
      <c r="BX541" s="171"/>
      <c r="BY541" s="171"/>
      <c r="BZ541" s="171"/>
      <c r="CA541" s="171">
        <f>COUNTIF(AJ541:AX541,"*OK*")</f>
        <v>0</v>
      </c>
    </row>
    <row r="542" spans="1:79" ht="15" customHeight="1">
      <c r="A542" s="241"/>
      <c r="B542" s="160"/>
      <c r="C542" s="472"/>
      <c r="D542" s="160">
        <f>COUNTIF(AN542:AY542,"OK")</f>
        <v>0</v>
      </c>
      <c r="E542" s="160"/>
      <c r="F542" s="160"/>
      <c r="G542" s="160"/>
      <c r="H542" s="168"/>
      <c r="I542" s="168"/>
      <c r="J542" s="160"/>
      <c r="K542" s="220"/>
      <c r="L542" s="160"/>
      <c r="M542" s="160"/>
      <c r="N542" s="160"/>
      <c r="O542" s="243"/>
      <c r="P542" s="223"/>
      <c r="Q542" s="223"/>
      <c r="R542" s="239"/>
      <c r="S542" s="462"/>
      <c r="T542" s="564"/>
      <c r="U542" s="241"/>
      <c r="V542" s="163" t="s">
        <v>59</v>
      </c>
      <c r="W542" s="160"/>
      <c r="X542" s="166"/>
      <c r="Y542" s="166"/>
      <c r="Z542" s="167"/>
      <c r="AA542" s="163" t="s">
        <v>59</v>
      </c>
      <c r="AB542" s="167"/>
      <c r="AC542" s="168"/>
      <c r="AD542" s="160"/>
      <c r="AE542" s="160"/>
      <c r="AF542" s="160"/>
      <c r="AG542" s="160"/>
      <c r="AH542" s="160"/>
      <c r="AI542" s="160"/>
      <c r="AZ542" s="160"/>
      <c r="BA542" s="160">
        <f>(COUNTIF(AJ542:AL542,"*OK*")*3) + (COUNTIF(AM542:AO542,"*OK*")*2) + COUNTIF(AP542:AR542,"*OK*")+COUNTIF(AZ542:AZ542,"SI")*0.5</f>
        <v>0</v>
      </c>
      <c r="BB542" s="160" t="str">
        <f>IF(BA542&lt;0.6,"Demasiado Riesgo",IF(BA542&lt;=5,"Riesgo Medio",IF(BA542&lt;=11,"Riesgo Bajo","Cliente Blindado")))</f>
        <v>Demasiado Riesgo</v>
      </c>
      <c r="BC542" s="160"/>
      <c r="BD542" s="160"/>
      <c r="BE542" s="160"/>
      <c r="BF542" s="160"/>
      <c r="BG542" s="160"/>
      <c r="BH542" s="160"/>
      <c r="BI542" s="160"/>
      <c r="BJ542" s="160"/>
      <c r="BK542" s="160"/>
      <c r="BL542" s="160"/>
      <c r="BM542" s="160"/>
      <c r="BN542" s="160"/>
      <c r="BO542" s="160"/>
      <c r="BP542" s="160"/>
      <c r="BQ542" s="160"/>
      <c r="BR542" s="160"/>
      <c r="BS542" s="160"/>
      <c r="BT542" s="160"/>
      <c r="BU542" s="160"/>
      <c r="BV542" s="160"/>
      <c r="BW542" s="160"/>
      <c r="BX542" s="160"/>
      <c r="BY542" s="160"/>
      <c r="BZ542" s="160"/>
      <c r="CA542" s="160">
        <f>COUNTIF(AJ542:AX542,"*OK*")</f>
        <v>0</v>
      </c>
    </row>
    <row r="543" spans="1:79" ht="15" customHeight="1">
      <c r="A543" s="240"/>
      <c r="B543" s="171"/>
      <c r="C543" s="471"/>
      <c r="D543" s="171">
        <f>COUNTIF(AN543:AY543,"OK")</f>
        <v>0</v>
      </c>
      <c r="E543" s="171"/>
      <c r="F543" s="171"/>
      <c r="G543" s="171"/>
      <c r="H543" s="179"/>
      <c r="I543" s="179"/>
      <c r="J543" s="171"/>
      <c r="K543" s="236"/>
      <c r="L543" s="171"/>
      <c r="M543" s="171"/>
      <c r="N543" s="171"/>
      <c r="O543" s="242"/>
      <c r="P543" s="237"/>
      <c r="Q543" s="237"/>
      <c r="R543" s="238"/>
      <c r="S543" s="463"/>
      <c r="T543" s="565"/>
      <c r="U543" s="240"/>
      <c r="V543" s="174" t="s">
        <v>59</v>
      </c>
      <c r="W543" s="171"/>
      <c r="X543" s="177"/>
      <c r="Y543" s="177"/>
      <c r="Z543" s="178"/>
      <c r="AA543" s="174" t="s">
        <v>59</v>
      </c>
      <c r="AB543" s="178"/>
      <c r="AC543" s="179"/>
      <c r="AD543" s="171"/>
      <c r="AE543" s="171"/>
      <c r="AF543" s="171"/>
      <c r="AG543" s="171"/>
      <c r="AH543" s="171"/>
      <c r="AI543" s="171"/>
      <c r="AZ543" s="171"/>
      <c r="BA543" s="171">
        <f>(COUNTIF(AJ543:AL543,"*OK*")*3) + (COUNTIF(AM543:AO543,"*OK*")*2) + COUNTIF(AP543:AR543,"*OK*")+COUNTIF(AZ543:AZ543,"SI")*0.5</f>
        <v>0</v>
      </c>
      <c r="BB543" s="171" t="str">
        <f>IF(BA543&lt;0.6,"Demasiado Riesgo",IF(BA543&lt;=5,"Riesgo Medio",IF(BA543&lt;=11,"Riesgo Bajo","Cliente Blindado")))</f>
        <v>Demasiado Riesgo</v>
      </c>
      <c r="BC543" s="171"/>
      <c r="BD543" s="171"/>
      <c r="BE543" s="171"/>
      <c r="BF543" s="171"/>
      <c r="BG543" s="171"/>
      <c r="BH543" s="171"/>
      <c r="BI543" s="171"/>
      <c r="BJ543" s="171"/>
      <c r="BK543" s="171"/>
      <c r="BL543" s="171"/>
      <c r="BM543" s="171"/>
      <c r="BN543" s="171"/>
      <c r="BO543" s="171"/>
      <c r="BP543" s="171"/>
      <c r="BQ543" s="171"/>
      <c r="BR543" s="171"/>
      <c r="BS543" s="171"/>
      <c r="BT543" s="171"/>
      <c r="BU543" s="171"/>
      <c r="BV543" s="171"/>
      <c r="BW543" s="171"/>
      <c r="BX543" s="171"/>
      <c r="BY543" s="171"/>
      <c r="BZ543" s="171"/>
      <c r="CA543" s="171">
        <f>COUNTIF(AJ543:AX543,"*OK*")</f>
        <v>0</v>
      </c>
    </row>
    <row r="544" spans="1:79" ht="15" customHeight="1">
      <c r="A544" s="241"/>
      <c r="B544" s="160"/>
      <c r="C544" s="472"/>
      <c r="D544" s="160">
        <f>COUNTIF(AN544:AY544,"OK")</f>
        <v>0</v>
      </c>
      <c r="E544" s="160"/>
      <c r="F544" s="160"/>
      <c r="G544" s="160"/>
      <c r="H544" s="168"/>
      <c r="I544" s="168"/>
      <c r="J544" s="160"/>
      <c r="K544" s="220"/>
      <c r="L544" s="160"/>
      <c r="M544" s="160"/>
      <c r="N544" s="160"/>
      <c r="O544" s="243"/>
      <c r="P544" s="223"/>
      <c r="Q544" s="223"/>
      <c r="R544" s="239"/>
      <c r="S544" s="462"/>
      <c r="T544" s="564"/>
      <c r="U544" s="241"/>
      <c r="V544" s="163" t="s">
        <v>59</v>
      </c>
      <c r="W544" s="160"/>
      <c r="X544" s="166"/>
      <c r="Y544" s="166"/>
      <c r="Z544" s="167"/>
      <c r="AA544" s="163" t="s">
        <v>59</v>
      </c>
      <c r="AB544" s="167"/>
      <c r="AC544" s="168"/>
      <c r="AD544" s="160"/>
      <c r="AE544" s="160"/>
      <c r="AF544" s="160"/>
      <c r="AG544" s="160"/>
      <c r="AH544" s="160"/>
      <c r="AI544" s="160"/>
      <c r="AZ544" s="160"/>
      <c r="BA544" s="160">
        <f>(COUNTIF(AJ544:AL544,"*OK*")*3) + (COUNTIF(AM544:AO544,"*OK*")*2) + COUNTIF(AP544:AR544,"*OK*")+COUNTIF(AZ544:AZ544,"SI")*0.5</f>
        <v>0</v>
      </c>
      <c r="BB544" s="160" t="str">
        <f>IF(BA544&lt;0.6,"Demasiado Riesgo",IF(BA544&lt;=5,"Riesgo Medio",IF(BA544&lt;=11,"Riesgo Bajo","Cliente Blindado")))</f>
        <v>Demasiado Riesgo</v>
      </c>
      <c r="BC544" s="160"/>
      <c r="BD544" s="160"/>
      <c r="BE544" s="160"/>
      <c r="BF544" s="160"/>
      <c r="BG544" s="160"/>
      <c r="BH544" s="160"/>
      <c r="BI544" s="160"/>
      <c r="BJ544" s="160"/>
      <c r="BK544" s="160"/>
      <c r="BL544" s="160"/>
      <c r="BM544" s="160"/>
      <c r="BN544" s="160"/>
      <c r="BO544" s="160"/>
      <c r="BP544" s="160"/>
      <c r="BQ544" s="160"/>
      <c r="BR544" s="160"/>
      <c r="BS544" s="160"/>
      <c r="BT544" s="160"/>
      <c r="BU544" s="160"/>
      <c r="BV544" s="160"/>
      <c r="BW544" s="160"/>
      <c r="BX544" s="160"/>
      <c r="BY544" s="160"/>
      <c r="BZ544" s="160"/>
      <c r="CA544" s="160">
        <f>COUNTIF(AJ544:AX544,"*OK*")</f>
        <v>0</v>
      </c>
    </row>
    <row r="545" spans="1:79" ht="15" customHeight="1">
      <c r="A545" s="240"/>
      <c r="B545" s="171"/>
      <c r="C545" s="471"/>
      <c r="D545" s="171">
        <f>COUNTIF(AN545:AY545,"OK")</f>
        <v>0</v>
      </c>
      <c r="E545" s="171"/>
      <c r="F545" s="171"/>
      <c r="G545" s="171"/>
      <c r="H545" s="179"/>
      <c r="I545" s="179"/>
      <c r="J545" s="171"/>
      <c r="K545" s="236"/>
      <c r="L545" s="171"/>
      <c r="M545" s="171"/>
      <c r="N545" s="171"/>
      <c r="O545" s="242"/>
      <c r="P545" s="237"/>
      <c r="Q545" s="237"/>
      <c r="R545" s="238"/>
      <c r="S545" s="463"/>
      <c r="T545" s="565"/>
      <c r="U545" s="240"/>
      <c r="V545" s="174" t="s">
        <v>59</v>
      </c>
      <c r="W545" s="171"/>
      <c r="X545" s="177"/>
      <c r="Y545" s="177"/>
      <c r="Z545" s="178"/>
      <c r="AA545" s="174" t="s">
        <v>59</v>
      </c>
      <c r="AB545" s="178"/>
      <c r="AC545" s="179"/>
      <c r="AD545" s="171"/>
      <c r="AE545" s="171"/>
      <c r="AF545" s="171"/>
      <c r="AG545" s="171"/>
      <c r="AH545" s="171"/>
      <c r="AI545" s="171"/>
      <c r="AZ545" s="171"/>
      <c r="BA545" s="171">
        <f>(COUNTIF(AJ545:AL545,"*OK*")*3) + (COUNTIF(AM545:AO545,"*OK*")*2) + COUNTIF(AP545:AR545,"*OK*")+COUNTIF(AZ545:AZ545,"SI")*0.5</f>
        <v>0</v>
      </c>
      <c r="BB545" s="171" t="str">
        <f>IF(BA545&lt;0.6,"Demasiado Riesgo",IF(BA545&lt;=5,"Riesgo Medio",IF(BA545&lt;=11,"Riesgo Bajo","Cliente Blindado")))</f>
        <v>Demasiado Riesgo</v>
      </c>
      <c r="BC545" s="171"/>
      <c r="BD545" s="171"/>
      <c r="BE545" s="171"/>
      <c r="BF545" s="171"/>
      <c r="BG545" s="171"/>
      <c r="BH545" s="171"/>
      <c r="BI545" s="171"/>
      <c r="BJ545" s="171"/>
      <c r="BK545" s="171"/>
      <c r="BL545" s="171"/>
      <c r="BM545" s="171"/>
      <c r="BN545" s="171"/>
      <c r="BO545" s="171"/>
      <c r="BP545" s="171"/>
      <c r="BQ545" s="171"/>
      <c r="BR545" s="171"/>
      <c r="BS545" s="171"/>
      <c r="BT545" s="171"/>
      <c r="BU545" s="171"/>
      <c r="BV545" s="171"/>
      <c r="BW545" s="171"/>
      <c r="BX545" s="171"/>
      <c r="BY545" s="171"/>
      <c r="BZ545" s="171"/>
      <c r="CA545" s="171">
        <f>COUNTIF(AJ545:AX545,"*OK*")</f>
        <v>0</v>
      </c>
    </row>
    <row r="546" spans="1:79" ht="15" customHeight="1">
      <c r="A546" s="241"/>
      <c r="B546" s="160"/>
      <c r="C546" s="472"/>
      <c r="D546" s="160">
        <f>COUNTIF(AN546:AY546,"OK")</f>
        <v>0</v>
      </c>
      <c r="E546" s="160"/>
      <c r="F546" s="160"/>
      <c r="G546" s="160"/>
      <c r="H546" s="168"/>
      <c r="I546" s="168"/>
      <c r="J546" s="160"/>
      <c r="K546" s="220"/>
      <c r="L546" s="160"/>
      <c r="M546" s="160"/>
      <c r="N546" s="160"/>
      <c r="O546" s="243"/>
      <c r="P546" s="223"/>
      <c r="Q546" s="223"/>
      <c r="R546" s="239"/>
      <c r="S546" s="462"/>
      <c r="T546" s="564"/>
      <c r="U546" s="241"/>
      <c r="V546" s="163" t="s">
        <v>59</v>
      </c>
      <c r="W546" s="160"/>
      <c r="X546" s="166"/>
      <c r="Y546" s="166"/>
      <c r="Z546" s="167"/>
      <c r="AA546" s="163" t="s">
        <v>59</v>
      </c>
      <c r="AB546" s="167"/>
      <c r="AC546" s="168"/>
      <c r="AD546" s="160"/>
      <c r="AE546" s="160"/>
      <c r="AF546" s="160"/>
      <c r="AG546" s="160"/>
      <c r="AH546" s="160"/>
      <c r="AI546" s="160"/>
      <c r="AZ546" s="160"/>
      <c r="BA546" s="160">
        <f>(COUNTIF(AJ546:AL546,"*OK*")*3) + (COUNTIF(AM546:AO546,"*OK*")*2) + COUNTIF(AP546:AR546,"*OK*")+COUNTIF(AZ546:AZ546,"SI")*0.5</f>
        <v>0</v>
      </c>
      <c r="BB546" s="160" t="str">
        <f>IF(BA546&lt;0.6,"Demasiado Riesgo",IF(BA546&lt;=5,"Riesgo Medio",IF(BA546&lt;=11,"Riesgo Bajo","Cliente Blindado")))</f>
        <v>Demasiado Riesgo</v>
      </c>
      <c r="BC546" s="160"/>
      <c r="BD546" s="160"/>
      <c r="BE546" s="160"/>
      <c r="BF546" s="160"/>
      <c r="BG546" s="160"/>
      <c r="BH546" s="160"/>
      <c r="BI546" s="160"/>
      <c r="BJ546" s="160"/>
      <c r="BK546" s="160"/>
      <c r="BL546" s="160"/>
      <c r="BM546" s="160"/>
      <c r="BN546" s="160"/>
      <c r="BO546" s="160"/>
      <c r="BP546" s="160"/>
      <c r="BQ546" s="160"/>
      <c r="BR546" s="160"/>
      <c r="BS546" s="160"/>
      <c r="BT546" s="160"/>
      <c r="BU546" s="160"/>
      <c r="BV546" s="160"/>
      <c r="BW546" s="160"/>
      <c r="BX546" s="160"/>
      <c r="BY546" s="160"/>
      <c r="BZ546" s="160"/>
      <c r="CA546" s="160">
        <f>COUNTIF(AJ546:AX546,"*OK*")</f>
        <v>0</v>
      </c>
    </row>
    <row r="547" spans="1:79" ht="15" customHeight="1">
      <c r="A547" s="240"/>
      <c r="B547" s="171"/>
      <c r="C547" s="471"/>
      <c r="D547" s="171">
        <f>COUNTIF(AN547:AY547,"OK")</f>
        <v>0</v>
      </c>
      <c r="E547" s="171"/>
      <c r="F547" s="171"/>
      <c r="G547" s="171"/>
      <c r="H547" s="179"/>
      <c r="I547" s="179"/>
      <c r="J547" s="171"/>
      <c r="K547" s="236"/>
      <c r="L547" s="171"/>
      <c r="M547" s="171"/>
      <c r="N547" s="171"/>
      <c r="O547" s="242"/>
      <c r="P547" s="237"/>
      <c r="Q547" s="237"/>
      <c r="R547" s="238"/>
      <c r="S547" s="463"/>
      <c r="T547" s="565"/>
      <c r="U547" s="240"/>
      <c r="V547" s="174" t="s">
        <v>59</v>
      </c>
      <c r="W547" s="171"/>
      <c r="X547" s="177"/>
      <c r="Y547" s="177"/>
      <c r="Z547" s="178"/>
      <c r="AA547" s="174" t="s">
        <v>59</v>
      </c>
      <c r="AB547" s="178"/>
      <c r="AC547" s="179"/>
      <c r="AD547" s="171"/>
      <c r="AE547" s="171"/>
      <c r="AF547" s="171"/>
      <c r="AG547" s="171"/>
      <c r="AH547" s="171"/>
      <c r="AI547" s="171"/>
      <c r="AZ547" s="171"/>
      <c r="BA547" s="171">
        <f>(COUNTIF(AJ547:AL547,"*OK*")*3) + (COUNTIF(AM547:AO547,"*OK*")*2) + COUNTIF(AP547:AR547,"*OK*")+COUNTIF(AZ547:AZ547,"SI")*0.5</f>
        <v>0</v>
      </c>
      <c r="BB547" s="171" t="str">
        <f>IF(BA547&lt;0.6,"Demasiado Riesgo",IF(BA547&lt;=5,"Riesgo Medio",IF(BA547&lt;=11,"Riesgo Bajo","Cliente Blindado")))</f>
        <v>Demasiado Riesgo</v>
      </c>
      <c r="BC547" s="171"/>
      <c r="BD547" s="171"/>
      <c r="BE547" s="171"/>
      <c r="BF547" s="171"/>
      <c r="BG547" s="171"/>
      <c r="BH547" s="171"/>
      <c r="BI547" s="171"/>
      <c r="BJ547" s="171"/>
      <c r="BK547" s="171"/>
      <c r="BL547" s="171"/>
      <c r="BM547" s="171"/>
      <c r="BN547" s="171"/>
      <c r="BO547" s="171"/>
      <c r="BP547" s="171"/>
      <c r="BQ547" s="171"/>
      <c r="BR547" s="171"/>
      <c r="BS547" s="171"/>
      <c r="BT547" s="171"/>
      <c r="BU547" s="171"/>
      <c r="BV547" s="171"/>
      <c r="BW547" s="171"/>
      <c r="BX547" s="171"/>
      <c r="BY547" s="171"/>
      <c r="BZ547" s="171"/>
      <c r="CA547" s="171">
        <f>COUNTIF(AJ547:AX547,"*OK*")</f>
        <v>0</v>
      </c>
    </row>
    <row r="548" spans="1:79" ht="15" customHeight="1">
      <c r="A548" s="241"/>
      <c r="B548" s="160"/>
      <c r="C548" s="472"/>
      <c r="D548" s="160">
        <f>COUNTIF(AN548:AY548,"OK")</f>
        <v>0</v>
      </c>
      <c r="E548" s="160"/>
      <c r="F548" s="160"/>
      <c r="G548" s="160"/>
      <c r="H548" s="168"/>
      <c r="I548" s="168"/>
      <c r="J548" s="160"/>
      <c r="K548" s="220"/>
      <c r="L548" s="160"/>
      <c r="M548" s="160"/>
      <c r="N548" s="160"/>
      <c r="O548" s="243"/>
      <c r="P548" s="223"/>
      <c r="Q548" s="223"/>
      <c r="R548" s="239"/>
      <c r="S548" s="462"/>
      <c r="T548" s="564"/>
      <c r="U548" s="241"/>
      <c r="V548" s="163" t="s">
        <v>59</v>
      </c>
      <c r="W548" s="160"/>
      <c r="X548" s="166"/>
      <c r="Y548" s="166"/>
      <c r="Z548" s="167"/>
      <c r="AA548" s="163" t="s">
        <v>59</v>
      </c>
      <c r="AB548" s="167"/>
      <c r="AC548" s="168"/>
      <c r="AD548" s="160"/>
      <c r="AE548" s="160"/>
      <c r="AF548" s="160"/>
      <c r="AG548" s="160"/>
      <c r="AH548" s="160"/>
      <c r="AI548" s="160"/>
      <c r="AZ548" s="160"/>
      <c r="BA548" s="160">
        <f>(COUNTIF(AJ548:AL548,"*OK*")*3) + (COUNTIF(AM548:AO548,"*OK*")*2) + COUNTIF(AP548:AR548,"*OK*")+COUNTIF(AZ548:AZ548,"SI")*0.5</f>
        <v>0</v>
      </c>
      <c r="BB548" s="160" t="str">
        <f>IF(BA548&lt;0.6,"Demasiado Riesgo",IF(BA548&lt;=5,"Riesgo Medio",IF(BA548&lt;=11,"Riesgo Bajo","Cliente Blindado")))</f>
        <v>Demasiado Riesgo</v>
      </c>
      <c r="BC548" s="160"/>
      <c r="BD548" s="160"/>
      <c r="BE548" s="160"/>
      <c r="BF548" s="160"/>
      <c r="BG548" s="160"/>
      <c r="BH548" s="160"/>
      <c r="BI548" s="160"/>
      <c r="BJ548" s="160"/>
      <c r="BK548" s="160"/>
      <c r="BL548" s="160"/>
      <c r="BM548" s="160"/>
      <c r="BN548" s="160"/>
      <c r="BO548" s="160"/>
      <c r="BP548" s="160"/>
      <c r="BQ548" s="160"/>
      <c r="BR548" s="160"/>
      <c r="BS548" s="160"/>
      <c r="BT548" s="160"/>
      <c r="BU548" s="160"/>
      <c r="BV548" s="160"/>
      <c r="BW548" s="160"/>
      <c r="BX548" s="160"/>
      <c r="BY548" s="160"/>
      <c r="BZ548" s="160"/>
      <c r="CA548" s="160">
        <f>COUNTIF(AJ548:AX548,"*OK*")</f>
        <v>0</v>
      </c>
    </row>
    <row r="549" spans="1:79" ht="15" customHeight="1">
      <c r="A549" s="240"/>
      <c r="B549" s="171"/>
      <c r="C549" s="471"/>
      <c r="D549" s="171">
        <f>COUNTIF(AN549:AY549,"OK")</f>
        <v>0</v>
      </c>
      <c r="E549" s="171"/>
      <c r="F549" s="171"/>
      <c r="G549" s="171"/>
      <c r="H549" s="179"/>
      <c r="I549" s="179"/>
      <c r="J549" s="171"/>
      <c r="K549" s="236"/>
      <c r="L549" s="171"/>
      <c r="M549" s="171"/>
      <c r="N549" s="171"/>
      <c r="O549" s="242"/>
      <c r="P549" s="237"/>
      <c r="Q549" s="237"/>
      <c r="R549" s="238"/>
      <c r="S549" s="463"/>
      <c r="T549" s="565"/>
      <c r="U549" s="240"/>
      <c r="V549" s="174" t="s">
        <v>59</v>
      </c>
      <c r="W549" s="171"/>
      <c r="X549" s="177"/>
      <c r="Y549" s="177"/>
      <c r="Z549" s="178"/>
      <c r="AA549" s="174" t="s">
        <v>59</v>
      </c>
      <c r="AB549" s="178"/>
      <c r="AC549" s="179"/>
      <c r="AD549" s="171"/>
      <c r="AE549" s="171"/>
      <c r="AF549" s="171"/>
      <c r="AG549" s="171"/>
      <c r="AH549" s="171"/>
      <c r="AI549" s="171"/>
      <c r="AZ549" s="171"/>
      <c r="BA549" s="171">
        <f>(COUNTIF(AJ549:AL549,"*OK*")*3) + (COUNTIF(AM549:AO549,"*OK*")*2) + COUNTIF(AP549:AR549,"*OK*")+COUNTIF(AZ549:AZ549,"SI")*0.5</f>
        <v>0</v>
      </c>
      <c r="BB549" s="171" t="str">
        <f>IF(BA549&lt;0.6,"Demasiado Riesgo",IF(BA549&lt;=5,"Riesgo Medio",IF(BA549&lt;=11,"Riesgo Bajo","Cliente Blindado")))</f>
        <v>Demasiado Riesgo</v>
      </c>
      <c r="BC549" s="171"/>
      <c r="BD549" s="171"/>
      <c r="BE549" s="171"/>
      <c r="BF549" s="171"/>
      <c r="BG549" s="171"/>
      <c r="BH549" s="171"/>
      <c r="BI549" s="171"/>
      <c r="BJ549" s="171"/>
      <c r="BK549" s="171"/>
      <c r="BL549" s="171"/>
      <c r="BM549" s="171"/>
      <c r="BN549" s="171"/>
      <c r="BO549" s="171"/>
      <c r="BP549" s="171"/>
      <c r="BQ549" s="171"/>
      <c r="BR549" s="171"/>
      <c r="BS549" s="171"/>
      <c r="BT549" s="171"/>
      <c r="BU549" s="171"/>
      <c r="BV549" s="171"/>
      <c r="BW549" s="171"/>
      <c r="BX549" s="171"/>
      <c r="BY549" s="171"/>
      <c r="BZ549" s="171"/>
      <c r="CA549" s="171">
        <f>COUNTIF(AJ549:AX549,"*OK*")</f>
        <v>0</v>
      </c>
    </row>
    <row r="550" spans="1:79" ht="15" customHeight="1">
      <c r="A550" s="241"/>
      <c r="B550" s="160"/>
      <c r="C550" s="472"/>
      <c r="D550" s="160">
        <f>COUNTIF(AN550:AY550,"OK")</f>
        <v>0</v>
      </c>
      <c r="E550" s="160"/>
      <c r="F550" s="160"/>
      <c r="G550" s="160"/>
      <c r="H550" s="168"/>
      <c r="I550" s="168"/>
      <c r="J550" s="160"/>
      <c r="K550" s="220"/>
      <c r="L550" s="160"/>
      <c r="M550" s="160"/>
      <c r="N550" s="160"/>
      <c r="O550" s="243"/>
      <c r="P550" s="223"/>
      <c r="Q550" s="223"/>
      <c r="R550" s="239"/>
      <c r="S550" s="462"/>
      <c r="T550" s="564"/>
      <c r="U550" s="241"/>
      <c r="V550" s="163" t="s">
        <v>59</v>
      </c>
      <c r="W550" s="160"/>
      <c r="X550" s="166"/>
      <c r="Y550" s="166"/>
      <c r="Z550" s="167"/>
      <c r="AA550" s="163" t="s">
        <v>59</v>
      </c>
      <c r="AB550" s="167"/>
      <c r="AC550" s="168"/>
      <c r="AD550" s="160"/>
      <c r="AE550" s="160"/>
      <c r="AF550" s="160"/>
      <c r="AG550" s="160"/>
      <c r="AH550" s="160"/>
      <c r="AI550" s="160"/>
      <c r="AZ550" s="160"/>
      <c r="BA550" s="160">
        <f>(COUNTIF(AJ550:AL550,"*OK*")*3) + (COUNTIF(AM550:AO550,"*OK*")*2) + COUNTIF(AP550:AR550,"*OK*")+COUNTIF(AZ550:AZ550,"SI")*0.5</f>
        <v>0</v>
      </c>
      <c r="BB550" s="160" t="str">
        <f>IF(BA550&lt;0.6,"Demasiado Riesgo",IF(BA550&lt;=5,"Riesgo Medio",IF(BA550&lt;=11,"Riesgo Bajo","Cliente Blindado")))</f>
        <v>Demasiado Riesgo</v>
      </c>
      <c r="BC550" s="160"/>
      <c r="BD550" s="160"/>
      <c r="BE550" s="160"/>
      <c r="BF550" s="160"/>
      <c r="BG550" s="160"/>
      <c r="BH550" s="160"/>
      <c r="BI550" s="160"/>
      <c r="BJ550" s="160"/>
      <c r="BK550" s="160"/>
      <c r="BL550" s="160"/>
      <c r="BM550" s="160"/>
      <c r="BN550" s="160"/>
      <c r="BO550" s="160"/>
      <c r="BP550" s="160"/>
      <c r="BQ550" s="160"/>
      <c r="BR550" s="160"/>
      <c r="BS550" s="160"/>
      <c r="BT550" s="160"/>
      <c r="BU550" s="160"/>
      <c r="BV550" s="160"/>
      <c r="BW550" s="160"/>
      <c r="BX550" s="160"/>
      <c r="BY550" s="160"/>
      <c r="BZ550" s="160"/>
      <c r="CA550" s="160">
        <f>COUNTIF(AJ550:AX550,"*OK*")</f>
        <v>0</v>
      </c>
    </row>
    <row r="551" spans="1:79" ht="15" customHeight="1">
      <c r="A551" s="240"/>
      <c r="B551" s="171"/>
      <c r="C551" s="471"/>
      <c r="D551" s="171">
        <f>COUNTIF(AN551:AY551,"OK")</f>
        <v>0</v>
      </c>
      <c r="E551" s="171"/>
      <c r="F551" s="171"/>
      <c r="G551" s="171"/>
      <c r="H551" s="179"/>
      <c r="I551" s="179"/>
      <c r="J551" s="171"/>
      <c r="K551" s="236"/>
      <c r="L551" s="171"/>
      <c r="M551" s="171"/>
      <c r="N551" s="171"/>
      <c r="O551" s="242"/>
      <c r="P551" s="237"/>
      <c r="Q551" s="237"/>
      <c r="R551" s="238"/>
      <c r="S551" s="463"/>
      <c r="T551" s="565"/>
      <c r="U551" s="240"/>
      <c r="V551" s="174" t="s">
        <v>59</v>
      </c>
      <c r="W551" s="171"/>
      <c r="X551" s="177"/>
      <c r="Y551" s="177"/>
      <c r="Z551" s="178"/>
      <c r="AA551" s="174" t="s">
        <v>59</v>
      </c>
      <c r="AB551" s="178"/>
      <c r="AC551" s="179"/>
      <c r="AD551" s="171"/>
      <c r="AE551" s="171"/>
      <c r="AF551" s="171"/>
      <c r="AG551" s="171"/>
      <c r="AH551" s="171"/>
      <c r="AI551" s="171"/>
      <c r="AZ551" s="171"/>
      <c r="BA551" s="171">
        <f>(COUNTIF(AJ551:AL551,"*OK*")*3) + (COUNTIF(AM551:AO551,"*OK*")*2) + COUNTIF(AP551:AR551,"*OK*")+COUNTIF(AZ551:AZ551,"SI")*0.5</f>
        <v>0</v>
      </c>
      <c r="BB551" s="171" t="str">
        <f>IF(BA551&lt;0.6,"Demasiado Riesgo",IF(BA551&lt;=5,"Riesgo Medio",IF(BA551&lt;=11,"Riesgo Bajo","Cliente Blindado")))</f>
        <v>Demasiado Riesgo</v>
      </c>
      <c r="BC551" s="171"/>
      <c r="BD551" s="171"/>
      <c r="BE551" s="171"/>
      <c r="BF551" s="171"/>
      <c r="BG551" s="171"/>
      <c r="BH551" s="171"/>
      <c r="BI551" s="171"/>
      <c r="BJ551" s="171"/>
      <c r="BK551" s="171"/>
      <c r="BL551" s="171"/>
      <c r="BM551" s="171"/>
      <c r="BN551" s="171"/>
      <c r="BO551" s="171"/>
      <c r="BP551" s="171"/>
      <c r="BQ551" s="171"/>
      <c r="BR551" s="171"/>
      <c r="BS551" s="171"/>
      <c r="BT551" s="171"/>
      <c r="BU551" s="171"/>
      <c r="BV551" s="171"/>
      <c r="BW551" s="171"/>
      <c r="BX551" s="171"/>
      <c r="BY551" s="171"/>
      <c r="BZ551" s="171"/>
      <c r="CA551" s="171">
        <f>COUNTIF(AJ551:AX551,"*OK*")</f>
        <v>0</v>
      </c>
    </row>
    <row r="552" spans="1:79" ht="15" customHeight="1">
      <c r="A552" s="241"/>
      <c r="B552" s="160"/>
      <c r="C552" s="472"/>
      <c r="D552" s="160">
        <f>COUNTIF(AN552:AY552,"OK")</f>
        <v>0</v>
      </c>
      <c r="E552" s="160"/>
      <c r="F552" s="160"/>
      <c r="G552" s="160"/>
      <c r="H552" s="168"/>
      <c r="I552" s="168"/>
      <c r="J552" s="160"/>
      <c r="K552" s="220"/>
      <c r="L552" s="160"/>
      <c r="M552" s="160"/>
      <c r="N552" s="160"/>
      <c r="O552" s="243"/>
      <c r="P552" s="223"/>
      <c r="Q552" s="223"/>
      <c r="R552" s="239"/>
      <c r="S552" s="462"/>
      <c r="T552" s="564"/>
      <c r="U552" s="241"/>
      <c r="V552" s="163" t="s">
        <v>59</v>
      </c>
      <c r="W552" s="160"/>
      <c r="X552" s="166"/>
      <c r="Y552" s="166"/>
      <c r="Z552" s="167"/>
      <c r="AA552" s="163" t="s">
        <v>59</v>
      </c>
      <c r="AB552" s="167"/>
      <c r="AC552" s="168"/>
      <c r="AD552" s="160"/>
      <c r="AE552" s="160"/>
      <c r="AF552" s="160"/>
      <c r="AG552" s="160"/>
      <c r="AH552" s="160"/>
      <c r="AI552" s="160"/>
      <c r="AZ552" s="160"/>
      <c r="BA552" s="160">
        <f>(COUNTIF(AJ552:AL552,"*OK*")*3) + (COUNTIF(AM552:AO552,"*OK*")*2) + COUNTIF(AP552:AR552,"*OK*")+COUNTIF(AZ552:AZ552,"SI")*0.5</f>
        <v>0</v>
      </c>
      <c r="BB552" s="160" t="str">
        <f>IF(BA552&lt;0.6,"Demasiado Riesgo",IF(BA552&lt;=5,"Riesgo Medio",IF(BA552&lt;=11,"Riesgo Bajo","Cliente Blindado")))</f>
        <v>Demasiado Riesgo</v>
      </c>
      <c r="BC552" s="160"/>
      <c r="BD552" s="160"/>
      <c r="BE552" s="160"/>
      <c r="BF552" s="160"/>
      <c r="BG552" s="160"/>
      <c r="BH552" s="160"/>
      <c r="BI552" s="160"/>
      <c r="BJ552" s="160"/>
      <c r="BK552" s="160"/>
      <c r="BL552" s="160"/>
      <c r="BM552" s="160"/>
      <c r="BN552" s="160"/>
      <c r="BO552" s="160"/>
      <c r="BP552" s="160"/>
      <c r="BQ552" s="160"/>
      <c r="BR552" s="160"/>
      <c r="BS552" s="160"/>
      <c r="BT552" s="160"/>
      <c r="BU552" s="160"/>
      <c r="BV552" s="160"/>
      <c r="BW552" s="160"/>
      <c r="BX552" s="160"/>
      <c r="BY552" s="160"/>
      <c r="BZ552" s="160"/>
      <c r="CA552" s="160">
        <f>COUNTIF(AJ552:AX552,"*OK*")</f>
        <v>0</v>
      </c>
    </row>
    <row r="553" spans="1:79" ht="15" customHeight="1">
      <c r="A553" s="240"/>
      <c r="B553" s="171"/>
      <c r="C553" s="471"/>
      <c r="D553" s="171">
        <f>COUNTIF(AN553:AY553,"OK")</f>
        <v>0</v>
      </c>
      <c r="E553" s="171"/>
      <c r="F553" s="171"/>
      <c r="G553" s="171"/>
      <c r="H553" s="179"/>
      <c r="I553" s="179"/>
      <c r="J553" s="171"/>
      <c r="K553" s="236"/>
      <c r="L553" s="171"/>
      <c r="M553" s="171"/>
      <c r="N553" s="171"/>
      <c r="O553" s="242"/>
      <c r="P553" s="237"/>
      <c r="Q553" s="237"/>
      <c r="R553" s="238"/>
      <c r="S553" s="463"/>
      <c r="T553" s="565"/>
      <c r="U553" s="240"/>
      <c r="V553" s="174" t="s">
        <v>59</v>
      </c>
      <c r="W553" s="171"/>
      <c r="X553" s="177"/>
      <c r="Y553" s="177"/>
      <c r="Z553" s="178"/>
      <c r="AA553" s="174" t="s">
        <v>59</v>
      </c>
      <c r="AB553" s="178"/>
      <c r="AC553" s="179"/>
      <c r="AD553" s="171"/>
      <c r="AE553" s="171"/>
      <c r="AF553" s="171"/>
      <c r="AG553" s="171"/>
      <c r="AH553" s="171"/>
      <c r="AI553" s="171"/>
      <c r="AZ553" s="171"/>
      <c r="BA553" s="171">
        <f>(COUNTIF(AJ553:AL553,"*OK*")*3) + (COUNTIF(AM553:AO553,"*OK*")*2) + COUNTIF(AP553:AR553,"*OK*")+COUNTIF(AZ553:AZ553,"SI")*0.5</f>
        <v>0</v>
      </c>
      <c r="BB553" s="171" t="str">
        <f>IF(BA553&lt;0.6,"Demasiado Riesgo",IF(BA553&lt;=5,"Riesgo Medio",IF(BA553&lt;=11,"Riesgo Bajo","Cliente Blindado")))</f>
        <v>Demasiado Riesgo</v>
      </c>
      <c r="BC553" s="171"/>
      <c r="BD553" s="171"/>
      <c r="BE553" s="171"/>
      <c r="BF553" s="171"/>
      <c r="BG553" s="171"/>
      <c r="BH553" s="171"/>
      <c r="BI553" s="171"/>
      <c r="BJ553" s="171"/>
      <c r="BK553" s="171"/>
      <c r="BL553" s="171"/>
      <c r="BM553" s="171"/>
      <c r="BN553" s="171"/>
      <c r="BO553" s="171"/>
      <c r="BP553" s="171"/>
      <c r="BQ553" s="171"/>
      <c r="BR553" s="171"/>
      <c r="BS553" s="171"/>
      <c r="BT553" s="171"/>
      <c r="BU553" s="171"/>
      <c r="BV553" s="171"/>
      <c r="BW553" s="171"/>
      <c r="BX553" s="171"/>
      <c r="BY553" s="171"/>
      <c r="BZ553" s="171"/>
      <c r="CA553" s="171">
        <f>COUNTIF(AJ553:AX553,"*OK*")</f>
        <v>0</v>
      </c>
    </row>
    <row r="554" spans="1:79" ht="15" customHeight="1">
      <c r="A554" s="241"/>
      <c r="B554" s="160"/>
      <c r="C554" s="472"/>
      <c r="D554" s="160">
        <f>COUNTIF(AN554:AY554,"OK")</f>
        <v>0</v>
      </c>
      <c r="E554" s="160"/>
      <c r="F554" s="160"/>
      <c r="G554" s="160"/>
      <c r="H554" s="168"/>
      <c r="I554" s="168"/>
      <c r="J554" s="160"/>
      <c r="K554" s="220"/>
      <c r="L554" s="160"/>
      <c r="M554" s="160"/>
      <c r="N554" s="160"/>
      <c r="O554" s="243"/>
      <c r="P554" s="223"/>
      <c r="Q554" s="223"/>
      <c r="R554" s="239"/>
      <c r="S554" s="462"/>
      <c r="T554" s="564"/>
      <c r="U554" s="241"/>
      <c r="V554" s="163" t="s">
        <v>59</v>
      </c>
      <c r="W554" s="160"/>
      <c r="X554" s="166"/>
      <c r="Y554" s="166"/>
      <c r="Z554" s="167"/>
      <c r="AA554" s="163" t="s">
        <v>59</v>
      </c>
      <c r="AB554" s="167"/>
      <c r="AC554" s="168"/>
      <c r="AD554" s="160"/>
      <c r="AE554" s="160"/>
      <c r="AF554" s="160"/>
      <c r="AG554" s="160"/>
      <c r="AH554" s="160"/>
      <c r="AI554" s="160"/>
      <c r="AZ554" s="160"/>
      <c r="BA554" s="160">
        <f>(COUNTIF(AJ554:AL554,"*OK*")*3) + (COUNTIF(AM554:AO554,"*OK*")*2) + COUNTIF(AP554:AR554,"*OK*")+COUNTIF(AZ554:AZ554,"SI")*0.5</f>
        <v>0</v>
      </c>
      <c r="BB554" s="160" t="str">
        <f>IF(BA554&lt;0.6,"Demasiado Riesgo",IF(BA554&lt;=5,"Riesgo Medio",IF(BA554&lt;=11,"Riesgo Bajo","Cliente Blindado")))</f>
        <v>Demasiado Riesgo</v>
      </c>
      <c r="BC554" s="160"/>
      <c r="BD554" s="160"/>
      <c r="BE554" s="160"/>
      <c r="BF554" s="160"/>
      <c r="BG554" s="160"/>
      <c r="BH554" s="160"/>
      <c r="BI554" s="160"/>
      <c r="BJ554" s="160"/>
      <c r="BK554" s="160"/>
      <c r="BL554" s="160"/>
      <c r="BM554" s="160"/>
      <c r="BN554" s="160"/>
      <c r="BO554" s="160"/>
      <c r="BP554" s="160"/>
      <c r="BQ554" s="160"/>
      <c r="BR554" s="160"/>
      <c r="BS554" s="160"/>
      <c r="BT554" s="160"/>
      <c r="BU554" s="160"/>
      <c r="BV554" s="160"/>
      <c r="BW554" s="160"/>
      <c r="BX554" s="160"/>
      <c r="BY554" s="160"/>
      <c r="BZ554" s="160"/>
      <c r="CA554" s="160">
        <f>COUNTIF(AJ554:AX554,"*OK*")</f>
        <v>0</v>
      </c>
    </row>
    <row r="555" spans="1:79" ht="15" customHeight="1">
      <c r="A555" s="240"/>
      <c r="B555" s="171"/>
      <c r="C555" s="471"/>
      <c r="D555" s="171">
        <f>COUNTIF(AN555:AY555,"OK")</f>
        <v>0</v>
      </c>
      <c r="E555" s="171"/>
      <c r="F555" s="171"/>
      <c r="G555" s="171"/>
      <c r="H555" s="179"/>
      <c r="I555" s="179"/>
      <c r="J555" s="171"/>
      <c r="K555" s="236"/>
      <c r="L555" s="171"/>
      <c r="M555" s="171"/>
      <c r="N555" s="171"/>
      <c r="O555" s="242"/>
      <c r="P555" s="237"/>
      <c r="Q555" s="237"/>
      <c r="R555" s="238"/>
      <c r="S555" s="463"/>
      <c r="T555" s="565"/>
      <c r="U555" s="240"/>
      <c r="V555" s="174" t="s">
        <v>59</v>
      </c>
      <c r="W555" s="171"/>
      <c r="X555" s="177"/>
      <c r="Y555" s="177"/>
      <c r="Z555" s="178"/>
      <c r="AA555" s="174" t="s">
        <v>59</v>
      </c>
      <c r="AB555" s="178"/>
      <c r="AC555" s="179"/>
      <c r="AD555" s="171"/>
      <c r="AE555" s="171"/>
      <c r="AF555" s="171"/>
      <c r="AG555" s="171"/>
      <c r="AH555" s="171"/>
      <c r="AI555" s="171"/>
      <c r="AZ555" s="171"/>
      <c r="BA555" s="171">
        <f>(COUNTIF(AJ555:AL555,"*OK*")*3) + (COUNTIF(AM555:AO555,"*OK*")*2) + COUNTIF(AP555:AR555,"*OK*")+COUNTIF(AZ555:AZ555,"SI")*0.5</f>
        <v>0</v>
      </c>
      <c r="BB555" s="171" t="str">
        <f>IF(BA555&lt;0.6,"Demasiado Riesgo",IF(BA555&lt;=5,"Riesgo Medio",IF(BA555&lt;=11,"Riesgo Bajo","Cliente Blindado")))</f>
        <v>Demasiado Riesgo</v>
      </c>
      <c r="BC555" s="171"/>
      <c r="BD555" s="171"/>
      <c r="BE555" s="171"/>
      <c r="BF555" s="171"/>
      <c r="BG555" s="171"/>
      <c r="BH555" s="171"/>
      <c r="BI555" s="171"/>
      <c r="BJ555" s="171"/>
      <c r="BK555" s="171"/>
      <c r="BL555" s="171"/>
      <c r="BM555" s="171"/>
      <c r="BN555" s="171"/>
      <c r="BO555" s="171"/>
      <c r="BP555" s="171"/>
      <c r="BQ555" s="171"/>
      <c r="BR555" s="171"/>
      <c r="BS555" s="171"/>
      <c r="BT555" s="171"/>
      <c r="BU555" s="171"/>
      <c r="BV555" s="171"/>
      <c r="BW555" s="171"/>
      <c r="BX555" s="171"/>
      <c r="BY555" s="171"/>
      <c r="BZ555" s="171"/>
      <c r="CA555" s="171">
        <f>COUNTIF(AJ555:AX555,"*OK*")</f>
        <v>0</v>
      </c>
    </row>
    <row r="556" spans="1:79" ht="15" customHeight="1">
      <c r="A556" s="241"/>
      <c r="B556" s="160"/>
      <c r="C556" s="472"/>
      <c r="D556" s="160">
        <f>COUNTIF(AN556:AY556,"OK")</f>
        <v>0</v>
      </c>
      <c r="E556" s="160"/>
      <c r="F556" s="160"/>
      <c r="G556" s="160"/>
      <c r="H556" s="168"/>
      <c r="I556" s="168"/>
      <c r="J556" s="160"/>
      <c r="K556" s="220"/>
      <c r="L556" s="160"/>
      <c r="M556" s="160"/>
      <c r="N556" s="160"/>
      <c r="O556" s="243"/>
      <c r="P556" s="223"/>
      <c r="Q556" s="223"/>
      <c r="R556" s="239"/>
      <c r="S556" s="462"/>
      <c r="T556" s="564"/>
      <c r="U556" s="241"/>
      <c r="V556" s="163" t="s">
        <v>59</v>
      </c>
      <c r="W556" s="160"/>
      <c r="X556" s="166"/>
      <c r="Y556" s="166"/>
      <c r="Z556" s="167"/>
      <c r="AA556" s="163" t="s">
        <v>59</v>
      </c>
      <c r="AB556" s="167"/>
      <c r="AC556" s="168"/>
      <c r="AD556" s="160"/>
      <c r="AE556" s="160"/>
      <c r="AF556" s="160"/>
      <c r="AG556" s="160"/>
      <c r="AH556" s="160"/>
      <c r="AI556" s="160"/>
      <c r="AZ556" s="160"/>
      <c r="BA556" s="160">
        <f>(COUNTIF(AJ556:AL556,"*OK*")*3) + (COUNTIF(AM556:AO556,"*OK*")*2) + COUNTIF(AP556:AR556,"*OK*")+COUNTIF(AZ556:AZ556,"SI")*0.5</f>
        <v>0</v>
      </c>
      <c r="BB556" s="160" t="str">
        <f>IF(BA556&lt;0.6,"Demasiado Riesgo",IF(BA556&lt;=5,"Riesgo Medio",IF(BA556&lt;=11,"Riesgo Bajo","Cliente Blindado")))</f>
        <v>Demasiado Riesgo</v>
      </c>
      <c r="BC556" s="160"/>
      <c r="BD556" s="160"/>
      <c r="BE556" s="160"/>
      <c r="BF556" s="160"/>
      <c r="BG556" s="160"/>
      <c r="BH556" s="160"/>
      <c r="BI556" s="160"/>
      <c r="BJ556" s="160"/>
      <c r="BK556" s="160"/>
      <c r="BL556" s="160"/>
      <c r="BM556" s="160"/>
      <c r="BN556" s="160"/>
      <c r="BO556" s="160"/>
      <c r="BP556" s="160"/>
      <c r="BQ556" s="160"/>
      <c r="BR556" s="160"/>
      <c r="BS556" s="160"/>
      <c r="BT556" s="160"/>
      <c r="BU556" s="160"/>
      <c r="BV556" s="160"/>
      <c r="BW556" s="160"/>
      <c r="BX556" s="160"/>
      <c r="BY556" s="160"/>
      <c r="BZ556" s="160"/>
      <c r="CA556" s="160">
        <f>COUNTIF(AJ556:AX556,"*OK*")</f>
        <v>0</v>
      </c>
    </row>
    <row r="557" spans="1:79" ht="15" customHeight="1">
      <c r="A557" s="240"/>
      <c r="B557" s="171"/>
      <c r="C557" s="471"/>
      <c r="D557" s="171">
        <f>COUNTIF(AN557:AY557,"OK")</f>
        <v>0</v>
      </c>
      <c r="E557" s="171"/>
      <c r="F557" s="171"/>
      <c r="G557" s="171"/>
      <c r="H557" s="179"/>
      <c r="I557" s="179"/>
      <c r="J557" s="171"/>
      <c r="K557" s="236"/>
      <c r="L557" s="171"/>
      <c r="M557" s="171"/>
      <c r="N557" s="171"/>
      <c r="O557" s="242"/>
      <c r="P557" s="237"/>
      <c r="Q557" s="237"/>
      <c r="R557" s="238"/>
      <c r="S557" s="463"/>
      <c r="T557" s="565"/>
      <c r="U557" s="240"/>
      <c r="V557" s="174" t="s">
        <v>59</v>
      </c>
      <c r="W557" s="171"/>
      <c r="X557" s="177"/>
      <c r="Y557" s="177"/>
      <c r="Z557" s="178"/>
      <c r="AA557" s="174" t="s">
        <v>59</v>
      </c>
      <c r="AB557" s="178"/>
      <c r="AC557" s="179"/>
      <c r="AD557" s="171"/>
      <c r="AE557" s="171"/>
      <c r="AF557" s="171"/>
      <c r="AG557" s="171"/>
      <c r="AH557" s="171"/>
      <c r="AI557" s="171"/>
      <c r="AZ557" s="171"/>
      <c r="BA557" s="171">
        <f>(COUNTIF(AJ557:AL557,"*OK*")*3) + (COUNTIF(AM557:AO557,"*OK*")*2) + COUNTIF(AP557:AR557,"*OK*")+COUNTIF(AZ557:AZ557,"SI")*0.5</f>
        <v>0</v>
      </c>
      <c r="BB557" s="171" t="str">
        <f>IF(BA557&lt;0.6,"Demasiado Riesgo",IF(BA557&lt;=5,"Riesgo Medio",IF(BA557&lt;=11,"Riesgo Bajo","Cliente Blindado")))</f>
        <v>Demasiado Riesgo</v>
      </c>
      <c r="BC557" s="171"/>
      <c r="BD557" s="171"/>
      <c r="BE557" s="171"/>
      <c r="BF557" s="171"/>
      <c r="BG557" s="171"/>
      <c r="BH557" s="171"/>
      <c r="BI557" s="171"/>
      <c r="BJ557" s="171"/>
      <c r="BK557" s="171"/>
      <c r="BL557" s="171"/>
      <c r="BM557" s="171"/>
      <c r="BN557" s="171"/>
      <c r="BO557" s="171"/>
      <c r="BP557" s="171"/>
      <c r="BQ557" s="171"/>
      <c r="BR557" s="171"/>
      <c r="BS557" s="171"/>
      <c r="BT557" s="171"/>
      <c r="BU557" s="171"/>
      <c r="BV557" s="171"/>
      <c r="BW557" s="171"/>
      <c r="BX557" s="171"/>
      <c r="BY557" s="171"/>
      <c r="BZ557" s="171"/>
      <c r="CA557" s="171">
        <f>COUNTIF(AJ557:AX557,"*OK*")</f>
        <v>0</v>
      </c>
    </row>
    <row r="558" spans="1:79" ht="15" customHeight="1">
      <c r="A558" s="241"/>
      <c r="B558" s="160"/>
      <c r="C558" s="472"/>
      <c r="D558" s="160">
        <f>COUNTIF(AN558:AY558,"OK")</f>
        <v>0</v>
      </c>
      <c r="E558" s="160"/>
      <c r="F558" s="160"/>
      <c r="G558" s="160"/>
      <c r="H558" s="168"/>
      <c r="I558" s="168"/>
      <c r="J558" s="160"/>
      <c r="K558" s="220"/>
      <c r="L558" s="160"/>
      <c r="M558" s="160"/>
      <c r="N558" s="160"/>
      <c r="O558" s="243"/>
      <c r="P558" s="223"/>
      <c r="Q558" s="223"/>
      <c r="R558" s="239"/>
      <c r="S558" s="462"/>
      <c r="T558" s="564"/>
      <c r="U558" s="241"/>
      <c r="V558" s="163" t="s">
        <v>59</v>
      </c>
      <c r="W558" s="160"/>
      <c r="X558" s="166"/>
      <c r="Y558" s="166"/>
      <c r="Z558" s="167"/>
      <c r="AA558" s="163" t="s">
        <v>59</v>
      </c>
      <c r="AB558" s="167"/>
      <c r="AC558" s="168"/>
      <c r="AD558" s="160"/>
      <c r="AE558" s="160"/>
      <c r="AF558" s="160"/>
      <c r="AG558" s="160"/>
      <c r="AH558" s="160"/>
      <c r="AI558" s="160"/>
      <c r="AZ558" s="160"/>
      <c r="BA558" s="160">
        <f>(COUNTIF(AJ558:AL558,"*OK*")*3) + (COUNTIF(AM558:AO558,"*OK*")*2) + COUNTIF(AP558:AR558,"*OK*")+COUNTIF(AZ558:AZ558,"SI")*0.5</f>
        <v>0</v>
      </c>
      <c r="BB558" s="160" t="str">
        <f>IF(BA558&lt;0.6,"Demasiado Riesgo",IF(BA558&lt;=5,"Riesgo Medio",IF(BA558&lt;=11,"Riesgo Bajo","Cliente Blindado")))</f>
        <v>Demasiado Riesgo</v>
      </c>
      <c r="BC558" s="160"/>
      <c r="BD558" s="160"/>
      <c r="BE558" s="160"/>
      <c r="BF558" s="160"/>
      <c r="BG558" s="160"/>
      <c r="BH558" s="160"/>
      <c r="BI558" s="160"/>
      <c r="BJ558" s="160"/>
      <c r="BK558" s="160"/>
      <c r="BL558" s="160"/>
      <c r="BM558" s="160"/>
      <c r="BN558" s="160"/>
      <c r="BO558" s="160"/>
      <c r="BP558" s="160"/>
      <c r="BQ558" s="160"/>
      <c r="BR558" s="160"/>
      <c r="BS558" s="160"/>
      <c r="BT558" s="160"/>
      <c r="BU558" s="160"/>
      <c r="BV558" s="160"/>
      <c r="BW558" s="160"/>
      <c r="BX558" s="160"/>
      <c r="BY558" s="160"/>
      <c r="BZ558" s="160"/>
      <c r="CA558" s="160">
        <f>COUNTIF(AJ558:AX558,"*OK*")</f>
        <v>0</v>
      </c>
    </row>
    <row r="559" spans="1:79" ht="15" customHeight="1">
      <c r="A559" s="240"/>
      <c r="B559" s="171"/>
      <c r="C559" s="471"/>
      <c r="D559" s="171">
        <f>COUNTIF(AN559:AY559,"OK")</f>
        <v>0</v>
      </c>
      <c r="E559" s="171"/>
      <c r="F559" s="171"/>
      <c r="G559" s="171"/>
      <c r="H559" s="179"/>
      <c r="I559" s="179"/>
      <c r="J559" s="171"/>
      <c r="K559" s="236"/>
      <c r="L559" s="171"/>
      <c r="M559" s="171"/>
      <c r="N559" s="171"/>
      <c r="O559" s="242"/>
      <c r="P559" s="237"/>
      <c r="Q559" s="237"/>
      <c r="R559" s="238"/>
      <c r="S559" s="463"/>
      <c r="T559" s="565"/>
      <c r="U559" s="240"/>
      <c r="V559" s="174" t="s">
        <v>59</v>
      </c>
      <c r="W559" s="171"/>
      <c r="X559" s="177"/>
      <c r="Y559" s="177"/>
      <c r="Z559" s="178"/>
      <c r="AA559" s="174" t="s">
        <v>59</v>
      </c>
      <c r="AB559" s="178"/>
      <c r="AC559" s="179"/>
      <c r="AD559" s="171"/>
      <c r="AE559" s="171"/>
      <c r="AF559" s="171"/>
      <c r="AG559" s="171"/>
      <c r="AH559" s="171"/>
      <c r="AI559" s="171"/>
      <c r="AZ559" s="171"/>
      <c r="BA559" s="171">
        <f>(COUNTIF(AJ559:AL559,"*OK*")*3) + (COUNTIF(AM559:AO559,"*OK*")*2) + COUNTIF(AP559:AR559,"*OK*")+COUNTIF(AZ559:AZ559,"SI")*0.5</f>
        <v>0</v>
      </c>
      <c r="BB559" s="171" t="str">
        <f>IF(BA559&lt;0.6,"Demasiado Riesgo",IF(BA559&lt;=5,"Riesgo Medio",IF(BA559&lt;=11,"Riesgo Bajo","Cliente Blindado")))</f>
        <v>Demasiado Riesgo</v>
      </c>
      <c r="BC559" s="171"/>
      <c r="BD559" s="171"/>
      <c r="BE559" s="171"/>
      <c r="BF559" s="171"/>
      <c r="BG559" s="171"/>
      <c r="BH559" s="171"/>
      <c r="BI559" s="171"/>
      <c r="BJ559" s="171"/>
      <c r="BK559" s="171"/>
      <c r="BL559" s="171"/>
      <c r="BM559" s="171"/>
      <c r="BN559" s="171"/>
      <c r="BO559" s="171"/>
      <c r="BP559" s="171"/>
      <c r="BQ559" s="171"/>
      <c r="BR559" s="171"/>
      <c r="BS559" s="171"/>
      <c r="BT559" s="171"/>
      <c r="BU559" s="171"/>
      <c r="BV559" s="171"/>
      <c r="BW559" s="171"/>
      <c r="BX559" s="171"/>
      <c r="BY559" s="171"/>
      <c r="BZ559" s="171"/>
      <c r="CA559" s="171">
        <f>COUNTIF(AJ559:AX559,"*OK*")</f>
        <v>0</v>
      </c>
    </row>
    <row r="560" spans="1:79" ht="15" customHeight="1">
      <c r="A560" s="241"/>
      <c r="B560" s="160"/>
      <c r="C560" s="472"/>
      <c r="D560" s="160">
        <f>COUNTIF(AN560:AY560,"OK")</f>
        <v>0</v>
      </c>
      <c r="E560" s="160"/>
      <c r="F560" s="160"/>
      <c r="G560" s="160"/>
      <c r="H560" s="168"/>
      <c r="I560" s="168"/>
      <c r="J560" s="160"/>
      <c r="K560" s="220"/>
      <c r="L560" s="160"/>
      <c r="M560" s="160"/>
      <c r="N560" s="160"/>
      <c r="O560" s="243"/>
      <c r="P560" s="223"/>
      <c r="Q560" s="223"/>
      <c r="R560" s="239"/>
      <c r="S560" s="462"/>
      <c r="T560" s="564"/>
      <c r="U560" s="241"/>
      <c r="V560" s="163" t="s">
        <v>59</v>
      </c>
      <c r="W560" s="160"/>
      <c r="X560" s="166"/>
      <c r="Y560" s="166"/>
      <c r="Z560" s="167"/>
      <c r="AA560" s="163" t="s">
        <v>59</v>
      </c>
      <c r="AB560" s="167"/>
      <c r="AC560" s="168"/>
      <c r="AD560" s="160"/>
      <c r="AE560" s="160"/>
      <c r="AF560" s="160"/>
      <c r="AG560" s="160"/>
      <c r="AH560" s="160"/>
      <c r="AI560" s="160"/>
      <c r="AZ560" s="160"/>
      <c r="BA560" s="160">
        <f>(COUNTIF(AJ560:AL560,"*OK*")*3) + (COUNTIF(AM560:AO560,"*OK*")*2) + COUNTIF(AP560:AR560,"*OK*")+COUNTIF(AZ560:AZ560,"SI")*0.5</f>
        <v>0</v>
      </c>
      <c r="BB560" s="160" t="str">
        <f>IF(BA560&lt;0.6,"Demasiado Riesgo",IF(BA560&lt;=5,"Riesgo Medio",IF(BA560&lt;=11,"Riesgo Bajo","Cliente Blindado")))</f>
        <v>Demasiado Riesgo</v>
      </c>
      <c r="BC560" s="160"/>
      <c r="BD560" s="160"/>
      <c r="BE560" s="160"/>
      <c r="BF560" s="160"/>
      <c r="BG560" s="160"/>
      <c r="BH560" s="160"/>
      <c r="BI560" s="160"/>
      <c r="BJ560" s="160"/>
      <c r="BK560" s="160"/>
      <c r="BL560" s="160"/>
      <c r="BM560" s="160"/>
      <c r="BN560" s="160"/>
      <c r="BO560" s="160"/>
      <c r="BP560" s="160"/>
      <c r="BQ560" s="160"/>
      <c r="BR560" s="160"/>
      <c r="BS560" s="160"/>
      <c r="BT560" s="160"/>
      <c r="BU560" s="160"/>
      <c r="BV560" s="160"/>
      <c r="BW560" s="160"/>
      <c r="BX560" s="160"/>
      <c r="BY560" s="160"/>
      <c r="BZ560" s="160"/>
      <c r="CA560" s="160">
        <f>COUNTIF(AJ560:AX560,"*OK*")</f>
        <v>0</v>
      </c>
    </row>
    <row r="561" spans="1:79" ht="15" customHeight="1">
      <c r="A561" s="240"/>
      <c r="B561" s="171"/>
      <c r="C561" s="471"/>
      <c r="D561" s="171">
        <f>COUNTIF(AN561:AY561,"OK")</f>
        <v>0</v>
      </c>
      <c r="E561" s="171"/>
      <c r="F561" s="171"/>
      <c r="G561" s="171"/>
      <c r="H561" s="179"/>
      <c r="I561" s="179"/>
      <c r="J561" s="171"/>
      <c r="K561" s="236"/>
      <c r="L561" s="171"/>
      <c r="M561" s="171"/>
      <c r="N561" s="171"/>
      <c r="O561" s="242"/>
      <c r="P561" s="237"/>
      <c r="Q561" s="237"/>
      <c r="R561" s="238"/>
      <c r="S561" s="463"/>
      <c r="T561" s="565"/>
      <c r="U561" s="240"/>
      <c r="V561" s="174" t="s">
        <v>59</v>
      </c>
      <c r="W561" s="171"/>
      <c r="X561" s="177"/>
      <c r="Y561" s="177"/>
      <c r="Z561" s="178"/>
      <c r="AA561" s="174" t="s">
        <v>59</v>
      </c>
      <c r="AB561" s="178"/>
      <c r="AC561" s="179"/>
      <c r="AD561" s="171"/>
      <c r="AE561" s="171"/>
      <c r="AF561" s="171"/>
      <c r="AG561" s="171"/>
      <c r="AH561" s="171"/>
      <c r="AI561" s="171"/>
      <c r="AZ561" s="171"/>
      <c r="BA561" s="171">
        <f>(COUNTIF(AJ561:AL561,"*OK*")*3) + (COUNTIF(AM561:AO561,"*OK*")*2) + COUNTIF(AP561:AR561,"*OK*")+COUNTIF(AZ561:AZ561,"SI")*0.5</f>
        <v>0</v>
      </c>
      <c r="BB561" s="171" t="str">
        <f>IF(BA561&lt;0.6,"Demasiado Riesgo",IF(BA561&lt;=5,"Riesgo Medio",IF(BA561&lt;=11,"Riesgo Bajo","Cliente Blindado")))</f>
        <v>Demasiado Riesgo</v>
      </c>
      <c r="BC561" s="171"/>
      <c r="BD561" s="171"/>
      <c r="BE561" s="171"/>
      <c r="BF561" s="171"/>
      <c r="BG561" s="171"/>
      <c r="BH561" s="171"/>
      <c r="BI561" s="171"/>
      <c r="BJ561" s="171"/>
      <c r="BK561" s="171"/>
      <c r="BL561" s="171"/>
      <c r="BM561" s="171"/>
      <c r="BN561" s="171"/>
      <c r="BO561" s="171"/>
      <c r="BP561" s="171"/>
      <c r="BQ561" s="171"/>
      <c r="BR561" s="171"/>
      <c r="BS561" s="171"/>
      <c r="BT561" s="171"/>
      <c r="BU561" s="171"/>
      <c r="BV561" s="171"/>
      <c r="BW561" s="171"/>
      <c r="BX561" s="171"/>
      <c r="BY561" s="171"/>
      <c r="BZ561" s="171"/>
      <c r="CA561" s="171">
        <f>COUNTIF(AJ561:AX561,"*OK*")</f>
        <v>0</v>
      </c>
    </row>
    <row r="562" spans="1:79" ht="15" customHeight="1">
      <c r="A562" s="241"/>
      <c r="B562" s="160"/>
      <c r="C562" s="472"/>
      <c r="D562" s="160">
        <f>COUNTIF(AN562:AY562,"OK")</f>
        <v>0</v>
      </c>
      <c r="E562" s="160"/>
      <c r="F562" s="160"/>
      <c r="G562" s="160"/>
      <c r="H562" s="168"/>
      <c r="I562" s="168"/>
      <c r="J562" s="160"/>
      <c r="K562" s="220"/>
      <c r="L562" s="160"/>
      <c r="M562" s="160"/>
      <c r="N562" s="160"/>
      <c r="O562" s="243"/>
      <c r="P562" s="223"/>
      <c r="Q562" s="223"/>
      <c r="R562" s="239"/>
      <c r="S562" s="462"/>
      <c r="T562" s="564"/>
      <c r="U562" s="241"/>
      <c r="V562" s="163" t="s">
        <v>59</v>
      </c>
      <c r="W562" s="160"/>
      <c r="X562" s="166"/>
      <c r="Y562" s="166"/>
      <c r="Z562" s="167"/>
      <c r="AA562" s="163" t="s">
        <v>59</v>
      </c>
      <c r="AB562" s="167"/>
      <c r="AC562" s="168"/>
      <c r="AD562" s="160"/>
      <c r="AE562" s="160"/>
      <c r="AF562" s="160"/>
      <c r="AG562" s="160"/>
      <c r="AH562" s="160"/>
      <c r="AI562" s="160"/>
      <c r="AZ562" s="160"/>
      <c r="BA562" s="160">
        <f>(COUNTIF(AJ562:AL562,"*OK*")*3) + (COUNTIF(AM562:AO562,"*OK*")*2) + COUNTIF(AP562:AR562,"*OK*")+COUNTIF(AZ562:AZ562,"SI")*0.5</f>
        <v>0</v>
      </c>
      <c r="BB562" s="160" t="str">
        <f>IF(BA562&lt;0.6,"Demasiado Riesgo",IF(BA562&lt;=5,"Riesgo Medio",IF(BA562&lt;=11,"Riesgo Bajo","Cliente Blindado")))</f>
        <v>Demasiado Riesgo</v>
      </c>
      <c r="BC562" s="160"/>
      <c r="BD562" s="160"/>
      <c r="BE562" s="160"/>
      <c r="BF562" s="160"/>
      <c r="BG562" s="160"/>
      <c r="BH562" s="160"/>
      <c r="BI562" s="160"/>
      <c r="BJ562" s="160"/>
      <c r="BK562" s="160"/>
      <c r="BL562" s="160"/>
      <c r="BM562" s="160"/>
      <c r="BN562" s="160"/>
      <c r="BO562" s="160"/>
      <c r="BP562" s="160"/>
      <c r="BQ562" s="160"/>
      <c r="BR562" s="160"/>
      <c r="BS562" s="160"/>
      <c r="BT562" s="160"/>
      <c r="BU562" s="160"/>
      <c r="BV562" s="160"/>
      <c r="BW562" s="160"/>
      <c r="BX562" s="160"/>
      <c r="BY562" s="160"/>
      <c r="BZ562" s="160"/>
      <c r="CA562" s="160">
        <f>COUNTIF(AJ562:AX562,"*OK*")</f>
        <v>0</v>
      </c>
    </row>
    <row r="563" spans="1:79" ht="15" customHeight="1">
      <c r="A563" s="240"/>
      <c r="B563" s="171"/>
      <c r="C563" s="471"/>
      <c r="D563" s="171">
        <f>COUNTIF(AN563:AY563,"OK")</f>
        <v>0</v>
      </c>
      <c r="E563" s="171"/>
      <c r="F563" s="171"/>
      <c r="G563" s="171"/>
      <c r="H563" s="179"/>
      <c r="I563" s="179"/>
      <c r="J563" s="171"/>
      <c r="K563" s="236"/>
      <c r="L563" s="171"/>
      <c r="M563" s="171"/>
      <c r="N563" s="171"/>
      <c r="O563" s="242"/>
      <c r="P563" s="237"/>
      <c r="Q563" s="237"/>
      <c r="R563" s="238"/>
      <c r="S563" s="463"/>
      <c r="T563" s="565"/>
      <c r="U563" s="240"/>
      <c r="V563" s="174" t="s">
        <v>59</v>
      </c>
      <c r="W563" s="171"/>
      <c r="X563" s="177"/>
      <c r="Y563" s="177"/>
      <c r="Z563" s="178"/>
      <c r="AA563" s="174" t="s">
        <v>59</v>
      </c>
      <c r="AB563" s="178"/>
      <c r="AC563" s="179"/>
      <c r="AD563" s="171"/>
      <c r="AE563" s="171"/>
      <c r="AF563" s="171"/>
      <c r="AG563" s="171"/>
      <c r="AH563" s="171"/>
      <c r="AI563" s="171"/>
      <c r="AZ563" s="171"/>
      <c r="BA563" s="171">
        <f>(COUNTIF(AJ563:AL563,"*OK*")*3) + (COUNTIF(AM563:AO563,"*OK*")*2) + COUNTIF(AP563:AR563,"*OK*")+COUNTIF(AZ563:AZ563,"SI")*0.5</f>
        <v>0</v>
      </c>
      <c r="BB563" s="171" t="str">
        <f>IF(BA563&lt;0.6,"Demasiado Riesgo",IF(BA563&lt;=5,"Riesgo Medio",IF(BA563&lt;=11,"Riesgo Bajo","Cliente Blindado")))</f>
        <v>Demasiado Riesgo</v>
      </c>
      <c r="BC563" s="171"/>
      <c r="BD563" s="171"/>
      <c r="BE563" s="171"/>
      <c r="BF563" s="171"/>
      <c r="BG563" s="171"/>
      <c r="BH563" s="171"/>
      <c r="BI563" s="171"/>
      <c r="BJ563" s="171"/>
      <c r="BK563" s="171"/>
      <c r="BL563" s="171"/>
      <c r="BM563" s="171"/>
      <c r="BN563" s="171"/>
      <c r="BO563" s="171"/>
      <c r="BP563" s="171"/>
      <c r="BQ563" s="171"/>
      <c r="BR563" s="171"/>
      <c r="BS563" s="171"/>
      <c r="BT563" s="171"/>
      <c r="BU563" s="171"/>
      <c r="BV563" s="171"/>
      <c r="BW563" s="171"/>
      <c r="BX563" s="171"/>
      <c r="BY563" s="171"/>
      <c r="BZ563" s="171"/>
      <c r="CA563" s="171">
        <f>COUNTIF(AJ563:AX563,"*OK*")</f>
        <v>0</v>
      </c>
    </row>
    <row r="564" spans="1:79" ht="15" customHeight="1">
      <c r="A564" s="241"/>
      <c r="B564" s="160"/>
      <c r="C564" s="472"/>
      <c r="D564" s="160">
        <f>COUNTIF(AN564:AY564,"OK")</f>
        <v>0</v>
      </c>
      <c r="E564" s="160"/>
      <c r="F564" s="160"/>
      <c r="G564" s="160"/>
      <c r="H564" s="168"/>
      <c r="I564" s="168"/>
      <c r="J564" s="160"/>
      <c r="K564" s="220"/>
      <c r="L564" s="160"/>
      <c r="M564" s="160"/>
      <c r="N564" s="160"/>
      <c r="O564" s="243"/>
      <c r="P564" s="223"/>
      <c r="Q564" s="223"/>
      <c r="R564" s="239"/>
      <c r="S564" s="462"/>
      <c r="T564" s="564"/>
      <c r="U564" s="241"/>
      <c r="V564" s="163" t="s">
        <v>59</v>
      </c>
      <c r="W564" s="160"/>
      <c r="X564" s="166"/>
      <c r="Y564" s="166"/>
      <c r="Z564" s="167"/>
      <c r="AA564" s="163" t="s">
        <v>59</v>
      </c>
      <c r="AB564" s="167"/>
      <c r="AC564" s="168"/>
      <c r="AD564" s="160"/>
      <c r="AE564" s="160"/>
      <c r="AF564" s="160"/>
      <c r="AG564" s="160"/>
      <c r="AH564" s="160"/>
      <c r="AI564" s="160"/>
      <c r="AZ564" s="160"/>
      <c r="BA564" s="160">
        <f>(COUNTIF(AJ564:AL564,"*OK*")*3) + (COUNTIF(AM564:AO564,"*OK*")*2) + COUNTIF(AP564:AR564,"*OK*")+COUNTIF(AZ564:AZ564,"SI")*0.5</f>
        <v>0</v>
      </c>
      <c r="BB564" s="160" t="str">
        <f>IF(BA564&lt;0.6,"Demasiado Riesgo",IF(BA564&lt;=5,"Riesgo Medio",IF(BA564&lt;=11,"Riesgo Bajo","Cliente Blindado")))</f>
        <v>Demasiado Riesgo</v>
      </c>
      <c r="BC564" s="160"/>
      <c r="BD564" s="160"/>
      <c r="BE564" s="160"/>
      <c r="BF564" s="160"/>
      <c r="BG564" s="160"/>
      <c r="BH564" s="160"/>
      <c r="BI564" s="160"/>
      <c r="BJ564" s="160"/>
      <c r="BK564" s="160"/>
      <c r="BL564" s="160"/>
      <c r="BM564" s="160"/>
      <c r="BN564" s="160"/>
      <c r="BO564" s="160"/>
      <c r="BP564" s="160"/>
      <c r="BQ564" s="160"/>
      <c r="BR564" s="160"/>
      <c r="BS564" s="160"/>
      <c r="BT564" s="160"/>
      <c r="BU564" s="160"/>
      <c r="BV564" s="160"/>
      <c r="BW564" s="160"/>
      <c r="BX564" s="160"/>
      <c r="BY564" s="160"/>
      <c r="BZ564" s="160"/>
      <c r="CA564" s="160">
        <f>COUNTIF(AJ564:AX564,"*OK*")</f>
        <v>0</v>
      </c>
    </row>
    <row r="565" spans="1:79" ht="15" customHeight="1">
      <c r="A565" s="240"/>
      <c r="B565" s="171"/>
      <c r="C565" s="471"/>
      <c r="D565" s="171">
        <f>COUNTIF(AN565:AY565,"OK")</f>
        <v>0</v>
      </c>
      <c r="E565" s="171"/>
      <c r="F565" s="171"/>
      <c r="G565" s="171"/>
      <c r="H565" s="179"/>
      <c r="I565" s="179"/>
      <c r="J565" s="171"/>
      <c r="K565" s="236"/>
      <c r="L565" s="171"/>
      <c r="M565" s="171"/>
      <c r="N565" s="171"/>
      <c r="O565" s="242"/>
      <c r="P565" s="237"/>
      <c r="Q565" s="237"/>
      <c r="R565" s="238"/>
      <c r="S565" s="463"/>
      <c r="T565" s="565"/>
      <c r="U565" s="240"/>
      <c r="V565" s="174" t="s">
        <v>59</v>
      </c>
      <c r="W565" s="171"/>
      <c r="X565" s="177"/>
      <c r="Y565" s="177"/>
      <c r="Z565" s="178"/>
      <c r="AA565" s="174" t="s">
        <v>59</v>
      </c>
      <c r="AB565" s="178"/>
      <c r="AC565" s="179"/>
      <c r="AD565" s="171"/>
      <c r="AE565" s="171"/>
      <c r="AF565" s="171"/>
      <c r="AG565" s="171"/>
      <c r="AH565" s="171"/>
      <c r="AI565" s="171"/>
      <c r="AZ565" s="171"/>
      <c r="BA565" s="171">
        <f>(COUNTIF(AJ565:AL565,"*OK*")*3) + (COUNTIF(AM565:AO565,"*OK*")*2) + COUNTIF(AP565:AR565,"*OK*")+COUNTIF(AZ565:AZ565,"SI")*0.5</f>
        <v>0</v>
      </c>
      <c r="BB565" s="171" t="str">
        <f>IF(BA565&lt;0.6,"Demasiado Riesgo",IF(BA565&lt;=5,"Riesgo Medio",IF(BA565&lt;=11,"Riesgo Bajo","Cliente Blindado")))</f>
        <v>Demasiado Riesgo</v>
      </c>
      <c r="BC565" s="171"/>
      <c r="BD565" s="171"/>
      <c r="BE565" s="171"/>
      <c r="BF565" s="171"/>
      <c r="BG565" s="171"/>
      <c r="BH565" s="171"/>
      <c r="BI565" s="171"/>
      <c r="BJ565" s="171"/>
      <c r="BK565" s="171"/>
      <c r="BL565" s="171"/>
      <c r="BM565" s="171"/>
      <c r="BN565" s="171"/>
      <c r="BO565" s="171"/>
      <c r="BP565" s="171"/>
      <c r="BQ565" s="171"/>
      <c r="BR565" s="171"/>
      <c r="BS565" s="171"/>
      <c r="BT565" s="171"/>
      <c r="BU565" s="171"/>
      <c r="BV565" s="171"/>
      <c r="BW565" s="171"/>
      <c r="BX565" s="171"/>
      <c r="BY565" s="171"/>
      <c r="BZ565" s="171"/>
      <c r="CA565" s="171">
        <f>COUNTIF(AJ565:AX565,"*OK*")</f>
        <v>0</v>
      </c>
    </row>
    <row r="566" spans="1:79" ht="15" customHeight="1">
      <c r="A566" s="241"/>
      <c r="B566" s="160"/>
      <c r="C566" s="472"/>
      <c r="D566" s="160">
        <f>COUNTIF(AN566:AY566,"OK")</f>
        <v>0</v>
      </c>
      <c r="E566" s="160"/>
      <c r="F566" s="160"/>
      <c r="G566" s="160"/>
      <c r="H566" s="168"/>
      <c r="I566" s="168"/>
      <c r="J566" s="160"/>
      <c r="K566" s="220"/>
      <c r="L566" s="160"/>
      <c r="M566" s="160"/>
      <c r="N566" s="160"/>
      <c r="O566" s="243"/>
      <c r="P566" s="223"/>
      <c r="Q566" s="223"/>
      <c r="R566" s="239"/>
      <c r="S566" s="462"/>
      <c r="T566" s="564"/>
      <c r="U566" s="241"/>
      <c r="V566" s="163" t="s">
        <v>59</v>
      </c>
      <c r="W566" s="160"/>
      <c r="X566" s="166"/>
      <c r="Y566" s="166"/>
      <c r="Z566" s="167"/>
      <c r="AA566" s="163" t="s">
        <v>59</v>
      </c>
      <c r="AB566" s="167"/>
      <c r="AC566" s="168"/>
      <c r="AD566" s="160"/>
      <c r="AE566" s="160"/>
      <c r="AF566" s="160"/>
      <c r="AG566" s="160"/>
      <c r="AH566" s="160"/>
      <c r="AI566" s="160"/>
      <c r="AZ566" s="160"/>
      <c r="BA566" s="160">
        <f>(COUNTIF(AJ566:AL566,"*OK*")*3) + (COUNTIF(AM566:AO566,"*OK*")*2) + COUNTIF(AP566:AR566,"*OK*")+COUNTIF(AZ566:AZ566,"SI")*0.5</f>
        <v>0</v>
      </c>
      <c r="BB566" s="160" t="str">
        <f>IF(BA566&lt;0.6,"Demasiado Riesgo",IF(BA566&lt;=5,"Riesgo Medio",IF(BA566&lt;=11,"Riesgo Bajo","Cliente Blindado")))</f>
        <v>Demasiado Riesgo</v>
      </c>
      <c r="BC566" s="160"/>
      <c r="BD566" s="160"/>
      <c r="BE566" s="160"/>
      <c r="BF566" s="160"/>
      <c r="BG566" s="160"/>
      <c r="BH566" s="160"/>
      <c r="BI566" s="160"/>
      <c r="BJ566" s="160"/>
      <c r="BK566" s="160"/>
      <c r="BL566" s="160"/>
      <c r="BM566" s="160"/>
      <c r="BN566" s="160"/>
      <c r="BO566" s="160"/>
      <c r="BP566" s="160"/>
      <c r="BQ566" s="160"/>
      <c r="BR566" s="160"/>
      <c r="BS566" s="160"/>
      <c r="BT566" s="160"/>
      <c r="BU566" s="160"/>
      <c r="BV566" s="160"/>
      <c r="BW566" s="160"/>
      <c r="BX566" s="160"/>
      <c r="BY566" s="160"/>
      <c r="BZ566" s="160"/>
      <c r="CA566" s="160">
        <f>COUNTIF(AJ566:AX566,"*OK*")</f>
        <v>0</v>
      </c>
    </row>
    <row r="567" spans="1:79" ht="15" customHeight="1">
      <c r="A567" s="240"/>
      <c r="B567" s="171"/>
      <c r="C567" s="471"/>
      <c r="D567" s="171">
        <f>COUNTIF(AN567:AY567,"OK")</f>
        <v>0</v>
      </c>
      <c r="E567" s="171"/>
      <c r="F567" s="171"/>
      <c r="G567" s="171"/>
      <c r="H567" s="179"/>
      <c r="I567" s="179"/>
      <c r="J567" s="171"/>
      <c r="K567" s="236"/>
      <c r="L567" s="171"/>
      <c r="M567" s="171"/>
      <c r="N567" s="171"/>
      <c r="O567" s="242"/>
      <c r="P567" s="237"/>
      <c r="Q567" s="237"/>
      <c r="R567" s="238"/>
      <c r="S567" s="463"/>
      <c r="T567" s="565"/>
      <c r="U567" s="240"/>
      <c r="V567" s="174" t="s">
        <v>59</v>
      </c>
      <c r="W567" s="171"/>
      <c r="X567" s="177"/>
      <c r="Y567" s="177"/>
      <c r="Z567" s="178"/>
      <c r="AA567" s="174" t="s">
        <v>59</v>
      </c>
      <c r="AB567" s="178"/>
      <c r="AC567" s="179"/>
      <c r="AD567" s="171"/>
      <c r="AE567" s="171"/>
      <c r="AF567" s="171"/>
      <c r="AG567" s="171"/>
      <c r="AH567" s="171"/>
      <c r="AI567" s="171"/>
      <c r="AZ567" s="171"/>
      <c r="BA567" s="171">
        <f>(COUNTIF(AJ567:AL567,"*OK*")*3) + (COUNTIF(AM567:AO567,"*OK*")*2) + COUNTIF(AP567:AR567,"*OK*")+COUNTIF(AZ567:AZ567,"SI")*0.5</f>
        <v>0</v>
      </c>
      <c r="BB567" s="171" t="str">
        <f>IF(BA567&lt;0.6,"Demasiado Riesgo",IF(BA567&lt;=5,"Riesgo Medio",IF(BA567&lt;=11,"Riesgo Bajo","Cliente Blindado")))</f>
        <v>Demasiado Riesgo</v>
      </c>
      <c r="BC567" s="171"/>
      <c r="BD567" s="171"/>
      <c r="BE567" s="171"/>
      <c r="BF567" s="171"/>
      <c r="BG567" s="171"/>
      <c r="BH567" s="171"/>
      <c r="BI567" s="171"/>
      <c r="BJ567" s="171"/>
      <c r="BK567" s="171"/>
      <c r="BL567" s="171"/>
      <c r="BM567" s="171"/>
      <c r="BN567" s="171"/>
      <c r="BO567" s="171"/>
      <c r="BP567" s="171"/>
      <c r="BQ567" s="171"/>
      <c r="BR567" s="171"/>
      <c r="BS567" s="171"/>
      <c r="BT567" s="171"/>
      <c r="BU567" s="171"/>
      <c r="BV567" s="171"/>
      <c r="BW567" s="171"/>
      <c r="BX567" s="171"/>
      <c r="BY567" s="171"/>
      <c r="BZ567" s="171"/>
      <c r="CA567" s="171">
        <f>COUNTIF(AJ567:AX567,"*OK*")</f>
        <v>0</v>
      </c>
    </row>
    <row r="568" spans="1:79" ht="15" customHeight="1">
      <c r="A568" s="241"/>
      <c r="B568" s="160"/>
      <c r="C568" s="472"/>
      <c r="D568" s="160">
        <f>COUNTIF(AN568:AY568,"OK")</f>
        <v>0</v>
      </c>
      <c r="E568" s="160"/>
      <c r="F568" s="160"/>
      <c r="G568" s="160"/>
      <c r="H568" s="168"/>
      <c r="I568" s="168"/>
      <c r="J568" s="160"/>
      <c r="K568" s="220"/>
      <c r="L568" s="160"/>
      <c r="M568" s="160"/>
      <c r="N568" s="160"/>
      <c r="O568" s="243"/>
      <c r="P568" s="223"/>
      <c r="Q568" s="223"/>
      <c r="R568" s="239"/>
      <c r="S568" s="462"/>
      <c r="T568" s="564"/>
      <c r="U568" s="241"/>
      <c r="V568" s="163" t="s">
        <v>59</v>
      </c>
      <c r="W568" s="160"/>
      <c r="X568" s="166"/>
      <c r="Y568" s="166"/>
      <c r="Z568" s="167"/>
      <c r="AA568" s="163" t="s">
        <v>59</v>
      </c>
      <c r="AB568" s="167"/>
      <c r="AC568" s="168"/>
      <c r="AD568" s="160"/>
      <c r="AE568" s="160"/>
      <c r="AF568" s="160"/>
      <c r="AG568" s="160"/>
      <c r="AH568" s="160"/>
      <c r="AI568" s="160"/>
      <c r="AZ568" s="160"/>
      <c r="BA568" s="160">
        <f>(COUNTIF(AJ568:AL568,"*OK*")*3) + (COUNTIF(AM568:AO568,"*OK*")*2) + COUNTIF(AP568:AR568,"*OK*")+COUNTIF(AZ568:AZ568,"SI")*0.5</f>
        <v>0</v>
      </c>
      <c r="BB568" s="160" t="str">
        <f>IF(BA568&lt;0.6,"Demasiado Riesgo",IF(BA568&lt;=5,"Riesgo Medio",IF(BA568&lt;=11,"Riesgo Bajo","Cliente Blindado")))</f>
        <v>Demasiado Riesgo</v>
      </c>
      <c r="BC568" s="160"/>
      <c r="BD568" s="160"/>
      <c r="BE568" s="160"/>
      <c r="BF568" s="160"/>
      <c r="BG568" s="160"/>
      <c r="BH568" s="160"/>
      <c r="BI568" s="160"/>
      <c r="BJ568" s="160"/>
      <c r="BK568" s="160"/>
      <c r="BL568" s="160"/>
      <c r="BM568" s="160"/>
      <c r="BN568" s="160"/>
      <c r="BO568" s="160"/>
      <c r="BP568" s="160"/>
      <c r="BQ568" s="160"/>
      <c r="BR568" s="160"/>
      <c r="BS568" s="160"/>
      <c r="BT568" s="160"/>
      <c r="BU568" s="160"/>
      <c r="BV568" s="160"/>
      <c r="BW568" s="160"/>
      <c r="BX568" s="160"/>
      <c r="BY568" s="160"/>
      <c r="BZ568" s="160"/>
      <c r="CA568" s="160">
        <f>COUNTIF(AJ568:AX568,"*OK*")</f>
        <v>0</v>
      </c>
    </row>
    <row r="569" spans="1:79" ht="15" customHeight="1">
      <c r="A569" s="240"/>
      <c r="B569" s="171"/>
      <c r="C569" s="471"/>
      <c r="D569" s="171">
        <f>COUNTIF(AN569:AY569,"OK")</f>
        <v>0</v>
      </c>
      <c r="E569" s="171"/>
      <c r="F569" s="171"/>
      <c r="G569" s="171"/>
      <c r="H569" s="179"/>
      <c r="I569" s="179"/>
      <c r="J569" s="171"/>
      <c r="K569" s="236"/>
      <c r="L569" s="171"/>
      <c r="M569" s="171"/>
      <c r="N569" s="171"/>
      <c r="O569" s="242"/>
      <c r="P569" s="237"/>
      <c r="Q569" s="237"/>
      <c r="R569" s="238"/>
      <c r="S569" s="463"/>
      <c r="T569" s="565"/>
      <c r="U569" s="240"/>
      <c r="V569" s="174" t="s">
        <v>59</v>
      </c>
      <c r="W569" s="171"/>
      <c r="X569" s="177"/>
      <c r="Y569" s="177"/>
      <c r="Z569" s="178"/>
      <c r="AA569" s="174" t="s">
        <v>59</v>
      </c>
      <c r="AB569" s="178"/>
      <c r="AC569" s="179"/>
      <c r="AD569" s="171"/>
      <c r="AE569" s="171"/>
      <c r="AF569" s="171"/>
      <c r="AG569" s="171"/>
      <c r="AH569" s="171"/>
      <c r="AI569" s="171"/>
      <c r="AZ569" s="171"/>
      <c r="BA569" s="171">
        <f>(COUNTIF(AJ569:AL569,"*OK*")*3) + (COUNTIF(AM569:AO569,"*OK*")*2) + COUNTIF(AP569:AR569,"*OK*")+COUNTIF(AZ569:AZ569,"SI")*0.5</f>
        <v>0</v>
      </c>
      <c r="BB569" s="171" t="str">
        <f>IF(BA569&lt;0.6,"Demasiado Riesgo",IF(BA569&lt;=5,"Riesgo Medio",IF(BA569&lt;=11,"Riesgo Bajo","Cliente Blindado")))</f>
        <v>Demasiado Riesgo</v>
      </c>
      <c r="BC569" s="171"/>
      <c r="BD569" s="171"/>
      <c r="BE569" s="171"/>
      <c r="BF569" s="171"/>
      <c r="BG569" s="171"/>
      <c r="BH569" s="171"/>
      <c r="BI569" s="171"/>
      <c r="BJ569" s="171"/>
      <c r="BK569" s="171"/>
      <c r="BL569" s="171"/>
      <c r="BM569" s="171"/>
      <c r="BN569" s="171"/>
      <c r="BO569" s="171"/>
      <c r="BP569" s="171"/>
      <c r="BQ569" s="171"/>
      <c r="BR569" s="171"/>
      <c r="BS569" s="171"/>
      <c r="BT569" s="171"/>
      <c r="BU569" s="171"/>
      <c r="BV569" s="171"/>
      <c r="BW569" s="171"/>
      <c r="BX569" s="171"/>
      <c r="BY569" s="171"/>
      <c r="BZ569" s="171"/>
      <c r="CA569" s="171">
        <f>COUNTIF(AJ569:AX569,"*OK*")</f>
        <v>0</v>
      </c>
    </row>
    <row r="570" spans="1:79" ht="15" customHeight="1">
      <c r="A570" s="241"/>
      <c r="B570" s="160"/>
      <c r="C570" s="472"/>
      <c r="D570" s="160">
        <f>COUNTIF(AN570:AY570,"OK")</f>
        <v>0</v>
      </c>
      <c r="E570" s="160"/>
      <c r="F570" s="160"/>
      <c r="G570" s="160"/>
      <c r="H570" s="168"/>
      <c r="I570" s="168"/>
      <c r="J570" s="160"/>
      <c r="K570" s="220"/>
      <c r="L570" s="160"/>
      <c r="M570" s="160"/>
      <c r="N570" s="160"/>
      <c r="O570" s="243"/>
      <c r="P570" s="223"/>
      <c r="Q570" s="223"/>
      <c r="R570" s="239"/>
      <c r="S570" s="462"/>
      <c r="T570" s="564"/>
      <c r="U570" s="241"/>
      <c r="V570" s="163" t="s">
        <v>59</v>
      </c>
      <c r="W570" s="160"/>
      <c r="X570" s="166"/>
      <c r="Y570" s="166"/>
      <c r="Z570" s="167"/>
      <c r="AA570" s="163" t="s">
        <v>59</v>
      </c>
      <c r="AB570" s="167"/>
      <c r="AC570" s="168"/>
      <c r="AD570" s="160"/>
      <c r="AE570" s="160"/>
      <c r="AF570" s="160"/>
      <c r="AG570" s="160"/>
      <c r="AH570" s="160"/>
      <c r="AI570" s="160"/>
      <c r="AZ570" s="160"/>
      <c r="BA570" s="160">
        <f>(COUNTIF(AJ570:AL570,"*OK*")*3) + (COUNTIF(AM570:AO570,"*OK*")*2) + COUNTIF(AP570:AR570,"*OK*")+COUNTIF(AZ570:AZ570,"SI")*0.5</f>
        <v>0</v>
      </c>
      <c r="BB570" s="160" t="str">
        <f>IF(BA570&lt;0.6,"Demasiado Riesgo",IF(BA570&lt;=5,"Riesgo Medio",IF(BA570&lt;=11,"Riesgo Bajo","Cliente Blindado")))</f>
        <v>Demasiado Riesgo</v>
      </c>
      <c r="BC570" s="160"/>
      <c r="BD570" s="160"/>
      <c r="BE570" s="160"/>
      <c r="BF570" s="160"/>
      <c r="BG570" s="160"/>
      <c r="BH570" s="160"/>
      <c r="BI570" s="160"/>
      <c r="BJ570" s="160"/>
      <c r="BK570" s="160"/>
      <c r="BL570" s="160"/>
      <c r="BM570" s="160"/>
      <c r="BN570" s="160"/>
      <c r="BO570" s="160"/>
      <c r="BP570" s="160"/>
      <c r="BQ570" s="160"/>
      <c r="BR570" s="160"/>
      <c r="BS570" s="160"/>
      <c r="BT570" s="160"/>
      <c r="BU570" s="160"/>
      <c r="BV570" s="160"/>
      <c r="BW570" s="160"/>
      <c r="BX570" s="160"/>
      <c r="BY570" s="160"/>
      <c r="BZ570" s="160"/>
      <c r="CA570" s="160">
        <f>COUNTIF(AJ570:AX570,"*OK*")</f>
        <v>0</v>
      </c>
    </row>
    <row r="571" spans="1:79" ht="15" customHeight="1">
      <c r="A571" s="240"/>
      <c r="B571" s="171"/>
      <c r="C571" s="471"/>
      <c r="D571" s="171">
        <f>COUNTIF(AN571:AY571,"OK")</f>
        <v>0</v>
      </c>
      <c r="E571" s="171"/>
      <c r="F571" s="171"/>
      <c r="G571" s="171"/>
      <c r="H571" s="179"/>
      <c r="I571" s="179"/>
      <c r="J571" s="171"/>
      <c r="K571" s="236"/>
      <c r="L571" s="171"/>
      <c r="M571" s="171"/>
      <c r="N571" s="171"/>
      <c r="O571" s="242"/>
      <c r="P571" s="237"/>
      <c r="Q571" s="237"/>
      <c r="R571" s="238"/>
      <c r="S571" s="463"/>
      <c r="T571" s="565"/>
      <c r="U571" s="240"/>
      <c r="V571" s="174" t="s">
        <v>59</v>
      </c>
      <c r="W571" s="171"/>
      <c r="X571" s="177"/>
      <c r="Y571" s="177"/>
      <c r="Z571" s="178"/>
      <c r="AA571" s="174" t="s">
        <v>59</v>
      </c>
      <c r="AB571" s="178"/>
      <c r="AC571" s="179"/>
      <c r="AD571" s="171"/>
      <c r="AE571" s="171"/>
      <c r="AF571" s="171"/>
      <c r="AG571" s="171"/>
      <c r="AH571" s="171"/>
      <c r="AI571" s="171"/>
      <c r="AZ571" s="171"/>
      <c r="BA571" s="171">
        <f>(COUNTIF(AJ571:AL571,"*OK*")*3) + (COUNTIF(AM571:AO571,"*OK*")*2) + COUNTIF(AP571:AR571,"*OK*")+COUNTIF(AZ571:AZ571,"SI")*0.5</f>
        <v>0</v>
      </c>
      <c r="BB571" s="171" t="str">
        <f>IF(BA571&lt;0.6,"Demasiado Riesgo",IF(BA571&lt;=5,"Riesgo Medio",IF(BA571&lt;=11,"Riesgo Bajo","Cliente Blindado")))</f>
        <v>Demasiado Riesgo</v>
      </c>
      <c r="BC571" s="171"/>
      <c r="BD571" s="171"/>
      <c r="BE571" s="171"/>
      <c r="BF571" s="171"/>
      <c r="BG571" s="171"/>
      <c r="BH571" s="171"/>
      <c r="BI571" s="171"/>
      <c r="BJ571" s="171"/>
      <c r="BK571" s="171"/>
      <c r="BL571" s="171"/>
      <c r="BM571" s="171"/>
      <c r="BN571" s="171"/>
      <c r="BO571" s="171"/>
      <c r="BP571" s="171"/>
      <c r="BQ571" s="171"/>
      <c r="BR571" s="171"/>
      <c r="BS571" s="171"/>
      <c r="BT571" s="171"/>
      <c r="BU571" s="171"/>
      <c r="BV571" s="171"/>
      <c r="BW571" s="171"/>
      <c r="BX571" s="171"/>
      <c r="BY571" s="171"/>
      <c r="BZ571" s="171"/>
      <c r="CA571" s="171">
        <f>COUNTIF(AJ571:AX571,"*OK*")</f>
        <v>0</v>
      </c>
    </row>
    <row r="572" spans="1:79" ht="15" customHeight="1">
      <c r="A572" s="241"/>
      <c r="B572" s="160"/>
      <c r="C572" s="472"/>
      <c r="D572" s="160">
        <f>COUNTIF(AN572:AY572,"OK")</f>
        <v>0</v>
      </c>
      <c r="E572" s="160"/>
      <c r="F572" s="160"/>
      <c r="G572" s="160"/>
      <c r="H572" s="168"/>
      <c r="I572" s="168"/>
      <c r="J572" s="160"/>
      <c r="K572" s="220"/>
      <c r="L572" s="160"/>
      <c r="M572" s="160"/>
      <c r="N572" s="160"/>
      <c r="O572" s="243"/>
      <c r="P572" s="223"/>
      <c r="Q572" s="223"/>
      <c r="R572" s="239"/>
      <c r="S572" s="462"/>
      <c r="T572" s="564"/>
      <c r="U572" s="241"/>
      <c r="V572" s="163" t="s">
        <v>59</v>
      </c>
      <c r="W572" s="160"/>
      <c r="X572" s="166"/>
      <c r="Y572" s="166"/>
      <c r="Z572" s="167"/>
      <c r="AA572" s="163" t="s">
        <v>59</v>
      </c>
      <c r="AB572" s="167"/>
      <c r="AC572" s="168"/>
      <c r="AD572" s="160"/>
      <c r="AE572" s="160"/>
      <c r="AF572" s="160"/>
      <c r="AG572" s="160"/>
      <c r="AH572" s="160"/>
      <c r="AI572" s="160"/>
      <c r="AZ572" s="160"/>
      <c r="BA572" s="160">
        <f>(COUNTIF(AJ572:AL572,"*OK*")*3) + (COUNTIF(AM572:AO572,"*OK*")*2) + COUNTIF(AP572:AR572,"*OK*")+COUNTIF(AZ572:AZ572,"SI")*0.5</f>
        <v>0</v>
      </c>
      <c r="BB572" s="160" t="str">
        <f>IF(BA572&lt;0.6,"Demasiado Riesgo",IF(BA572&lt;=5,"Riesgo Medio",IF(BA572&lt;=11,"Riesgo Bajo","Cliente Blindado")))</f>
        <v>Demasiado Riesgo</v>
      </c>
      <c r="BC572" s="160"/>
      <c r="BD572" s="160"/>
      <c r="BE572" s="160"/>
      <c r="BF572" s="160"/>
      <c r="BG572" s="160"/>
      <c r="BH572" s="160"/>
      <c r="BI572" s="160"/>
      <c r="BJ572" s="160"/>
      <c r="BK572" s="160"/>
      <c r="BL572" s="160"/>
      <c r="BM572" s="160"/>
      <c r="BN572" s="160"/>
      <c r="BO572" s="160"/>
      <c r="BP572" s="160"/>
      <c r="BQ572" s="160"/>
      <c r="BR572" s="160"/>
      <c r="BS572" s="160"/>
      <c r="BT572" s="160"/>
      <c r="BU572" s="160"/>
      <c r="BV572" s="160"/>
      <c r="BW572" s="160"/>
      <c r="BX572" s="160"/>
      <c r="BY572" s="160"/>
      <c r="BZ572" s="160"/>
      <c r="CA572" s="160">
        <f>COUNTIF(AJ572:AX572,"*OK*")</f>
        <v>0</v>
      </c>
    </row>
    <row r="573" spans="1:79" ht="15" customHeight="1">
      <c r="A573" s="240"/>
      <c r="B573" s="171"/>
      <c r="C573" s="471"/>
      <c r="D573" s="171">
        <f>COUNTIF(AN573:AY573,"OK")</f>
        <v>0</v>
      </c>
      <c r="E573" s="171"/>
      <c r="F573" s="171"/>
      <c r="G573" s="171"/>
      <c r="H573" s="179"/>
      <c r="I573" s="179"/>
      <c r="J573" s="171"/>
      <c r="K573" s="236"/>
      <c r="L573" s="171"/>
      <c r="M573" s="171"/>
      <c r="N573" s="171"/>
      <c r="O573" s="242"/>
      <c r="P573" s="237"/>
      <c r="Q573" s="237"/>
      <c r="R573" s="238"/>
      <c r="S573" s="463"/>
      <c r="T573" s="565"/>
      <c r="U573" s="240"/>
      <c r="V573" s="174" t="s">
        <v>59</v>
      </c>
      <c r="W573" s="171"/>
      <c r="X573" s="177"/>
      <c r="Y573" s="177"/>
      <c r="Z573" s="178"/>
      <c r="AA573" s="174" t="s">
        <v>59</v>
      </c>
      <c r="AB573" s="178"/>
      <c r="AC573" s="179"/>
      <c r="AD573" s="171"/>
      <c r="AE573" s="171"/>
      <c r="AF573" s="171"/>
      <c r="AG573" s="171"/>
      <c r="AH573" s="171"/>
      <c r="AI573" s="171"/>
      <c r="AZ573" s="171"/>
      <c r="BA573" s="171">
        <f>(COUNTIF(AJ573:AL573,"*OK*")*3) + (COUNTIF(AM573:AO573,"*OK*")*2) + COUNTIF(AP573:AR573,"*OK*")+COUNTIF(AZ573:AZ573,"SI")*0.5</f>
        <v>0</v>
      </c>
      <c r="BB573" s="171" t="str">
        <f>IF(BA573&lt;0.6,"Demasiado Riesgo",IF(BA573&lt;=5,"Riesgo Medio",IF(BA573&lt;=11,"Riesgo Bajo","Cliente Blindado")))</f>
        <v>Demasiado Riesgo</v>
      </c>
      <c r="BC573" s="171"/>
      <c r="BD573" s="171"/>
      <c r="BE573" s="171"/>
      <c r="BF573" s="171"/>
      <c r="BG573" s="171"/>
      <c r="BH573" s="171"/>
      <c r="BI573" s="171"/>
      <c r="BJ573" s="171"/>
      <c r="BK573" s="171"/>
      <c r="BL573" s="171"/>
      <c r="BM573" s="171"/>
      <c r="BN573" s="171"/>
      <c r="BO573" s="171"/>
      <c r="BP573" s="171"/>
      <c r="BQ573" s="171"/>
      <c r="BR573" s="171"/>
      <c r="BS573" s="171"/>
      <c r="BT573" s="171"/>
      <c r="BU573" s="171"/>
      <c r="BV573" s="171"/>
      <c r="BW573" s="171"/>
      <c r="BX573" s="171"/>
      <c r="BY573" s="171"/>
      <c r="BZ573" s="171"/>
      <c r="CA573" s="171">
        <f>COUNTIF(AJ573:AX573,"*OK*")</f>
        <v>0</v>
      </c>
    </row>
    <row r="574" spans="1:79" ht="15" customHeight="1">
      <c r="A574" s="241"/>
      <c r="B574" s="160"/>
      <c r="C574" s="472"/>
      <c r="D574" s="160">
        <f>COUNTIF(AN574:AY574,"OK")</f>
        <v>0</v>
      </c>
      <c r="E574" s="160"/>
      <c r="F574" s="160"/>
      <c r="G574" s="160"/>
      <c r="H574" s="168"/>
      <c r="I574" s="168"/>
      <c r="J574" s="160"/>
      <c r="K574" s="220"/>
      <c r="L574" s="160"/>
      <c r="M574" s="160"/>
      <c r="N574" s="160"/>
      <c r="O574" s="243"/>
      <c r="P574" s="223"/>
      <c r="Q574" s="223"/>
      <c r="R574" s="239"/>
      <c r="S574" s="462"/>
      <c r="T574" s="564"/>
      <c r="U574" s="241"/>
      <c r="V574" s="163" t="s">
        <v>59</v>
      </c>
      <c r="W574" s="160"/>
      <c r="X574" s="166"/>
      <c r="Y574" s="166"/>
      <c r="Z574" s="167"/>
      <c r="AA574" s="163" t="s">
        <v>59</v>
      </c>
      <c r="AB574" s="167"/>
      <c r="AC574" s="168"/>
      <c r="AD574" s="160"/>
      <c r="AE574" s="160"/>
      <c r="AF574" s="160"/>
      <c r="AG574" s="160"/>
      <c r="AH574" s="160"/>
      <c r="AI574" s="160"/>
      <c r="AZ574" s="160"/>
      <c r="BA574" s="160">
        <f>(COUNTIF(AJ574:AL574,"*OK*")*3) + (COUNTIF(AM574:AO574,"*OK*")*2) + COUNTIF(AP574:AR574,"*OK*")+COUNTIF(AZ574:AZ574,"SI")*0.5</f>
        <v>0</v>
      </c>
      <c r="BB574" s="160" t="str">
        <f>IF(BA574&lt;0.6,"Demasiado Riesgo",IF(BA574&lt;=5,"Riesgo Medio",IF(BA574&lt;=11,"Riesgo Bajo","Cliente Blindado")))</f>
        <v>Demasiado Riesgo</v>
      </c>
      <c r="BC574" s="160"/>
      <c r="BD574" s="160"/>
      <c r="BE574" s="160"/>
      <c r="BF574" s="160"/>
      <c r="BG574" s="160"/>
      <c r="BH574" s="160"/>
      <c r="BI574" s="160"/>
      <c r="BJ574" s="160"/>
      <c r="BK574" s="160"/>
      <c r="BL574" s="160"/>
      <c r="BM574" s="160"/>
      <c r="BN574" s="160"/>
      <c r="BO574" s="160"/>
      <c r="BP574" s="160"/>
      <c r="BQ574" s="160"/>
      <c r="BR574" s="160"/>
      <c r="BS574" s="160"/>
      <c r="BT574" s="160"/>
      <c r="BU574" s="160"/>
      <c r="BV574" s="160"/>
      <c r="BW574" s="160"/>
      <c r="BX574" s="160"/>
      <c r="BY574" s="160"/>
      <c r="BZ574" s="160"/>
      <c r="CA574" s="160">
        <f>COUNTIF(AJ574:AX574,"*OK*")</f>
        <v>0</v>
      </c>
    </row>
    <row r="575" spans="1:79" ht="15" customHeight="1">
      <c r="A575" s="240"/>
      <c r="B575" s="171"/>
      <c r="C575" s="471"/>
      <c r="D575" s="171">
        <f>COUNTIF(AN575:AY575,"OK")</f>
        <v>0</v>
      </c>
      <c r="E575" s="171"/>
      <c r="F575" s="171"/>
      <c r="G575" s="171"/>
      <c r="H575" s="179"/>
      <c r="I575" s="179"/>
      <c r="J575" s="171"/>
      <c r="K575" s="236"/>
      <c r="L575" s="171"/>
      <c r="M575" s="171"/>
      <c r="N575" s="171"/>
      <c r="O575" s="242"/>
      <c r="P575" s="237"/>
      <c r="Q575" s="237"/>
      <c r="R575" s="238"/>
      <c r="S575" s="463"/>
      <c r="T575" s="565"/>
      <c r="U575" s="240"/>
      <c r="V575" s="174" t="s">
        <v>59</v>
      </c>
      <c r="W575" s="171"/>
      <c r="X575" s="177"/>
      <c r="Y575" s="177"/>
      <c r="Z575" s="178"/>
      <c r="AA575" s="174" t="s">
        <v>59</v>
      </c>
      <c r="AB575" s="178"/>
      <c r="AC575" s="179"/>
      <c r="AD575" s="171"/>
      <c r="AE575" s="171"/>
      <c r="AF575" s="171"/>
      <c r="AG575" s="171"/>
      <c r="AH575" s="171"/>
      <c r="AI575" s="171"/>
      <c r="AZ575" s="171"/>
      <c r="BA575" s="171">
        <f>(COUNTIF(AJ575:AL575,"*OK*")*3) + (COUNTIF(AM575:AO575,"*OK*")*2) + COUNTIF(AP575:AR575,"*OK*")+COUNTIF(AZ575:AZ575,"SI")*0.5</f>
        <v>0</v>
      </c>
      <c r="BB575" s="171" t="str">
        <f>IF(BA575&lt;0.6,"Demasiado Riesgo",IF(BA575&lt;=5,"Riesgo Medio",IF(BA575&lt;=11,"Riesgo Bajo","Cliente Blindado")))</f>
        <v>Demasiado Riesgo</v>
      </c>
      <c r="BC575" s="171"/>
      <c r="BD575" s="171"/>
      <c r="BE575" s="171"/>
      <c r="BF575" s="171"/>
      <c r="BG575" s="171"/>
      <c r="BH575" s="171"/>
      <c r="BI575" s="171"/>
      <c r="BJ575" s="171"/>
      <c r="BK575" s="171"/>
      <c r="BL575" s="171"/>
      <c r="BM575" s="171"/>
      <c r="BN575" s="171"/>
      <c r="BO575" s="171"/>
      <c r="BP575" s="171"/>
      <c r="BQ575" s="171"/>
      <c r="BR575" s="171"/>
      <c r="BS575" s="171"/>
      <c r="BT575" s="171"/>
      <c r="BU575" s="171"/>
      <c r="BV575" s="171"/>
      <c r="BW575" s="171"/>
      <c r="BX575" s="171"/>
      <c r="BY575" s="171"/>
      <c r="BZ575" s="171"/>
      <c r="CA575" s="171">
        <f>COUNTIF(AJ575:AX575,"*OK*")</f>
        <v>0</v>
      </c>
    </row>
    <row r="576" spans="1:79" ht="15" customHeight="1">
      <c r="A576" s="241"/>
      <c r="B576" s="160"/>
      <c r="C576" s="472"/>
      <c r="D576" s="160">
        <f>COUNTIF(AN576:AY576,"OK")</f>
        <v>0</v>
      </c>
      <c r="E576" s="160"/>
      <c r="F576" s="160"/>
      <c r="G576" s="160"/>
      <c r="H576" s="168"/>
      <c r="I576" s="168"/>
      <c r="J576" s="160"/>
      <c r="K576" s="220"/>
      <c r="L576" s="160"/>
      <c r="M576" s="160"/>
      <c r="N576" s="160"/>
      <c r="O576" s="243"/>
      <c r="P576" s="223"/>
      <c r="Q576" s="223"/>
      <c r="R576" s="239"/>
      <c r="S576" s="462"/>
      <c r="T576" s="564"/>
      <c r="U576" s="241"/>
      <c r="V576" s="163" t="s">
        <v>59</v>
      </c>
      <c r="W576" s="160"/>
      <c r="X576" s="166"/>
      <c r="Y576" s="166"/>
      <c r="Z576" s="167"/>
      <c r="AA576" s="163" t="s">
        <v>59</v>
      </c>
      <c r="AB576" s="167"/>
      <c r="AC576" s="168"/>
      <c r="AD576" s="160"/>
      <c r="AE576" s="160"/>
      <c r="AF576" s="160"/>
      <c r="AG576" s="160"/>
      <c r="AH576" s="160"/>
      <c r="AI576" s="160"/>
      <c r="AZ576" s="160"/>
      <c r="BA576" s="160">
        <f>(COUNTIF(AJ576:AL576,"*OK*")*3) + (COUNTIF(AM576:AO576,"*OK*")*2) + COUNTIF(AP576:AR576,"*OK*")+COUNTIF(AZ576:AZ576,"SI")*0.5</f>
        <v>0</v>
      </c>
      <c r="BB576" s="160" t="str">
        <f>IF(BA576&lt;0.6,"Demasiado Riesgo",IF(BA576&lt;=5,"Riesgo Medio",IF(BA576&lt;=11,"Riesgo Bajo","Cliente Blindado")))</f>
        <v>Demasiado Riesgo</v>
      </c>
      <c r="BC576" s="160"/>
      <c r="BD576" s="160"/>
      <c r="BE576" s="160"/>
      <c r="BF576" s="160"/>
      <c r="BG576" s="160"/>
      <c r="BH576" s="160"/>
      <c r="BI576" s="160"/>
      <c r="BJ576" s="160"/>
      <c r="BK576" s="160"/>
      <c r="BL576" s="160"/>
      <c r="BM576" s="160"/>
      <c r="BN576" s="160"/>
      <c r="BO576" s="160"/>
      <c r="BP576" s="160"/>
      <c r="BQ576" s="160"/>
      <c r="BR576" s="160"/>
      <c r="BS576" s="160"/>
      <c r="BT576" s="160"/>
      <c r="BU576" s="160"/>
      <c r="BV576" s="160"/>
      <c r="BW576" s="160"/>
      <c r="BX576" s="160"/>
      <c r="BY576" s="160"/>
      <c r="BZ576" s="160"/>
      <c r="CA576" s="160">
        <f>COUNTIF(AJ576:AX576,"*OK*")</f>
        <v>0</v>
      </c>
    </row>
    <row r="577" spans="1:79" ht="15" customHeight="1">
      <c r="A577" s="240"/>
      <c r="B577" s="171"/>
      <c r="C577" s="471"/>
      <c r="D577" s="171">
        <f>COUNTIF(AN577:AY577,"OK")</f>
        <v>0</v>
      </c>
      <c r="E577" s="171"/>
      <c r="F577" s="171"/>
      <c r="G577" s="171"/>
      <c r="H577" s="179"/>
      <c r="I577" s="179"/>
      <c r="J577" s="171"/>
      <c r="K577" s="236"/>
      <c r="L577" s="171"/>
      <c r="M577" s="171"/>
      <c r="N577" s="171"/>
      <c r="O577" s="242"/>
      <c r="P577" s="237"/>
      <c r="Q577" s="237"/>
      <c r="R577" s="238"/>
      <c r="S577" s="463"/>
      <c r="T577" s="565"/>
      <c r="U577" s="240"/>
      <c r="V577" s="174" t="s">
        <v>59</v>
      </c>
      <c r="W577" s="171"/>
      <c r="X577" s="177"/>
      <c r="Y577" s="177"/>
      <c r="Z577" s="178"/>
      <c r="AA577" s="174" t="s">
        <v>59</v>
      </c>
      <c r="AB577" s="178"/>
      <c r="AC577" s="179"/>
      <c r="AD577" s="171"/>
      <c r="AE577" s="171"/>
      <c r="AF577" s="171"/>
      <c r="AG577" s="171"/>
      <c r="AH577" s="171"/>
      <c r="AI577" s="171"/>
      <c r="AZ577" s="171"/>
      <c r="BA577" s="171">
        <f>(COUNTIF(AJ577:AL577,"*OK*")*3) + (COUNTIF(AM577:AO577,"*OK*")*2) + COUNTIF(AP577:AR577,"*OK*")+COUNTIF(AZ577:AZ577,"SI")*0.5</f>
        <v>0</v>
      </c>
      <c r="BB577" s="171" t="str">
        <f>IF(BA577&lt;0.6,"Demasiado Riesgo",IF(BA577&lt;=5,"Riesgo Medio",IF(BA577&lt;=11,"Riesgo Bajo","Cliente Blindado")))</f>
        <v>Demasiado Riesgo</v>
      </c>
      <c r="BC577" s="171"/>
      <c r="BD577" s="171"/>
      <c r="BE577" s="171"/>
      <c r="BF577" s="171"/>
      <c r="BG577" s="171"/>
      <c r="BH577" s="171"/>
      <c r="BI577" s="171"/>
      <c r="BJ577" s="171"/>
      <c r="BK577" s="171"/>
      <c r="BL577" s="171"/>
      <c r="BM577" s="171"/>
      <c r="BN577" s="171"/>
      <c r="BO577" s="171"/>
      <c r="BP577" s="171"/>
      <c r="BQ577" s="171"/>
      <c r="BR577" s="171"/>
      <c r="BS577" s="171"/>
      <c r="BT577" s="171"/>
      <c r="BU577" s="171"/>
      <c r="BV577" s="171"/>
      <c r="BW577" s="171"/>
      <c r="BX577" s="171"/>
      <c r="BY577" s="171"/>
      <c r="BZ577" s="171"/>
      <c r="CA577" s="171">
        <f>COUNTIF(AJ577:AX577,"*OK*")</f>
        <v>0</v>
      </c>
    </row>
    <row r="578" spans="1:79" ht="15" customHeight="1">
      <c r="A578" s="241"/>
      <c r="B578" s="160"/>
      <c r="C578" s="472"/>
      <c r="D578" s="160">
        <f>COUNTIF(AN578:AY578,"OK")</f>
        <v>0</v>
      </c>
      <c r="E578" s="160"/>
      <c r="F578" s="160"/>
      <c r="G578" s="160"/>
      <c r="H578" s="168"/>
      <c r="I578" s="168"/>
      <c r="J578" s="160"/>
      <c r="K578" s="220"/>
      <c r="L578" s="160"/>
      <c r="M578" s="160"/>
      <c r="N578" s="160"/>
      <c r="O578" s="243"/>
      <c r="P578" s="223"/>
      <c r="Q578" s="223"/>
      <c r="R578" s="239"/>
      <c r="S578" s="462"/>
      <c r="T578" s="564"/>
      <c r="U578" s="241"/>
      <c r="V578" s="163" t="s">
        <v>59</v>
      </c>
      <c r="W578" s="160"/>
      <c r="X578" s="166"/>
      <c r="Y578" s="166"/>
      <c r="Z578" s="167"/>
      <c r="AA578" s="160"/>
      <c r="AB578" s="167"/>
      <c r="AC578" s="168"/>
      <c r="AD578" s="160"/>
      <c r="AE578" s="160"/>
      <c r="AF578" s="160"/>
      <c r="AG578" s="160"/>
      <c r="AH578" s="160"/>
      <c r="AI578" s="160"/>
      <c r="AZ578" s="160"/>
      <c r="BA578" s="160">
        <f>(COUNTIF(AJ578:AL578,"*OK*")*3) + (COUNTIF(AM578:AO578,"*OK*")*2) + COUNTIF(AP578:AR578,"*OK*")+COUNTIF(AZ578:AZ578,"SI")*0.5</f>
        <v>0</v>
      </c>
      <c r="BB578" s="160" t="str">
        <f>IF(BA578&lt;0.6,"Demasiado Riesgo",IF(BA578&lt;=5,"Riesgo Medio",IF(BA578&lt;=11,"Riesgo Bajo","Cliente Blindado")))</f>
        <v>Demasiado Riesgo</v>
      </c>
      <c r="BC578" s="160"/>
      <c r="BD578" s="160"/>
      <c r="BE578" s="160"/>
      <c r="BF578" s="160"/>
      <c r="BG578" s="160"/>
      <c r="BH578" s="160"/>
      <c r="BI578" s="160"/>
      <c r="BJ578" s="160"/>
      <c r="BK578" s="160"/>
      <c r="BL578" s="160"/>
      <c r="BM578" s="160"/>
      <c r="BN578" s="160"/>
      <c r="BO578" s="160"/>
      <c r="BP578" s="160"/>
      <c r="BQ578" s="160"/>
      <c r="BR578" s="160"/>
      <c r="BS578" s="160"/>
      <c r="BT578" s="160"/>
      <c r="BU578" s="160"/>
      <c r="BV578" s="160"/>
      <c r="BW578" s="160"/>
      <c r="BX578" s="160"/>
      <c r="BY578" s="160"/>
      <c r="BZ578" s="160"/>
      <c r="CA578" s="160">
        <f>COUNTIF(AJ578:AX578,"*OK*")</f>
        <v>0</v>
      </c>
    </row>
    <row r="579" spans="1:79" ht="15" customHeight="1">
      <c r="A579" s="240"/>
      <c r="B579" s="171"/>
      <c r="C579" s="471"/>
      <c r="D579" s="171"/>
      <c r="E579" s="171"/>
      <c r="F579" s="171"/>
      <c r="G579" s="171"/>
      <c r="H579" s="179"/>
      <c r="I579" s="179"/>
      <c r="J579" s="171"/>
      <c r="K579" s="236"/>
      <c r="L579" s="171"/>
      <c r="M579" s="171"/>
      <c r="N579" s="171"/>
      <c r="O579" s="242"/>
      <c r="P579" s="237"/>
      <c r="Q579" s="237"/>
      <c r="R579" s="238"/>
      <c r="S579" s="463"/>
      <c r="T579" s="565"/>
      <c r="U579" s="240"/>
      <c r="V579" s="174" t="s">
        <v>59</v>
      </c>
      <c r="W579" s="171"/>
      <c r="X579" s="177"/>
      <c r="Y579" s="177"/>
      <c r="Z579" s="178"/>
      <c r="AA579" s="171"/>
      <c r="AB579" s="178"/>
      <c r="AC579" s="179"/>
      <c r="AD579" s="171"/>
      <c r="AE579" s="171"/>
      <c r="AF579" s="171"/>
      <c r="AG579" s="171"/>
      <c r="AH579" s="171"/>
      <c r="AI579" s="171"/>
      <c r="AZ579" s="171"/>
      <c r="BA579" s="171"/>
      <c r="BB579" s="171"/>
      <c r="BC579" s="171"/>
      <c r="BD579" s="171"/>
      <c r="BE579" s="171"/>
      <c r="BF579" s="171"/>
      <c r="BG579" s="171"/>
      <c r="BH579" s="171"/>
      <c r="BI579" s="171"/>
      <c r="BJ579" s="171"/>
      <c r="BK579" s="171"/>
      <c r="BL579" s="171"/>
      <c r="BM579" s="171"/>
      <c r="BN579" s="171"/>
      <c r="BO579" s="171"/>
      <c r="BP579" s="171"/>
      <c r="BQ579" s="171"/>
      <c r="BR579" s="171"/>
      <c r="BS579" s="171"/>
      <c r="BT579" s="171"/>
      <c r="BU579" s="171"/>
      <c r="BV579" s="171"/>
      <c r="BW579" s="171"/>
      <c r="BX579" s="171"/>
      <c r="BY579" s="171"/>
      <c r="BZ579" s="171"/>
      <c r="CA579" s="171">
        <f>COUNTIF(AJ579:AX579,"*OK*")</f>
        <v>0</v>
      </c>
    </row>
    <row r="580" spans="1:79" ht="15" customHeight="1">
      <c r="A580" s="241"/>
      <c r="B580" s="160"/>
      <c r="C580" s="472"/>
      <c r="D580" s="160"/>
      <c r="E580" s="160"/>
      <c r="F580" s="160"/>
      <c r="G580" s="160"/>
      <c r="H580" s="168"/>
      <c r="I580" s="168"/>
      <c r="J580" s="160"/>
      <c r="K580" s="220"/>
      <c r="L580" s="160"/>
      <c r="M580" s="160"/>
      <c r="N580" s="160"/>
      <c r="O580" s="243"/>
      <c r="P580" s="223"/>
      <c r="Q580" s="223"/>
      <c r="R580" s="239"/>
      <c r="S580" s="462"/>
      <c r="T580" s="564"/>
      <c r="U580" s="241"/>
      <c r="V580" s="163" t="s">
        <v>59</v>
      </c>
      <c r="W580" s="160"/>
      <c r="X580" s="166"/>
      <c r="Y580" s="166"/>
      <c r="Z580" s="167"/>
      <c r="AA580" s="160"/>
      <c r="AB580" s="167"/>
      <c r="AC580" s="168"/>
      <c r="AD580" s="160"/>
      <c r="AE580" s="160"/>
      <c r="AF580" s="160"/>
      <c r="AG580" s="160"/>
      <c r="AH580" s="160"/>
      <c r="AI580" s="160"/>
      <c r="AZ580" s="160"/>
      <c r="BA580" s="160"/>
      <c r="BB580" s="160"/>
      <c r="BC580" s="160"/>
      <c r="BD580" s="160"/>
      <c r="BE580" s="160"/>
      <c r="BF580" s="160"/>
      <c r="BG580" s="160"/>
      <c r="BH580" s="160"/>
      <c r="BI580" s="160"/>
      <c r="BJ580" s="160"/>
      <c r="BK580" s="160"/>
      <c r="BL580" s="160"/>
      <c r="BM580" s="160"/>
      <c r="BN580" s="160"/>
      <c r="BO580" s="160"/>
      <c r="BP580" s="160"/>
      <c r="BQ580" s="160"/>
      <c r="BR580" s="160"/>
      <c r="BS580" s="160"/>
      <c r="BT580" s="160"/>
      <c r="BU580" s="160"/>
      <c r="BV580" s="160"/>
      <c r="BW580" s="160"/>
      <c r="BX580" s="160"/>
      <c r="BY580" s="160"/>
      <c r="BZ580" s="160"/>
      <c r="CA580" s="160">
        <f>COUNTIF(AJ580:AX580,"*OK*")</f>
        <v>0</v>
      </c>
    </row>
    <row r="581" spans="1:79" ht="15" customHeight="1">
      <c r="A581" s="240"/>
      <c r="B581" s="171"/>
      <c r="C581" s="471"/>
      <c r="D581" s="171"/>
      <c r="E581" s="171"/>
      <c r="F581" s="171"/>
      <c r="G581" s="171"/>
      <c r="H581" s="179"/>
      <c r="I581" s="179"/>
      <c r="J581" s="171"/>
      <c r="K581" s="236"/>
      <c r="L581" s="171"/>
      <c r="M581" s="171"/>
      <c r="N581" s="171"/>
      <c r="O581" s="242"/>
      <c r="P581" s="237"/>
      <c r="Q581" s="237"/>
      <c r="R581" s="238"/>
      <c r="S581" s="463"/>
      <c r="T581" s="565"/>
      <c r="U581" s="240"/>
      <c r="V581" s="174" t="s">
        <v>59</v>
      </c>
      <c r="W581" s="171"/>
      <c r="X581" s="177"/>
      <c r="Y581" s="177"/>
      <c r="Z581" s="178"/>
      <c r="AA581" s="171"/>
      <c r="AB581" s="178"/>
      <c r="AC581" s="179"/>
      <c r="AD581" s="171"/>
      <c r="AE581" s="171"/>
      <c r="AF581" s="171"/>
      <c r="AG581" s="171"/>
      <c r="AH581" s="171"/>
      <c r="AI581" s="171"/>
      <c r="AZ581" s="171"/>
      <c r="BA581" s="171"/>
      <c r="BB581" s="171"/>
      <c r="BC581" s="171"/>
      <c r="BD581" s="171"/>
      <c r="BE581" s="171"/>
      <c r="BF581" s="171"/>
      <c r="BG581" s="171"/>
      <c r="BH581" s="171"/>
      <c r="BI581" s="171"/>
      <c r="BJ581" s="171"/>
      <c r="BK581" s="171"/>
      <c r="BL581" s="171"/>
      <c r="BM581" s="171"/>
      <c r="BN581" s="171"/>
      <c r="BO581" s="171"/>
      <c r="BP581" s="171"/>
      <c r="BQ581" s="171"/>
      <c r="BR581" s="171"/>
      <c r="BS581" s="171"/>
      <c r="BT581" s="171"/>
      <c r="BU581" s="171"/>
      <c r="BV581" s="171"/>
      <c r="BW581" s="171"/>
      <c r="BX581" s="171"/>
      <c r="BY581" s="171"/>
      <c r="BZ581" s="171"/>
      <c r="CA581" s="171">
        <f>COUNTIF(AJ581:AX581,"*OK*")</f>
        <v>0</v>
      </c>
    </row>
    <row r="582" spans="1:79" ht="15" customHeight="1">
      <c r="A582" s="241"/>
      <c r="B582" s="160"/>
      <c r="C582" s="472"/>
      <c r="D582" s="160"/>
      <c r="E582" s="160"/>
      <c r="F582" s="160"/>
      <c r="G582" s="160"/>
      <c r="H582" s="168"/>
      <c r="I582" s="168"/>
      <c r="J582" s="160"/>
      <c r="K582" s="220"/>
      <c r="L582" s="160"/>
      <c r="M582" s="160"/>
      <c r="N582" s="160"/>
      <c r="O582" s="243"/>
      <c r="P582" s="223"/>
      <c r="Q582" s="223"/>
      <c r="R582" s="239"/>
      <c r="S582" s="462"/>
      <c r="T582" s="564"/>
      <c r="U582" s="241"/>
      <c r="V582" s="163" t="s">
        <v>59</v>
      </c>
      <c r="W582" s="160"/>
      <c r="X582" s="166"/>
      <c r="Y582" s="166"/>
      <c r="Z582" s="167"/>
      <c r="AA582" s="160"/>
      <c r="AB582" s="167"/>
      <c r="AC582" s="168"/>
      <c r="AD582" s="160"/>
      <c r="AE582" s="160"/>
      <c r="AF582" s="160"/>
      <c r="AG582" s="160"/>
      <c r="AH582" s="160"/>
      <c r="AI582" s="160"/>
      <c r="AZ582" s="160"/>
      <c r="BA582" s="160"/>
      <c r="BB582" s="160"/>
      <c r="BC582" s="160"/>
      <c r="BD582" s="160"/>
      <c r="BE582" s="160"/>
      <c r="BF582" s="160"/>
      <c r="BG582" s="160"/>
      <c r="BH582" s="160"/>
      <c r="BI582" s="160"/>
      <c r="BJ582" s="160"/>
      <c r="BK582" s="160"/>
      <c r="BL582" s="160"/>
      <c r="BM582" s="160"/>
      <c r="BN582" s="160"/>
      <c r="BO582" s="160"/>
      <c r="BP582" s="160"/>
      <c r="BQ582" s="160"/>
      <c r="BR582" s="160"/>
      <c r="BS582" s="160"/>
      <c r="BT582" s="160"/>
      <c r="BU582" s="160"/>
      <c r="BV582" s="160"/>
      <c r="BW582" s="160"/>
      <c r="BX582" s="160"/>
      <c r="BY582" s="160"/>
      <c r="BZ582" s="160"/>
      <c r="CA582" s="160">
        <f>COUNTIF(AJ582:AX582,"*OK*")</f>
        <v>0</v>
      </c>
    </row>
    <row r="583" spans="1:79" ht="15" customHeight="1">
      <c r="A583" s="240"/>
      <c r="B583" s="171"/>
      <c r="C583" s="471"/>
      <c r="D583" s="171"/>
      <c r="E583" s="171"/>
      <c r="F583" s="171"/>
      <c r="G583" s="171"/>
      <c r="H583" s="179"/>
      <c r="I583" s="179"/>
      <c r="J583" s="171"/>
      <c r="K583" s="236"/>
      <c r="L583" s="171"/>
      <c r="M583" s="171"/>
      <c r="N583" s="171"/>
      <c r="O583" s="242"/>
      <c r="P583" s="237"/>
      <c r="Q583" s="237"/>
      <c r="R583" s="238"/>
      <c r="S583" s="463"/>
      <c r="T583" s="565"/>
      <c r="U583" s="240"/>
      <c r="V583" s="174" t="s">
        <v>59</v>
      </c>
      <c r="W583" s="171"/>
      <c r="X583" s="177"/>
      <c r="Y583" s="177"/>
      <c r="Z583" s="178"/>
      <c r="AA583" s="171"/>
      <c r="AB583" s="178"/>
      <c r="AC583" s="179"/>
      <c r="AD583" s="171"/>
      <c r="AE583" s="171"/>
      <c r="AF583" s="171"/>
      <c r="AG583" s="171"/>
      <c r="AH583" s="171"/>
      <c r="AI583" s="171"/>
      <c r="AZ583" s="171"/>
      <c r="BA583" s="171"/>
      <c r="BB583" s="171"/>
      <c r="BC583" s="171"/>
      <c r="BD583" s="171"/>
      <c r="BE583" s="171"/>
      <c r="BF583" s="171"/>
      <c r="BG583" s="171"/>
      <c r="BH583" s="171"/>
      <c r="BI583" s="171"/>
      <c r="BJ583" s="171"/>
      <c r="BK583" s="171"/>
      <c r="BL583" s="171"/>
      <c r="BM583" s="171"/>
      <c r="BN583" s="171"/>
      <c r="BO583" s="171"/>
      <c r="BP583" s="171"/>
      <c r="BQ583" s="171"/>
      <c r="BR583" s="171"/>
      <c r="BS583" s="171"/>
      <c r="BT583" s="171"/>
      <c r="BU583" s="171"/>
      <c r="BV583" s="171"/>
      <c r="BW583" s="171"/>
      <c r="BX583" s="171"/>
      <c r="BY583" s="171"/>
      <c r="BZ583" s="171"/>
      <c r="CA583" s="171">
        <f>COUNTIF(AJ583:AX583,"*OK*")</f>
        <v>0</v>
      </c>
    </row>
    <row r="584" spans="1:79" ht="15" customHeight="1">
      <c r="A584" s="241"/>
      <c r="B584" s="160"/>
      <c r="C584" s="472"/>
      <c r="D584" s="160"/>
      <c r="E584" s="160"/>
      <c r="F584" s="160"/>
      <c r="G584" s="160"/>
      <c r="H584" s="168"/>
      <c r="I584" s="168"/>
      <c r="J584" s="160"/>
      <c r="K584" s="220"/>
      <c r="L584" s="160"/>
      <c r="M584" s="160"/>
      <c r="N584" s="160"/>
      <c r="O584" s="243"/>
      <c r="P584" s="223"/>
      <c r="Q584" s="223"/>
      <c r="R584" s="239"/>
      <c r="S584" s="462"/>
      <c r="T584" s="564"/>
      <c r="U584" s="241"/>
      <c r="V584" s="163" t="s">
        <v>59</v>
      </c>
      <c r="W584" s="160"/>
      <c r="X584" s="166"/>
      <c r="Y584" s="166"/>
      <c r="Z584" s="167"/>
      <c r="AA584" s="160"/>
      <c r="AB584" s="167"/>
      <c r="AC584" s="168"/>
      <c r="AD584" s="160"/>
      <c r="AE584" s="160"/>
      <c r="AF584" s="160"/>
      <c r="AG584" s="160"/>
      <c r="AH584" s="160"/>
      <c r="AI584" s="160"/>
      <c r="AZ584" s="160"/>
      <c r="BA584" s="160"/>
      <c r="BB584" s="160"/>
      <c r="BC584" s="160"/>
      <c r="BD584" s="160"/>
      <c r="BE584" s="160"/>
      <c r="BF584" s="160"/>
      <c r="BG584" s="160"/>
      <c r="BH584" s="160"/>
      <c r="BI584" s="160"/>
      <c r="BJ584" s="160"/>
      <c r="BK584" s="160"/>
      <c r="BL584" s="160"/>
      <c r="BM584" s="160"/>
      <c r="BN584" s="160"/>
      <c r="BO584" s="160"/>
      <c r="BP584" s="160"/>
      <c r="BQ584" s="160"/>
      <c r="BR584" s="160"/>
      <c r="BS584" s="160"/>
      <c r="BT584" s="160"/>
      <c r="BU584" s="160"/>
      <c r="BV584" s="160"/>
      <c r="BW584" s="160"/>
      <c r="BX584" s="160"/>
      <c r="BY584" s="160"/>
      <c r="BZ584" s="160"/>
      <c r="CA584" s="160">
        <f>COUNTIF(AJ584:AX584,"*OK*")</f>
        <v>0</v>
      </c>
    </row>
    <row r="585" spans="1:79" ht="15" customHeight="1">
      <c r="A585" s="240"/>
      <c r="B585" s="171"/>
      <c r="C585" s="471"/>
      <c r="D585" s="171"/>
      <c r="E585" s="171"/>
      <c r="F585" s="171"/>
      <c r="G585" s="171"/>
      <c r="H585" s="179"/>
      <c r="I585" s="179"/>
      <c r="J585" s="171"/>
      <c r="K585" s="236"/>
      <c r="L585" s="171"/>
      <c r="M585" s="171"/>
      <c r="N585" s="171"/>
      <c r="O585" s="242"/>
      <c r="P585" s="237"/>
      <c r="Q585" s="237"/>
      <c r="R585" s="238"/>
      <c r="S585" s="463"/>
      <c r="T585" s="565"/>
      <c r="U585" s="240"/>
      <c r="V585" s="174" t="s">
        <v>59</v>
      </c>
      <c r="W585" s="171"/>
      <c r="X585" s="177"/>
      <c r="Y585" s="177"/>
      <c r="Z585" s="178"/>
      <c r="AA585" s="171"/>
      <c r="AB585" s="178"/>
      <c r="AC585" s="179"/>
      <c r="AD585" s="171"/>
      <c r="AE585" s="171"/>
      <c r="AF585" s="171"/>
      <c r="AG585" s="171"/>
      <c r="AH585" s="171"/>
      <c r="AI585" s="171"/>
      <c r="AZ585" s="171"/>
      <c r="BA585" s="171"/>
      <c r="BB585" s="171"/>
      <c r="BC585" s="171"/>
      <c r="BD585" s="171"/>
      <c r="BE585" s="171"/>
      <c r="BF585" s="171"/>
      <c r="BG585" s="171"/>
      <c r="BH585" s="171"/>
      <c r="BI585" s="171"/>
      <c r="BJ585" s="171"/>
      <c r="BK585" s="171"/>
      <c r="BL585" s="171"/>
      <c r="BM585" s="171"/>
      <c r="BN585" s="171"/>
      <c r="BO585" s="171"/>
      <c r="BP585" s="171"/>
      <c r="BQ585" s="171"/>
      <c r="BR585" s="171"/>
      <c r="BS585" s="171"/>
      <c r="BT585" s="171"/>
      <c r="BU585" s="171"/>
      <c r="BV585" s="171"/>
      <c r="BW585" s="171"/>
      <c r="BX585" s="171"/>
      <c r="BY585" s="171"/>
      <c r="BZ585" s="171"/>
      <c r="CA585" s="171">
        <f>COUNTIF(AJ585:AX585,"*OK*")</f>
        <v>0</v>
      </c>
    </row>
    <row r="586" spans="1:79" ht="15" customHeight="1">
      <c r="A586" s="241"/>
      <c r="B586" s="160"/>
      <c r="C586" s="472"/>
      <c r="D586" s="160"/>
      <c r="E586" s="160"/>
      <c r="F586" s="160"/>
      <c r="G586" s="160"/>
      <c r="H586" s="168"/>
      <c r="I586" s="168"/>
      <c r="J586" s="160"/>
      <c r="K586" s="220"/>
      <c r="L586" s="160"/>
      <c r="M586" s="160"/>
      <c r="N586" s="160"/>
      <c r="O586" s="243"/>
      <c r="P586" s="223"/>
      <c r="Q586" s="223"/>
      <c r="R586" s="239"/>
      <c r="S586" s="462"/>
      <c r="T586" s="564"/>
      <c r="U586" s="241"/>
      <c r="V586" s="163" t="s">
        <v>59</v>
      </c>
      <c r="W586" s="160"/>
      <c r="X586" s="166"/>
      <c r="Y586" s="166"/>
      <c r="Z586" s="167"/>
      <c r="AA586" s="160"/>
      <c r="AB586" s="167"/>
      <c r="AC586" s="168"/>
      <c r="AD586" s="160"/>
      <c r="AE586" s="160"/>
      <c r="AF586" s="160"/>
      <c r="AG586" s="160"/>
      <c r="AH586" s="160"/>
      <c r="AI586" s="160"/>
      <c r="AZ586" s="160"/>
      <c r="BA586" s="160"/>
      <c r="BB586" s="160"/>
      <c r="BC586" s="160"/>
      <c r="BD586" s="160"/>
      <c r="BE586" s="160"/>
      <c r="BF586" s="160"/>
      <c r="BG586" s="160"/>
      <c r="BH586" s="160"/>
      <c r="BI586" s="160"/>
      <c r="BJ586" s="160"/>
      <c r="BK586" s="160"/>
      <c r="BL586" s="160"/>
      <c r="BM586" s="160"/>
      <c r="BN586" s="160"/>
      <c r="BO586" s="160"/>
      <c r="BP586" s="160"/>
      <c r="BQ586" s="160"/>
      <c r="BR586" s="160"/>
      <c r="BS586" s="160"/>
      <c r="BT586" s="160"/>
      <c r="BU586" s="160"/>
      <c r="BV586" s="160"/>
      <c r="BW586" s="160"/>
      <c r="BX586" s="160"/>
      <c r="BY586" s="160"/>
      <c r="BZ586" s="160"/>
      <c r="CA586" s="160">
        <f>COUNTIF(AJ586:AX586,"*OK*")</f>
        <v>0</v>
      </c>
    </row>
    <row r="587" spans="1:79" ht="15" customHeight="1">
      <c r="A587" s="240"/>
      <c r="B587" s="171"/>
      <c r="C587" s="471"/>
      <c r="D587" s="171"/>
      <c r="E587" s="171"/>
      <c r="F587" s="171"/>
      <c r="G587" s="171"/>
      <c r="H587" s="179"/>
      <c r="I587" s="179"/>
      <c r="J587" s="171"/>
      <c r="K587" s="236"/>
      <c r="L587" s="171"/>
      <c r="M587" s="171"/>
      <c r="N587" s="171"/>
      <c r="O587" s="242"/>
      <c r="P587" s="237"/>
      <c r="Q587" s="237"/>
      <c r="R587" s="238"/>
      <c r="S587" s="463"/>
      <c r="T587" s="565"/>
      <c r="U587" s="240"/>
      <c r="V587" s="174" t="s">
        <v>59</v>
      </c>
      <c r="W587" s="171"/>
      <c r="X587" s="177"/>
      <c r="Y587" s="177"/>
      <c r="Z587" s="178"/>
      <c r="AA587" s="171"/>
      <c r="AB587" s="178"/>
      <c r="AC587" s="179"/>
      <c r="AD587" s="171"/>
      <c r="AE587" s="171"/>
      <c r="AF587" s="171"/>
      <c r="AG587" s="171"/>
      <c r="AH587" s="171"/>
      <c r="AI587" s="171"/>
      <c r="AZ587" s="171"/>
      <c r="BA587" s="171"/>
      <c r="BB587" s="171"/>
      <c r="BC587" s="171"/>
      <c r="BD587" s="171"/>
      <c r="BE587" s="171"/>
      <c r="BF587" s="171"/>
      <c r="BG587" s="171"/>
      <c r="BH587" s="171"/>
      <c r="BI587" s="171"/>
      <c r="BJ587" s="171"/>
      <c r="BK587" s="171"/>
      <c r="BL587" s="171"/>
      <c r="BM587" s="171"/>
      <c r="BN587" s="171"/>
      <c r="BO587" s="171"/>
      <c r="BP587" s="171"/>
      <c r="BQ587" s="171"/>
      <c r="BR587" s="171"/>
      <c r="BS587" s="171"/>
      <c r="BT587" s="171"/>
      <c r="BU587" s="171"/>
      <c r="BV587" s="171"/>
      <c r="BW587" s="171"/>
      <c r="BX587" s="171"/>
      <c r="BY587" s="171"/>
      <c r="BZ587" s="171"/>
      <c r="CA587" s="171">
        <f>COUNTIF(AJ587:AX587,"*OK*")</f>
        <v>0</v>
      </c>
    </row>
    <row r="588" spans="1:79" ht="15" customHeight="1">
      <c r="A588" s="241"/>
      <c r="B588" s="160"/>
      <c r="C588" s="472"/>
      <c r="D588" s="160"/>
      <c r="E588" s="160"/>
      <c r="F588" s="160"/>
      <c r="G588" s="160"/>
      <c r="H588" s="168"/>
      <c r="I588" s="168"/>
      <c r="J588" s="160"/>
      <c r="K588" s="220"/>
      <c r="L588" s="160"/>
      <c r="M588" s="160"/>
      <c r="N588" s="160"/>
      <c r="O588" s="243"/>
      <c r="P588" s="223"/>
      <c r="Q588" s="223"/>
      <c r="R588" s="239"/>
      <c r="S588" s="462"/>
      <c r="T588" s="564"/>
      <c r="U588" s="241"/>
      <c r="V588" s="163" t="s">
        <v>59</v>
      </c>
      <c r="W588" s="160"/>
      <c r="X588" s="166"/>
      <c r="Y588" s="166"/>
      <c r="Z588" s="167"/>
      <c r="AA588" s="160"/>
      <c r="AB588" s="167"/>
      <c r="AC588" s="168"/>
      <c r="AD588" s="160"/>
      <c r="AE588" s="160"/>
      <c r="AF588" s="160"/>
      <c r="AG588" s="160"/>
      <c r="AH588" s="160"/>
      <c r="AI588" s="160"/>
      <c r="AZ588" s="160"/>
      <c r="BA588" s="160"/>
      <c r="BB588" s="160"/>
      <c r="BC588" s="160"/>
      <c r="BD588" s="160"/>
      <c r="BE588" s="160"/>
      <c r="BF588" s="160"/>
      <c r="BG588" s="160"/>
      <c r="BH588" s="160"/>
      <c r="BI588" s="160"/>
      <c r="BJ588" s="160"/>
      <c r="BK588" s="160"/>
      <c r="BL588" s="160"/>
      <c r="BM588" s="160"/>
      <c r="BN588" s="160"/>
      <c r="BO588" s="160"/>
      <c r="BP588" s="160"/>
      <c r="BQ588" s="160"/>
      <c r="BR588" s="160"/>
      <c r="BS588" s="160"/>
      <c r="BT588" s="160"/>
      <c r="BU588" s="160"/>
      <c r="BV588" s="160"/>
      <c r="BW588" s="160"/>
      <c r="BX588" s="160"/>
      <c r="BY588" s="160"/>
      <c r="BZ588" s="160"/>
      <c r="CA588" s="160">
        <f>COUNTIF(AJ588:AX588,"*OK*")</f>
        <v>0</v>
      </c>
    </row>
    <row r="589" spans="1:79" ht="15" customHeight="1">
      <c r="A589" s="240"/>
      <c r="B589" s="171"/>
      <c r="C589" s="471"/>
      <c r="D589" s="171"/>
      <c r="E589" s="171"/>
      <c r="F589" s="171"/>
      <c r="G589" s="171"/>
      <c r="H589" s="179"/>
      <c r="I589" s="179"/>
      <c r="J589" s="171"/>
      <c r="K589" s="236"/>
      <c r="L589" s="171"/>
      <c r="M589" s="171"/>
      <c r="N589" s="171"/>
      <c r="O589" s="242"/>
      <c r="P589" s="237"/>
      <c r="Q589" s="237"/>
      <c r="R589" s="238"/>
      <c r="S589" s="463"/>
      <c r="T589" s="565"/>
      <c r="U589" s="240"/>
      <c r="V589" s="174" t="s">
        <v>59</v>
      </c>
      <c r="W589" s="171"/>
      <c r="X589" s="177"/>
      <c r="Y589" s="177"/>
      <c r="Z589" s="178"/>
      <c r="AA589" s="171"/>
      <c r="AB589" s="178"/>
      <c r="AC589" s="179"/>
      <c r="AD589" s="171"/>
      <c r="AE589" s="171"/>
      <c r="AF589" s="171"/>
      <c r="AG589" s="171"/>
      <c r="AH589" s="171"/>
      <c r="AI589" s="171"/>
      <c r="AZ589" s="171"/>
      <c r="BA589" s="171"/>
      <c r="BB589" s="171"/>
      <c r="BC589" s="171"/>
      <c r="BD589" s="171"/>
      <c r="BE589" s="171"/>
      <c r="BF589" s="171"/>
      <c r="BG589" s="171"/>
      <c r="BH589" s="171"/>
      <c r="BI589" s="171"/>
      <c r="BJ589" s="171"/>
      <c r="BK589" s="171"/>
      <c r="BL589" s="171"/>
      <c r="BM589" s="171"/>
      <c r="BN589" s="171"/>
      <c r="BO589" s="171"/>
      <c r="BP589" s="171"/>
      <c r="BQ589" s="171"/>
      <c r="BR589" s="171"/>
      <c r="BS589" s="171"/>
      <c r="BT589" s="171"/>
      <c r="BU589" s="171"/>
      <c r="BV589" s="171"/>
      <c r="BW589" s="171"/>
      <c r="BX589" s="171"/>
      <c r="BY589" s="171"/>
      <c r="BZ589" s="171"/>
      <c r="CA589" s="171">
        <f>COUNTIF(AJ589:AX589,"*OK*")</f>
        <v>0</v>
      </c>
    </row>
    <row r="590" spans="1:79" ht="15" customHeight="1">
      <c r="A590" s="241"/>
      <c r="B590" s="160"/>
      <c r="C590" s="472"/>
      <c r="D590" s="160"/>
      <c r="E590" s="160"/>
      <c r="F590" s="160"/>
      <c r="G590" s="160"/>
      <c r="H590" s="168"/>
      <c r="I590" s="168"/>
      <c r="J590" s="160"/>
      <c r="K590" s="220"/>
      <c r="L590" s="160"/>
      <c r="M590" s="160"/>
      <c r="N590" s="160"/>
      <c r="O590" s="243"/>
      <c r="P590" s="223"/>
      <c r="Q590" s="223"/>
      <c r="R590" s="239"/>
      <c r="S590" s="462"/>
      <c r="T590" s="564"/>
      <c r="U590" s="241"/>
      <c r="V590" s="163" t="s">
        <v>59</v>
      </c>
      <c r="W590" s="160"/>
      <c r="X590" s="166"/>
      <c r="Y590" s="166"/>
      <c r="Z590" s="167"/>
      <c r="AA590" s="160"/>
      <c r="AB590" s="167"/>
      <c r="AC590" s="168"/>
      <c r="AD590" s="160"/>
      <c r="AE590" s="160"/>
      <c r="AF590" s="160"/>
      <c r="AG590" s="160"/>
      <c r="AH590" s="160"/>
      <c r="AI590" s="160"/>
      <c r="AZ590" s="160"/>
      <c r="BA590" s="160"/>
      <c r="BB590" s="160"/>
      <c r="BC590" s="160"/>
      <c r="BD590" s="160"/>
      <c r="BE590" s="160"/>
      <c r="BF590" s="160"/>
      <c r="BG590" s="160"/>
      <c r="BH590" s="160"/>
      <c r="BI590" s="160"/>
      <c r="BJ590" s="160"/>
      <c r="BK590" s="160"/>
      <c r="BL590" s="160"/>
      <c r="BM590" s="160"/>
      <c r="BN590" s="160"/>
      <c r="BO590" s="160"/>
      <c r="BP590" s="160"/>
      <c r="BQ590" s="160"/>
      <c r="BR590" s="160"/>
      <c r="BS590" s="160"/>
      <c r="BT590" s="160"/>
      <c r="BU590" s="160"/>
      <c r="BV590" s="160"/>
      <c r="BW590" s="160"/>
      <c r="BX590" s="160"/>
      <c r="BY590" s="160"/>
      <c r="BZ590" s="160"/>
      <c r="CA590" s="160">
        <f>COUNTIF(AJ590:AX590,"*OK*")</f>
        <v>0</v>
      </c>
    </row>
    <row r="591" spans="1:79" ht="15" customHeight="1">
      <c r="A591" s="240"/>
      <c r="B591" s="171"/>
      <c r="C591" s="471"/>
      <c r="D591" s="171"/>
      <c r="E591" s="171"/>
      <c r="F591" s="171"/>
      <c r="G591" s="171"/>
      <c r="H591" s="179"/>
      <c r="I591" s="179"/>
      <c r="J591" s="171"/>
      <c r="K591" s="236"/>
      <c r="L591" s="171"/>
      <c r="M591" s="171"/>
      <c r="N591" s="171"/>
      <c r="O591" s="242"/>
      <c r="P591" s="237"/>
      <c r="Q591" s="237"/>
      <c r="R591" s="238"/>
      <c r="S591" s="463"/>
      <c r="T591" s="565"/>
      <c r="U591" s="240"/>
      <c r="V591" s="174" t="s">
        <v>59</v>
      </c>
      <c r="W591" s="171"/>
      <c r="X591" s="177"/>
      <c r="Y591" s="177"/>
      <c r="Z591" s="178"/>
      <c r="AA591" s="171"/>
      <c r="AB591" s="178"/>
      <c r="AC591" s="179"/>
      <c r="AD591" s="171"/>
      <c r="AE591" s="171"/>
      <c r="AF591" s="171"/>
      <c r="AG591" s="171"/>
      <c r="AH591" s="171"/>
      <c r="AI591" s="171"/>
      <c r="AZ591" s="171"/>
      <c r="BA591" s="171"/>
      <c r="BB591" s="171"/>
      <c r="BC591" s="171"/>
      <c r="BD591" s="171"/>
      <c r="BE591" s="171"/>
      <c r="BF591" s="171"/>
      <c r="BG591" s="171"/>
      <c r="BH591" s="171"/>
      <c r="BI591" s="171"/>
      <c r="BJ591" s="171"/>
      <c r="BK591" s="171"/>
      <c r="BL591" s="171"/>
      <c r="BM591" s="171"/>
      <c r="BN591" s="171"/>
      <c r="BO591" s="171"/>
      <c r="BP591" s="171"/>
      <c r="BQ591" s="171"/>
      <c r="BR591" s="171"/>
      <c r="BS591" s="171"/>
      <c r="BT591" s="171"/>
      <c r="BU591" s="171"/>
      <c r="BV591" s="171"/>
      <c r="BW591" s="171"/>
      <c r="BX591" s="171"/>
      <c r="BY591" s="171"/>
      <c r="BZ591" s="171"/>
      <c r="CA591" s="171">
        <f>COUNTIF(AJ591:AX591,"*OK*")</f>
        <v>0</v>
      </c>
    </row>
    <row r="592" spans="1:79" ht="15" customHeight="1">
      <c r="A592" s="241"/>
      <c r="B592" s="160"/>
      <c r="C592" s="472"/>
      <c r="D592" s="160"/>
      <c r="E592" s="160"/>
      <c r="F592" s="160"/>
      <c r="G592" s="160"/>
      <c r="H592" s="168"/>
      <c r="I592" s="168"/>
      <c r="J592" s="160"/>
      <c r="K592" s="220"/>
      <c r="L592" s="160"/>
      <c r="M592" s="160"/>
      <c r="N592" s="160"/>
      <c r="O592" s="243"/>
      <c r="P592" s="223"/>
      <c r="Q592" s="223"/>
      <c r="R592" s="239"/>
      <c r="S592" s="462"/>
      <c r="T592" s="564"/>
      <c r="U592" s="241"/>
      <c r="V592" s="163" t="s">
        <v>59</v>
      </c>
      <c r="W592" s="160"/>
      <c r="X592" s="166"/>
      <c r="Y592" s="166"/>
      <c r="Z592" s="167"/>
      <c r="AA592" s="160"/>
      <c r="AB592" s="167"/>
      <c r="AC592" s="168"/>
      <c r="AD592" s="160"/>
      <c r="AE592" s="160"/>
      <c r="AF592" s="160"/>
      <c r="AG592" s="160"/>
      <c r="AH592" s="160"/>
      <c r="AI592" s="160"/>
      <c r="AZ592" s="160"/>
      <c r="BA592" s="160"/>
      <c r="BB592" s="160"/>
      <c r="BC592" s="160"/>
      <c r="BD592" s="160"/>
      <c r="BE592" s="160"/>
      <c r="BF592" s="160"/>
      <c r="BG592" s="160"/>
      <c r="BH592" s="160"/>
      <c r="BI592" s="160"/>
      <c r="BJ592" s="160"/>
      <c r="BK592" s="160"/>
      <c r="BL592" s="160"/>
      <c r="BM592" s="160"/>
      <c r="BN592" s="160"/>
      <c r="BO592" s="160"/>
      <c r="BP592" s="160"/>
      <c r="BQ592" s="160"/>
      <c r="BR592" s="160"/>
      <c r="BS592" s="160"/>
      <c r="BT592" s="160"/>
      <c r="BU592" s="160"/>
      <c r="BV592" s="160"/>
      <c r="BW592" s="160"/>
      <c r="BX592" s="160"/>
      <c r="BY592" s="160"/>
      <c r="BZ592" s="160"/>
      <c r="CA592" s="160">
        <f>COUNTIF(AJ592:AX592,"*OK*")</f>
        <v>0</v>
      </c>
    </row>
    <row r="593" spans="1:79" ht="15" customHeight="1">
      <c r="A593" s="240"/>
      <c r="B593" s="171"/>
      <c r="C593" s="471"/>
      <c r="D593" s="171"/>
      <c r="E593" s="171"/>
      <c r="F593" s="171"/>
      <c r="G593" s="171"/>
      <c r="H593" s="179"/>
      <c r="I593" s="179"/>
      <c r="J593" s="171"/>
      <c r="K593" s="236"/>
      <c r="L593" s="171"/>
      <c r="M593" s="171"/>
      <c r="N593" s="171"/>
      <c r="O593" s="242"/>
      <c r="P593" s="237"/>
      <c r="Q593" s="237"/>
      <c r="R593" s="238"/>
      <c r="S593" s="463"/>
      <c r="T593" s="565"/>
      <c r="U593" s="240"/>
      <c r="V593" s="174" t="s">
        <v>59</v>
      </c>
      <c r="W593" s="171"/>
      <c r="X593" s="177"/>
      <c r="Y593" s="177"/>
      <c r="Z593" s="178"/>
      <c r="AA593" s="171"/>
      <c r="AB593" s="178"/>
      <c r="AC593" s="179"/>
      <c r="AD593" s="171"/>
      <c r="AE593" s="171"/>
      <c r="AF593" s="171"/>
      <c r="AG593" s="171"/>
      <c r="AH593" s="171"/>
      <c r="AI593" s="171"/>
      <c r="AZ593" s="171"/>
      <c r="BA593" s="171"/>
      <c r="BB593" s="171"/>
      <c r="BC593" s="171"/>
      <c r="BD593" s="171"/>
      <c r="BE593" s="171"/>
      <c r="BF593" s="171"/>
      <c r="BG593" s="171"/>
      <c r="BH593" s="171"/>
      <c r="BI593" s="171"/>
      <c r="BJ593" s="171"/>
      <c r="BK593" s="171"/>
      <c r="BL593" s="171"/>
      <c r="BM593" s="171"/>
      <c r="BN593" s="171"/>
      <c r="BO593" s="171"/>
      <c r="BP593" s="171"/>
      <c r="BQ593" s="171"/>
      <c r="BR593" s="171"/>
      <c r="BS593" s="171"/>
      <c r="BT593" s="171"/>
      <c r="BU593" s="171"/>
      <c r="BV593" s="171"/>
      <c r="BW593" s="171"/>
      <c r="BX593" s="171"/>
      <c r="BY593" s="171"/>
      <c r="BZ593" s="171"/>
      <c r="CA593" s="171">
        <f>COUNTIF(AJ593:AX593,"*OK*")</f>
        <v>0</v>
      </c>
    </row>
    <row r="594" spans="1:79" ht="15" customHeight="1">
      <c r="A594" s="241"/>
      <c r="B594" s="160"/>
      <c r="C594" s="472"/>
      <c r="D594" s="160"/>
      <c r="E594" s="160"/>
      <c r="F594" s="160"/>
      <c r="G594" s="160"/>
      <c r="H594" s="168"/>
      <c r="I594" s="168"/>
      <c r="J594" s="160"/>
      <c r="K594" s="220"/>
      <c r="L594" s="160"/>
      <c r="M594" s="160"/>
      <c r="N594" s="160"/>
      <c r="O594" s="243"/>
      <c r="P594" s="223"/>
      <c r="Q594" s="223"/>
      <c r="R594" s="239"/>
      <c r="S594" s="462"/>
      <c r="T594" s="564"/>
      <c r="U594" s="241"/>
      <c r="V594" s="163" t="s">
        <v>59</v>
      </c>
      <c r="W594" s="160"/>
      <c r="X594" s="166"/>
      <c r="Y594" s="166"/>
      <c r="Z594" s="167"/>
      <c r="AA594" s="160"/>
      <c r="AB594" s="167"/>
      <c r="AC594" s="168"/>
      <c r="AD594" s="160"/>
      <c r="AE594" s="160"/>
      <c r="AF594" s="160"/>
      <c r="AG594" s="160"/>
      <c r="AH594" s="160"/>
      <c r="AI594" s="160"/>
      <c r="AZ594" s="160"/>
      <c r="BA594" s="160"/>
      <c r="BB594" s="160"/>
      <c r="BC594" s="160"/>
      <c r="BD594" s="160"/>
      <c r="BE594" s="160"/>
      <c r="BF594" s="160"/>
      <c r="BG594" s="160"/>
      <c r="BH594" s="160"/>
      <c r="BI594" s="160"/>
      <c r="BJ594" s="160"/>
      <c r="BK594" s="160"/>
      <c r="BL594" s="160"/>
      <c r="BM594" s="160"/>
      <c r="BN594" s="160"/>
      <c r="BO594" s="160"/>
      <c r="BP594" s="160"/>
      <c r="BQ594" s="160"/>
      <c r="BR594" s="160"/>
      <c r="BS594" s="160"/>
      <c r="BT594" s="160"/>
      <c r="BU594" s="160"/>
      <c r="BV594" s="160"/>
      <c r="BW594" s="160"/>
      <c r="BX594" s="160"/>
      <c r="BY594" s="160"/>
      <c r="BZ594" s="160"/>
      <c r="CA594" s="160">
        <f>COUNTIF(AJ594:AX594,"*OK*")</f>
        <v>0</v>
      </c>
    </row>
    <row r="595" spans="1:79" ht="15" customHeight="1">
      <c r="A595" s="240"/>
      <c r="B595" s="171"/>
      <c r="C595" s="471"/>
      <c r="D595" s="171"/>
      <c r="E595" s="171"/>
      <c r="F595" s="171"/>
      <c r="G595" s="171"/>
      <c r="H595" s="179"/>
      <c r="I595" s="179"/>
      <c r="J595" s="171"/>
      <c r="K595" s="236"/>
      <c r="L595" s="171"/>
      <c r="M595" s="171"/>
      <c r="N595" s="171"/>
      <c r="O595" s="242"/>
      <c r="P595" s="237"/>
      <c r="Q595" s="237"/>
      <c r="R595" s="238"/>
      <c r="S595" s="463"/>
      <c r="T595" s="565"/>
      <c r="U595" s="240"/>
      <c r="V595" s="174" t="s">
        <v>59</v>
      </c>
      <c r="W595" s="171"/>
      <c r="X595" s="177"/>
      <c r="Y595" s="177"/>
      <c r="Z595" s="178"/>
      <c r="AA595" s="171"/>
      <c r="AB595" s="178"/>
      <c r="AC595" s="179"/>
      <c r="AD595" s="171"/>
      <c r="AE595" s="171"/>
      <c r="AF595" s="171"/>
      <c r="AG595" s="171"/>
      <c r="AH595" s="171"/>
      <c r="AI595" s="171"/>
      <c r="AZ595" s="171"/>
      <c r="BA595" s="171"/>
      <c r="BB595" s="171"/>
      <c r="BC595" s="171"/>
      <c r="BD595" s="171"/>
      <c r="BE595" s="171"/>
      <c r="BF595" s="171"/>
      <c r="BG595" s="171"/>
      <c r="BH595" s="171"/>
      <c r="BI595" s="171"/>
      <c r="BJ595" s="171"/>
      <c r="BK595" s="171"/>
      <c r="BL595" s="171"/>
      <c r="BM595" s="171"/>
      <c r="BN595" s="171"/>
      <c r="BO595" s="171"/>
      <c r="BP595" s="171"/>
      <c r="BQ595" s="171"/>
      <c r="BR595" s="171"/>
      <c r="BS595" s="171"/>
      <c r="BT595" s="171"/>
      <c r="BU595" s="171"/>
      <c r="BV595" s="171"/>
      <c r="BW595" s="171"/>
      <c r="BX595" s="171"/>
      <c r="BY595" s="171"/>
      <c r="BZ595" s="171"/>
      <c r="CA595" s="171">
        <f>COUNTIF(AJ595:AX595,"*OK*")</f>
        <v>0</v>
      </c>
    </row>
    <row r="596" spans="1:79" ht="15" customHeight="1">
      <c r="A596" s="241"/>
      <c r="B596" s="160"/>
      <c r="C596" s="472"/>
      <c r="D596" s="160"/>
      <c r="E596" s="160"/>
      <c r="F596" s="160"/>
      <c r="G596" s="160"/>
      <c r="H596" s="168"/>
      <c r="I596" s="168"/>
      <c r="J596" s="160"/>
      <c r="K596" s="220"/>
      <c r="L596" s="160"/>
      <c r="M596" s="160"/>
      <c r="N596" s="160"/>
      <c r="O596" s="243"/>
      <c r="P596" s="223"/>
      <c r="Q596" s="223"/>
      <c r="R596" s="239"/>
      <c r="S596" s="462"/>
      <c r="T596" s="564"/>
      <c r="U596" s="241"/>
      <c r="V596" s="163" t="s">
        <v>59</v>
      </c>
      <c r="W596" s="160"/>
      <c r="X596" s="166"/>
      <c r="Y596" s="166"/>
      <c r="Z596" s="167"/>
      <c r="AA596" s="160"/>
      <c r="AB596" s="167"/>
      <c r="AC596" s="168"/>
      <c r="AD596" s="160"/>
      <c r="AE596" s="160"/>
      <c r="AF596" s="160"/>
      <c r="AG596" s="160"/>
      <c r="AH596" s="160"/>
      <c r="AI596" s="160"/>
      <c r="AZ596" s="160"/>
      <c r="BA596" s="160"/>
      <c r="BB596" s="160"/>
      <c r="BC596" s="160"/>
      <c r="BD596" s="160"/>
      <c r="BE596" s="160"/>
      <c r="BF596" s="160"/>
      <c r="BG596" s="160"/>
      <c r="BH596" s="160"/>
      <c r="BI596" s="160"/>
      <c r="BJ596" s="160"/>
      <c r="BK596" s="160"/>
      <c r="BL596" s="160"/>
      <c r="BM596" s="160"/>
      <c r="BN596" s="160"/>
      <c r="BO596" s="160"/>
      <c r="BP596" s="160"/>
      <c r="BQ596" s="160"/>
      <c r="BR596" s="160"/>
      <c r="BS596" s="160"/>
      <c r="BT596" s="160"/>
      <c r="BU596" s="160"/>
      <c r="BV596" s="160"/>
      <c r="BW596" s="160"/>
      <c r="BX596" s="160"/>
      <c r="BY596" s="160"/>
      <c r="BZ596" s="160"/>
      <c r="CA596" s="160">
        <f>COUNTIF(AJ596:AX596,"*OK*")</f>
        <v>0</v>
      </c>
    </row>
    <row r="597" spans="1:79" ht="15" customHeight="1">
      <c r="A597" s="240"/>
      <c r="B597" s="171"/>
      <c r="C597" s="471"/>
      <c r="D597" s="171"/>
      <c r="E597" s="171"/>
      <c r="F597" s="171"/>
      <c r="G597" s="171"/>
      <c r="H597" s="179"/>
      <c r="I597" s="179"/>
      <c r="J597" s="171"/>
      <c r="K597" s="236"/>
      <c r="L597" s="171"/>
      <c r="M597" s="171"/>
      <c r="N597" s="171"/>
      <c r="O597" s="242"/>
      <c r="P597" s="237"/>
      <c r="Q597" s="237"/>
      <c r="R597" s="238"/>
      <c r="S597" s="463"/>
      <c r="T597" s="565"/>
      <c r="U597" s="240"/>
      <c r="V597" s="174" t="s">
        <v>59</v>
      </c>
      <c r="W597" s="171"/>
      <c r="X597" s="177"/>
      <c r="Y597" s="177"/>
      <c r="Z597" s="178"/>
      <c r="AA597" s="171"/>
      <c r="AB597" s="178"/>
      <c r="AC597" s="179"/>
      <c r="AD597" s="171"/>
      <c r="AE597" s="171"/>
      <c r="AF597" s="171"/>
      <c r="AG597" s="171"/>
      <c r="AH597" s="171"/>
      <c r="AI597" s="171"/>
      <c r="AZ597" s="171"/>
      <c r="BA597" s="171"/>
      <c r="BB597" s="171"/>
      <c r="BC597" s="171"/>
      <c r="BD597" s="171"/>
      <c r="BE597" s="171"/>
      <c r="BF597" s="171"/>
      <c r="BG597" s="171"/>
      <c r="BH597" s="171"/>
      <c r="BI597" s="171"/>
      <c r="BJ597" s="171"/>
      <c r="BK597" s="171"/>
      <c r="BL597" s="171"/>
      <c r="BM597" s="171"/>
      <c r="BN597" s="171"/>
      <c r="BO597" s="171"/>
      <c r="BP597" s="171"/>
      <c r="BQ597" s="171"/>
      <c r="BR597" s="171"/>
      <c r="BS597" s="171"/>
      <c r="BT597" s="171"/>
      <c r="BU597" s="171"/>
      <c r="BV597" s="171"/>
      <c r="BW597" s="171"/>
      <c r="BX597" s="171"/>
      <c r="BY597" s="171"/>
      <c r="BZ597" s="171"/>
      <c r="CA597" s="171">
        <f>COUNTIF(AJ597:AX597,"*OK*")</f>
        <v>0</v>
      </c>
    </row>
    <row r="598" spans="1:79" ht="15" customHeight="1">
      <c r="A598" s="241"/>
      <c r="B598" s="160"/>
      <c r="C598" s="472"/>
      <c r="D598" s="160"/>
      <c r="E598" s="160"/>
      <c r="F598" s="160"/>
      <c r="G598" s="160"/>
      <c r="H598" s="168"/>
      <c r="I598" s="168"/>
      <c r="J598" s="160"/>
      <c r="K598" s="220"/>
      <c r="L598" s="160"/>
      <c r="M598" s="160"/>
      <c r="N598" s="160"/>
      <c r="O598" s="243"/>
      <c r="P598" s="223"/>
      <c r="Q598" s="223"/>
      <c r="R598" s="239"/>
      <c r="S598" s="462"/>
      <c r="T598" s="564"/>
      <c r="U598" s="241"/>
      <c r="V598" s="163" t="s">
        <v>59</v>
      </c>
      <c r="W598" s="160"/>
      <c r="X598" s="166"/>
      <c r="Y598" s="166"/>
      <c r="Z598" s="167"/>
      <c r="AA598" s="160"/>
      <c r="AB598" s="167"/>
      <c r="AC598" s="168"/>
      <c r="AD598" s="160"/>
      <c r="AE598" s="160"/>
      <c r="AF598" s="160"/>
      <c r="AG598" s="160"/>
      <c r="AH598" s="160"/>
      <c r="AI598" s="160"/>
      <c r="AZ598" s="160"/>
      <c r="BA598" s="160"/>
      <c r="BB598" s="160"/>
      <c r="BC598" s="160"/>
      <c r="BD598" s="160"/>
      <c r="BE598" s="160"/>
      <c r="BF598" s="160"/>
      <c r="BG598" s="160"/>
      <c r="BH598" s="160"/>
      <c r="BI598" s="160"/>
      <c r="BJ598" s="160"/>
      <c r="BK598" s="160"/>
      <c r="BL598" s="160"/>
      <c r="BM598" s="160"/>
      <c r="BN598" s="160"/>
      <c r="BO598" s="160"/>
      <c r="BP598" s="160"/>
      <c r="BQ598" s="160"/>
      <c r="BR598" s="160"/>
      <c r="BS598" s="160"/>
      <c r="BT598" s="160"/>
      <c r="BU598" s="160"/>
      <c r="BV598" s="160"/>
      <c r="BW598" s="160"/>
      <c r="BX598" s="160"/>
      <c r="BY598" s="160"/>
      <c r="BZ598" s="160"/>
      <c r="CA598" s="160">
        <f>COUNTIF(AJ598:AX598,"*OK*")</f>
        <v>0</v>
      </c>
    </row>
    <row r="599" spans="1:79" ht="15" customHeight="1">
      <c r="A599" s="240"/>
      <c r="B599" s="171"/>
      <c r="C599" s="471"/>
      <c r="D599" s="171"/>
      <c r="E599" s="171"/>
      <c r="F599" s="171"/>
      <c r="G599" s="171"/>
      <c r="H599" s="179"/>
      <c r="I599" s="179"/>
      <c r="J599" s="171"/>
      <c r="K599" s="236"/>
      <c r="L599" s="171"/>
      <c r="M599" s="171"/>
      <c r="N599" s="171"/>
      <c r="O599" s="242"/>
      <c r="P599" s="237"/>
      <c r="Q599" s="237"/>
      <c r="R599" s="238"/>
      <c r="S599" s="463"/>
      <c r="T599" s="565"/>
      <c r="U599" s="240"/>
      <c r="V599" s="174" t="s">
        <v>59</v>
      </c>
      <c r="W599" s="171"/>
      <c r="X599" s="177"/>
      <c r="Y599" s="177"/>
      <c r="Z599" s="178"/>
      <c r="AA599" s="171"/>
      <c r="AB599" s="178"/>
      <c r="AC599" s="179"/>
      <c r="AD599" s="171"/>
      <c r="AE599" s="171"/>
      <c r="AF599" s="171"/>
      <c r="AG599" s="171"/>
      <c r="AH599" s="171"/>
      <c r="AI599" s="171"/>
      <c r="AZ599" s="171"/>
      <c r="BA599" s="171"/>
      <c r="BB599" s="171"/>
      <c r="BC599" s="171"/>
      <c r="BD599" s="171"/>
      <c r="BE599" s="171"/>
      <c r="BF599" s="171"/>
      <c r="BG599" s="171"/>
      <c r="BH599" s="171"/>
      <c r="BI599" s="171"/>
      <c r="BJ599" s="171"/>
      <c r="BK599" s="171"/>
      <c r="BL599" s="171"/>
      <c r="BM599" s="171"/>
      <c r="BN599" s="171"/>
      <c r="BO599" s="171"/>
      <c r="BP599" s="171"/>
      <c r="BQ599" s="171"/>
      <c r="BR599" s="171"/>
      <c r="BS599" s="171"/>
      <c r="BT599" s="171"/>
      <c r="BU599" s="171"/>
      <c r="BV599" s="171"/>
      <c r="BW599" s="171"/>
      <c r="BX599" s="171"/>
      <c r="BY599" s="171"/>
      <c r="BZ599" s="171"/>
      <c r="CA599" s="171">
        <f>COUNTIF(AJ599:AX599,"*OK*")</f>
        <v>0</v>
      </c>
    </row>
    <row r="600" spans="1:79" ht="15" customHeight="1">
      <c r="A600" s="241"/>
      <c r="B600" s="160"/>
      <c r="C600" s="472"/>
      <c r="D600" s="160"/>
      <c r="E600" s="160"/>
      <c r="F600" s="160"/>
      <c r="G600" s="160"/>
      <c r="H600" s="168"/>
      <c r="I600" s="168"/>
      <c r="J600" s="160"/>
      <c r="K600" s="220"/>
      <c r="L600" s="160"/>
      <c r="M600" s="160"/>
      <c r="N600" s="160"/>
      <c r="O600" s="243"/>
      <c r="P600" s="223"/>
      <c r="Q600" s="223"/>
      <c r="R600" s="239"/>
      <c r="S600" s="462"/>
      <c r="T600" s="564"/>
      <c r="U600" s="241"/>
      <c r="V600" s="163" t="s">
        <v>59</v>
      </c>
      <c r="W600" s="160"/>
      <c r="X600" s="166"/>
      <c r="Y600" s="166"/>
      <c r="Z600" s="167"/>
      <c r="AA600" s="160"/>
      <c r="AB600" s="167"/>
      <c r="AC600" s="168"/>
      <c r="AD600" s="160"/>
      <c r="AE600" s="160"/>
      <c r="AF600" s="160"/>
      <c r="AG600" s="160"/>
      <c r="AH600" s="160"/>
      <c r="AI600" s="160"/>
      <c r="AZ600" s="160"/>
      <c r="BA600" s="160"/>
      <c r="BB600" s="160"/>
      <c r="BC600" s="160"/>
      <c r="BD600" s="160"/>
      <c r="BE600" s="160"/>
      <c r="BF600" s="160"/>
      <c r="BG600" s="160"/>
      <c r="BH600" s="160"/>
      <c r="BI600" s="160"/>
      <c r="BJ600" s="160"/>
      <c r="BK600" s="160"/>
      <c r="BL600" s="160"/>
      <c r="BM600" s="160"/>
      <c r="BN600" s="160"/>
      <c r="BO600" s="160"/>
      <c r="BP600" s="160"/>
      <c r="BQ600" s="160"/>
      <c r="BR600" s="160"/>
      <c r="BS600" s="160"/>
      <c r="BT600" s="160"/>
      <c r="BU600" s="160"/>
      <c r="BV600" s="160"/>
      <c r="BW600" s="160"/>
      <c r="BX600" s="160"/>
      <c r="BY600" s="160"/>
      <c r="BZ600" s="160"/>
      <c r="CA600" s="160">
        <f>COUNTIF(AJ600:AX600,"*OK*")</f>
        <v>0</v>
      </c>
    </row>
    <row r="601" spans="1:79" ht="15" customHeight="1">
      <c r="A601" s="240"/>
      <c r="B601" s="171"/>
      <c r="C601" s="471"/>
      <c r="D601" s="171"/>
      <c r="E601" s="171"/>
      <c r="F601" s="171"/>
      <c r="G601" s="171"/>
      <c r="H601" s="179"/>
      <c r="I601" s="179"/>
      <c r="J601" s="171"/>
      <c r="K601" s="236"/>
      <c r="L601" s="171"/>
      <c r="M601" s="171"/>
      <c r="N601" s="171"/>
      <c r="O601" s="242"/>
      <c r="P601" s="237"/>
      <c r="Q601" s="237"/>
      <c r="R601" s="238"/>
      <c r="S601" s="463"/>
      <c r="T601" s="565"/>
      <c r="U601" s="240"/>
      <c r="V601" s="174" t="s">
        <v>59</v>
      </c>
      <c r="W601" s="171"/>
      <c r="X601" s="177"/>
      <c r="Y601" s="177"/>
      <c r="Z601" s="178"/>
      <c r="AA601" s="171"/>
      <c r="AB601" s="178"/>
      <c r="AC601" s="179"/>
      <c r="AD601" s="171"/>
      <c r="AE601" s="171"/>
      <c r="AF601" s="171"/>
      <c r="AG601" s="171"/>
      <c r="AH601" s="171"/>
      <c r="AI601" s="171"/>
      <c r="AZ601" s="171"/>
      <c r="BA601" s="171"/>
      <c r="BB601" s="171"/>
      <c r="BC601" s="171"/>
      <c r="BD601" s="171"/>
      <c r="BE601" s="171"/>
      <c r="BF601" s="171"/>
      <c r="BG601" s="171"/>
      <c r="BH601" s="171"/>
      <c r="BI601" s="171"/>
      <c r="BJ601" s="171"/>
      <c r="BK601" s="171"/>
      <c r="BL601" s="171"/>
      <c r="BM601" s="171"/>
      <c r="BN601" s="171"/>
      <c r="BO601" s="171"/>
      <c r="BP601" s="171"/>
      <c r="BQ601" s="171"/>
      <c r="BR601" s="171"/>
      <c r="BS601" s="171"/>
      <c r="BT601" s="171"/>
      <c r="BU601" s="171"/>
      <c r="BV601" s="171"/>
      <c r="BW601" s="171"/>
      <c r="BX601" s="171"/>
      <c r="BY601" s="171"/>
      <c r="BZ601" s="171"/>
      <c r="CA601" s="171">
        <f>COUNTIF(AJ601:AX601,"*OK*")</f>
        <v>0</v>
      </c>
    </row>
    <row r="602" spans="1:79" ht="15" customHeight="1">
      <c r="A602" s="241"/>
      <c r="B602" s="160"/>
      <c r="C602" s="472"/>
      <c r="D602" s="160"/>
      <c r="E602" s="160"/>
      <c r="F602" s="160"/>
      <c r="G602" s="160"/>
      <c r="H602" s="168"/>
      <c r="I602" s="168"/>
      <c r="J602" s="160"/>
      <c r="K602" s="220"/>
      <c r="L602" s="160"/>
      <c r="M602" s="160"/>
      <c r="N602" s="160"/>
      <c r="O602" s="243"/>
      <c r="P602" s="223"/>
      <c r="Q602" s="223"/>
      <c r="R602" s="239"/>
      <c r="S602" s="462"/>
      <c r="T602" s="564"/>
      <c r="U602" s="241"/>
      <c r="V602" s="163" t="s">
        <v>59</v>
      </c>
      <c r="W602" s="160"/>
      <c r="X602" s="166"/>
      <c r="Y602" s="166"/>
      <c r="Z602" s="167"/>
      <c r="AA602" s="160"/>
      <c r="AB602" s="167"/>
      <c r="AC602" s="168"/>
      <c r="AD602" s="160"/>
      <c r="AE602" s="160"/>
      <c r="AF602" s="160"/>
      <c r="AG602" s="160"/>
      <c r="AH602" s="160"/>
      <c r="AI602" s="160"/>
      <c r="AZ602" s="160"/>
      <c r="BA602" s="160"/>
      <c r="BB602" s="160"/>
      <c r="BC602" s="160"/>
      <c r="BD602" s="160"/>
      <c r="BE602" s="160"/>
      <c r="BF602" s="160"/>
      <c r="BG602" s="160"/>
      <c r="BH602" s="160"/>
      <c r="BI602" s="160"/>
      <c r="BJ602" s="160"/>
      <c r="BK602" s="160"/>
      <c r="BL602" s="160"/>
      <c r="BM602" s="160"/>
      <c r="BN602" s="160"/>
      <c r="BO602" s="160"/>
      <c r="BP602" s="160"/>
      <c r="BQ602" s="160"/>
      <c r="BR602" s="160"/>
      <c r="BS602" s="160"/>
      <c r="BT602" s="160"/>
      <c r="BU602" s="160"/>
      <c r="BV602" s="160"/>
      <c r="BW602" s="160"/>
      <c r="BX602" s="160"/>
      <c r="BY602" s="160"/>
      <c r="BZ602" s="160"/>
      <c r="CA602" s="160">
        <f>COUNTIF(AJ602:AX602,"*OK*")</f>
        <v>0</v>
      </c>
    </row>
    <row r="603" spans="1:79" ht="15" customHeight="1">
      <c r="A603" s="240"/>
      <c r="B603" s="171"/>
      <c r="C603" s="471"/>
      <c r="D603" s="171"/>
      <c r="E603" s="171"/>
      <c r="F603" s="171"/>
      <c r="G603" s="171"/>
      <c r="H603" s="179"/>
      <c r="I603" s="179"/>
      <c r="J603" s="171"/>
      <c r="K603" s="236"/>
      <c r="L603" s="171"/>
      <c r="M603" s="171"/>
      <c r="N603" s="171"/>
      <c r="O603" s="242"/>
      <c r="P603" s="237"/>
      <c r="Q603" s="237"/>
      <c r="R603" s="238"/>
      <c r="S603" s="463"/>
      <c r="T603" s="565"/>
      <c r="U603" s="240"/>
      <c r="V603" s="174" t="s">
        <v>59</v>
      </c>
      <c r="W603" s="171"/>
      <c r="X603" s="177"/>
      <c r="Y603" s="177"/>
      <c r="Z603" s="178"/>
      <c r="AA603" s="171"/>
      <c r="AB603" s="178"/>
      <c r="AC603" s="179"/>
      <c r="AD603" s="171"/>
      <c r="AE603" s="171"/>
      <c r="AF603" s="171"/>
      <c r="AG603" s="171"/>
      <c r="AH603" s="171"/>
      <c r="AI603" s="171"/>
      <c r="AZ603" s="171"/>
      <c r="BA603" s="171"/>
      <c r="BB603" s="171"/>
      <c r="BC603" s="171"/>
      <c r="BD603" s="171"/>
      <c r="BE603" s="171"/>
      <c r="BF603" s="171"/>
      <c r="BG603" s="171"/>
      <c r="BH603" s="171"/>
      <c r="BI603" s="171"/>
      <c r="BJ603" s="171"/>
      <c r="BK603" s="171"/>
      <c r="BL603" s="171"/>
      <c r="BM603" s="171"/>
      <c r="BN603" s="171"/>
      <c r="BO603" s="171"/>
      <c r="BP603" s="171"/>
      <c r="BQ603" s="171"/>
      <c r="BR603" s="171"/>
      <c r="BS603" s="171"/>
      <c r="BT603" s="171"/>
      <c r="BU603" s="171"/>
      <c r="BV603" s="171"/>
      <c r="BW603" s="171"/>
      <c r="BX603" s="171"/>
      <c r="BY603" s="171"/>
      <c r="BZ603" s="171"/>
      <c r="CA603" s="171">
        <f>COUNTIF(AJ603:AX603,"*OK*")</f>
        <v>0</v>
      </c>
    </row>
    <row r="604" spans="1:79" ht="15" customHeight="1">
      <c r="A604" s="241"/>
      <c r="B604" s="160"/>
      <c r="C604" s="472"/>
      <c r="D604" s="160"/>
      <c r="E604" s="160"/>
      <c r="F604" s="160"/>
      <c r="G604" s="160"/>
      <c r="H604" s="168"/>
      <c r="I604" s="168"/>
      <c r="J604" s="160"/>
      <c r="K604" s="220"/>
      <c r="L604" s="160"/>
      <c r="M604" s="160"/>
      <c r="N604" s="160"/>
      <c r="O604" s="243"/>
      <c r="P604" s="223"/>
      <c r="Q604" s="223"/>
      <c r="R604" s="239"/>
      <c r="S604" s="462"/>
      <c r="T604" s="564"/>
      <c r="U604" s="241"/>
      <c r="V604" s="163" t="s">
        <v>59</v>
      </c>
      <c r="W604" s="160"/>
      <c r="X604" s="166"/>
      <c r="Y604" s="166"/>
      <c r="Z604" s="167"/>
      <c r="AA604" s="160"/>
      <c r="AB604" s="167"/>
      <c r="AC604" s="168"/>
      <c r="AD604" s="160"/>
      <c r="AE604" s="160"/>
      <c r="AF604" s="160"/>
      <c r="AG604" s="160"/>
      <c r="AH604" s="160"/>
      <c r="AI604" s="160"/>
      <c r="AZ604" s="160"/>
      <c r="BA604" s="160"/>
      <c r="BB604" s="160"/>
      <c r="BC604" s="160"/>
      <c r="BD604" s="160"/>
      <c r="BE604" s="160"/>
      <c r="BF604" s="160"/>
      <c r="BG604" s="160"/>
      <c r="BH604" s="160"/>
      <c r="BI604" s="160"/>
      <c r="BJ604" s="160"/>
      <c r="BK604" s="160"/>
      <c r="BL604" s="160"/>
      <c r="BM604" s="160"/>
      <c r="BN604" s="160"/>
      <c r="BO604" s="160"/>
      <c r="BP604" s="160"/>
      <c r="BQ604" s="160"/>
      <c r="BR604" s="160"/>
      <c r="BS604" s="160"/>
      <c r="BT604" s="160"/>
      <c r="BU604" s="160"/>
      <c r="BV604" s="160"/>
      <c r="BW604" s="160"/>
      <c r="BX604" s="160"/>
      <c r="BY604" s="160"/>
      <c r="BZ604" s="160"/>
      <c r="CA604" s="160">
        <f>COUNTIF(AJ604:AX604,"*OK*")</f>
        <v>0</v>
      </c>
    </row>
    <row r="605" spans="1:79" ht="15" customHeight="1">
      <c r="A605" s="240"/>
      <c r="B605" s="171"/>
      <c r="C605" s="471"/>
      <c r="D605" s="171"/>
      <c r="E605" s="171"/>
      <c r="F605" s="171"/>
      <c r="G605" s="171"/>
      <c r="H605" s="179"/>
      <c r="I605" s="179"/>
      <c r="J605" s="171"/>
      <c r="K605" s="236"/>
      <c r="L605" s="171"/>
      <c r="M605" s="171"/>
      <c r="N605" s="171"/>
      <c r="O605" s="242"/>
      <c r="P605" s="237"/>
      <c r="Q605" s="237"/>
      <c r="R605" s="238"/>
      <c r="S605" s="463"/>
      <c r="T605" s="565"/>
      <c r="U605" s="240"/>
      <c r="V605" s="174" t="s">
        <v>59</v>
      </c>
      <c r="W605" s="171"/>
      <c r="X605" s="177"/>
      <c r="Y605" s="177"/>
      <c r="Z605" s="178"/>
      <c r="AA605" s="171"/>
      <c r="AB605" s="178"/>
      <c r="AC605" s="179"/>
      <c r="AD605" s="171"/>
      <c r="AE605" s="171"/>
      <c r="AF605" s="171"/>
      <c r="AG605" s="171"/>
      <c r="AH605" s="171"/>
      <c r="AI605" s="171"/>
      <c r="AZ605" s="171"/>
      <c r="BA605" s="171"/>
      <c r="BB605" s="171"/>
      <c r="BC605" s="171"/>
      <c r="BD605" s="171"/>
      <c r="BE605" s="171"/>
      <c r="BF605" s="171"/>
      <c r="BG605" s="171"/>
      <c r="BH605" s="171"/>
      <c r="BI605" s="171"/>
      <c r="BJ605" s="171"/>
      <c r="BK605" s="171"/>
      <c r="BL605" s="171"/>
      <c r="BM605" s="171"/>
      <c r="BN605" s="171"/>
      <c r="BO605" s="171"/>
      <c r="BP605" s="171"/>
      <c r="BQ605" s="171"/>
      <c r="BR605" s="171"/>
      <c r="BS605" s="171"/>
      <c r="BT605" s="171"/>
      <c r="BU605" s="171"/>
      <c r="BV605" s="171"/>
      <c r="BW605" s="171"/>
      <c r="BX605" s="171"/>
      <c r="BY605" s="171"/>
      <c r="BZ605" s="171"/>
      <c r="CA605" s="171">
        <f>COUNTIF(AJ605:AX605,"*OK*")</f>
        <v>0</v>
      </c>
    </row>
    <row r="606" spans="1:79" ht="15" customHeight="1">
      <c r="A606" s="241"/>
      <c r="B606" s="160"/>
      <c r="C606" s="472"/>
      <c r="D606" s="160"/>
      <c r="E606" s="160"/>
      <c r="F606" s="160"/>
      <c r="G606" s="160"/>
      <c r="H606" s="168"/>
      <c r="I606" s="168"/>
      <c r="J606" s="160"/>
      <c r="K606" s="220"/>
      <c r="L606" s="160"/>
      <c r="M606" s="160"/>
      <c r="N606" s="160"/>
      <c r="O606" s="243"/>
      <c r="P606" s="223"/>
      <c r="Q606" s="223"/>
      <c r="R606" s="239"/>
      <c r="S606" s="462"/>
      <c r="T606" s="564"/>
      <c r="U606" s="241"/>
      <c r="V606" s="163" t="s">
        <v>59</v>
      </c>
      <c r="W606" s="160"/>
      <c r="X606" s="166"/>
      <c r="Y606" s="166"/>
      <c r="Z606" s="167"/>
      <c r="AA606" s="160"/>
      <c r="AB606" s="167"/>
      <c r="AC606" s="168"/>
      <c r="AD606" s="160"/>
      <c r="AE606" s="160"/>
      <c r="AF606" s="160"/>
      <c r="AG606" s="160"/>
      <c r="AH606" s="160"/>
      <c r="AI606" s="160"/>
      <c r="AZ606" s="160"/>
      <c r="BA606" s="160"/>
      <c r="BB606" s="160"/>
      <c r="BC606" s="160"/>
      <c r="BD606" s="160"/>
      <c r="BE606" s="160"/>
      <c r="BF606" s="160"/>
      <c r="BG606" s="160"/>
      <c r="BH606" s="160"/>
      <c r="BI606" s="160"/>
      <c r="BJ606" s="160"/>
      <c r="BK606" s="160"/>
      <c r="BL606" s="160"/>
      <c r="BM606" s="160"/>
      <c r="BN606" s="160"/>
      <c r="BO606" s="160"/>
      <c r="BP606" s="160"/>
      <c r="BQ606" s="160"/>
      <c r="BR606" s="160"/>
      <c r="BS606" s="160"/>
      <c r="BT606" s="160"/>
      <c r="BU606" s="160"/>
      <c r="BV606" s="160"/>
      <c r="BW606" s="160"/>
      <c r="BX606" s="160"/>
      <c r="BY606" s="160"/>
      <c r="BZ606" s="160"/>
      <c r="CA606" s="160">
        <f>COUNTIF(AJ606:AX606,"*OK*")</f>
        <v>0</v>
      </c>
    </row>
    <row r="607" spans="1:79" ht="15" customHeight="1">
      <c r="A607" s="240"/>
      <c r="B607" s="171"/>
      <c r="C607" s="471"/>
      <c r="D607" s="171"/>
      <c r="E607" s="171"/>
      <c r="F607" s="171"/>
      <c r="G607" s="171"/>
      <c r="H607" s="179"/>
      <c r="I607" s="179"/>
      <c r="J607" s="171"/>
      <c r="K607" s="236"/>
      <c r="L607" s="171"/>
      <c r="M607" s="171"/>
      <c r="N607" s="171"/>
      <c r="O607" s="242"/>
      <c r="P607" s="237"/>
      <c r="Q607" s="237"/>
      <c r="R607" s="238"/>
      <c r="S607" s="463"/>
      <c r="T607" s="565"/>
      <c r="U607" s="240"/>
      <c r="V607" s="174" t="s">
        <v>59</v>
      </c>
      <c r="W607" s="171"/>
      <c r="X607" s="177"/>
      <c r="Y607" s="177"/>
      <c r="Z607" s="178"/>
      <c r="AA607" s="171"/>
      <c r="AB607" s="178"/>
      <c r="AC607" s="179"/>
      <c r="AD607" s="171"/>
      <c r="AE607" s="171"/>
      <c r="AF607" s="171"/>
      <c r="AG607" s="171"/>
      <c r="AH607" s="171"/>
      <c r="AI607" s="171"/>
      <c r="AZ607" s="171"/>
      <c r="BA607" s="171"/>
      <c r="BB607" s="171"/>
      <c r="BC607" s="171"/>
      <c r="BD607" s="171"/>
      <c r="BE607" s="171"/>
      <c r="BF607" s="171"/>
      <c r="BG607" s="171"/>
      <c r="BH607" s="171"/>
      <c r="BI607" s="171"/>
      <c r="BJ607" s="171"/>
      <c r="BK607" s="171"/>
      <c r="BL607" s="171"/>
      <c r="BM607" s="171"/>
      <c r="BN607" s="171"/>
      <c r="BO607" s="171"/>
      <c r="BP607" s="171"/>
      <c r="BQ607" s="171"/>
      <c r="BR607" s="171"/>
      <c r="BS607" s="171"/>
      <c r="BT607" s="171"/>
      <c r="BU607" s="171"/>
      <c r="BV607" s="171"/>
      <c r="BW607" s="171"/>
      <c r="BX607" s="171"/>
      <c r="BY607" s="171"/>
      <c r="BZ607" s="171"/>
      <c r="CA607" s="171">
        <f>COUNTIF(AJ607:AX607,"*OK*")</f>
        <v>0</v>
      </c>
    </row>
    <row r="608" spans="1:79" ht="15" customHeight="1">
      <c r="A608" s="241"/>
      <c r="B608" s="160"/>
      <c r="C608" s="472"/>
      <c r="D608" s="160"/>
      <c r="E608" s="160"/>
      <c r="F608" s="160"/>
      <c r="G608" s="160"/>
      <c r="H608" s="168"/>
      <c r="I608" s="168"/>
      <c r="J608" s="160"/>
      <c r="K608" s="220"/>
      <c r="L608" s="160"/>
      <c r="M608" s="160"/>
      <c r="N608" s="160"/>
      <c r="O608" s="243"/>
      <c r="P608" s="223"/>
      <c r="Q608" s="223"/>
      <c r="R608" s="239"/>
      <c r="S608" s="462"/>
      <c r="T608" s="564"/>
      <c r="U608" s="241"/>
      <c r="V608" s="163" t="s">
        <v>59</v>
      </c>
      <c r="W608" s="160"/>
      <c r="X608" s="166"/>
      <c r="Y608" s="166"/>
      <c r="Z608" s="167"/>
      <c r="AA608" s="160"/>
      <c r="AB608" s="167"/>
      <c r="AC608" s="168"/>
      <c r="AD608" s="160"/>
      <c r="AE608" s="160"/>
      <c r="AF608" s="160"/>
      <c r="AG608" s="160"/>
      <c r="AH608" s="160"/>
      <c r="AI608" s="160"/>
      <c r="AZ608" s="160"/>
      <c r="BA608" s="160"/>
      <c r="BB608" s="160"/>
      <c r="BC608" s="160"/>
      <c r="BD608" s="160"/>
      <c r="BE608" s="160"/>
      <c r="BF608" s="160"/>
      <c r="BG608" s="160"/>
      <c r="BH608" s="160"/>
      <c r="BI608" s="160"/>
      <c r="BJ608" s="160"/>
      <c r="BK608" s="160"/>
      <c r="BL608" s="160"/>
      <c r="BM608" s="160"/>
      <c r="BN608" s="160"/>
      <c r="BO608" s="160"/>
      <c r="BP608" s="160"/>
      <c r="BQ608" s="160"/>
      <c r="BR608" s="160"/>
      <c r="BS608" s="160"/>
      <c r="BT608" s="160"/>
      <c r="BU608" s="160"/>
      <c r="BV608" s="160"/>
      <c r="BW608" s="160"/>
      <c r="BX608" s="160"/>
      <c r="BY608" s="160"/>
      <c r="BZ608" s="160"/>
      <c r="CA608" s="160">
        <f>COUNTIF(AJ608:AX608,"*OK*")</f>
        <v>0</v>
      </c>
    </row>
    <row r="609" spans="1:79" ht="15" customHeight="1">
      <c r="A609" s="240"/>
      <c r="B609" s="171"/>
      <c r="C609" s="471"/>
      <c r="D609" s="171"/>
      <c r="E609" s="171"/>
      <c r="F609" s="171"/>
      <c r="G609" s="171"/>
      <c r="H609" s="179"/>
      <c r="I609" s="179"/>
      <c r="J609" s="171"/>
      <c r="K609" s="236"/>
      <c r="L609" s="171"/>
      <c r="M609" s="171"/>
      <c r="N609" s="171"/>
      <c r="O609" s="242"/>
      <c r="P609" s="237"/>
      <c r="Q609" s="237"/>
      <c r="R609" s="238"/>
      <c r="S609" s="463"/>
      <c r="T609" s="565"/>
      <c r="U609" s="240"/>
      <c r="V609" s="174" t="s">
        <v>59</v>
      </c>
      <c r="W609" s="171"/>
      <c r="X609" s="177"/>
      <c r="Y609" s="177"/>
      <c r="Z609" s="178"/>
      <c r="AA609" s="171"/>
      <c r="AB609" s="178"/>
      <c r="AC609" s="179"/>
      <c r="AD609" s="171"/>
      <c r="AE609" s="171"/>
      <c r="AF609" s="171"/>
      <c r="AG609" s="171"/>
      <c r="AH609" s="171"/>
      <c r="AI609" s="171"/>
      <c r="AZ609" s="171"/>
      <c r="BA609" s="171"/>
      <c r="BB609" s="171"/>
      <c r="BC609" s="171"/>
      <c r="BD609" s="171"/>
      <c r="BE609" s="171"/>
      <c r="BF609" s="171"/>
      <c r="BG609" s="171"/>
      <c r="BH609" s="171"/>
      <c r="BI609" s="171"/>
      <c r="BJ609" s="171"/>
      <c r="BK609" s="171"/>
      <c r="BL609" s="171"/>
      <c r="BM609" s="171"/>
      <c r="BN609" s="171"/>
      <c r="BO609" s="171"/>
      <c r="BP609" s="171"/>
      <c r="BQ609" s="171"/>
      <c r="BR609" s="171"/>
      <c r="BS609" s="171"/>
      <c r="BT609" s="171"/>
      <c r="BU609" s="171"/>
      <c r="BV609" s="171"/>
      <c r="BW609" s="171"/>
      <c r="BX609" s="171"/>
      <c r="BY609" s="171"/>
      <c r="BZ609" s="171"/>
      <c r="CA609" s="171">
        <f>COUNTIF(AJ609:AX609,"*OK*")</f>
        <v>0</v>
      </c>
    </row>
    <row r="610" spans="1:79" ht="15" customHeight="1">
      <c r="A610" s="241"/>
      <c r="B610" s="160"/>
      <c r="C610" s="472"/>
      <c r="D610" s="160"/>
      <c r="E610" s="160"/>
      <c r="F610" s="160"/>
      <c r="G610" s="160"/>
      <c r="H610" s="168"/>
      <c r="I610" s="168"/>
      <c r="J610" s="160"/>
      <c r="K610" s="220"/>
      <c r="L610" s="160"/>
      <c r="M610" s="160"/>
      <c r="N610" s="160"/>
      <c r="O610" s="243"/>
      <c r="P610" s="223"/>
      <c r="Q610" s="223"/>
      <c r="R610" s="239"/>
      <c r="S610" s="462"/>
      <c r="T610" s="564"/>
      <c r="U610" s="241"/>
      <c r="V610" s="163" t="s">
        <v>59</v>
      </c>
      <c r="W610" s="160"/>
      <c r="X610" s="166"/>
      <c r="Y610" s="166"/>
      <c r="Z610" s="167"/>
      <c r="AA610" s="160"/>
      <c r="AB610" s="167"/>
      <c r="AC610" s="168"/>
      <c r="AD610" s="160"/>
      <c r="AE610" s="160"/>
      <c r="AF610" s="160"/>
      <c r="AG610" s="160"/>
      <c r="AH610" s="160"/>
      <c r="AI610" s="160"/>
      <c r="AZ610" s="160"/>
      <c r="BA610" s="160"/>
      <c r="BB610" s="160"/>
      <c r="BC610" s="160"/>
      <c r="BD610" s="160"/>
      <c r="BE610" s="160"/>
      <c r="BF610" s="160"/>
      <c r="BG610" s="160"/>
      <c r="BH610" s="160"/>
      <c r="BI610" s="160"/>
      <c r="BJ610" s="160"/>
      <c r="BK610" s="160"/>
      <c r="BL610" s="160"/>
      <c r="BM610" s="160"/>
      <c r="BN610" s="160"/>
      <c r="BO610" s="160"/>
      <c r="BP610" s="160"/>
      <c r="BQ610" s="160"/>
      <c r="BR610" s="160"/>
      <c r="BS610" s="160"/>
      <c r="BT610" s="160"/>
      <c r="BU610" s="160"/>
      <c r="BV610" s="160"/>
      <c r="BW610" s="160"/>
      <c r="BX610" s="160"/>
      <c r="BY610" s="160"/>
      <c r="BZ610" s="160"/>
      <c r="CA610" s="160">
        <f>COUNTIF(AJ610:AX610,"*OK*")</f>
        <v>0</v>
      </c>
    </row>
    <row r="611" spans="1:79" ht="15" customHeight="1">
      <c r="A611" s="240"/>
      <c r="B611" s="171"/>
      <c r="C611" s="471"/>
      <c r="D611" s="171"/>
      <c r="E611" s="171"/>
      <c r="F611" s="171"/>
      <c r="G611" s="171"/>
      <c r="H611" s="179"/>
      <c r="I611" s="179"/>
      <c r="J611" s="171"/>
      <c r="K611" s="236"/>
      <c r="L611" s="171"/>
      <c r="M611" s="171"/>
      <c r="N611" s="171"/>
      <c r="O611" s="242"/>
      <c r="P611" s="237"/>
      <c r="Q611" s="237"/>
      <c r="R611" s="238"/>
      <c r="S611" s="463"/>
      <c r="T611" s="565"/>
      <c r="U611" s="240"/>
      <c r="V611" s="174" t="s">
        <v>59</v>
      </c>
      <c r="W611" s="171"/>
      <c r="X611" s="177"/>
      <c r="Y611" s="177"/>
      <c r="Z611" s="178"/>
      <c r="AA611" s="171"/>
      <c r="AB611" s="178"/>
      <c r="AC611" s="179"/>
      <c r="AD611" s="171"/>
      <c r="AE611" s="171"/>
      <c r="AF611" s="171"/>
      <c r="AG611" s="171"/>
      <c r="AH611" s="171"/>
      <c r="AI611" s="171"/>
      <c r="AZ611" s="171"/>
      <c r="BA611" s="171"/>
      <c r="BB611" s="171"/>
      <c r="BC611" s="171"/>
      <c r="BD611" s="171"/>
      <c r="BE611" s="171"/>
      <c r="BF611" s="171"/>
      <c r="BG611" s="171"/>
      <c r="BH611" s="171"/>
      <c r="BI611" s="171"/>
      <c r="BJ611" s="171"/>
      <c r="BK611" s="171"/>
      <c r="BL611" s="171"/>
      <c r="BM611" s="171"/>
      <c r="BN611" s="171"/>
      <c r="BO611" s="171"/>
      <c r="BP611" s="171"/>
      <c r="BQ611" s="171"/>
      <c r="BR611" s="171"/>
      <c r="BS611" s="171"/>
      <c r="BT611" s="171"/>
      <c r="BU611" s="171"/>
      <c r="BV611" s="171"/>
      <c r="BW611" s="171"/>
      <c r="BX611" s="171"/>
      <c r="BY611" s="171"/>
      <c r="BZ611" s="171"/>
      <c r="CA611" s="171">
        <f>COUNTIF(AJ611:AX611,"*OK*")</f>
        <v>0</v>
      </c>
    </row>
    <row r="612" spans="1:79" ht="15" customHeight="1">
      <c r="A612" s="241"/>
      <c r="B612" s="160"/>
      <c r="C612" s="472"/>
      <c r="D612" s="160"/>
      <c r="E612" s="160"/>
      <c r="F612" s="160"/>
      <c r="G612" s="160"/>
      <c r="H612" s="168"/>
      <c r="I612" s="168"/>
      <c r="J612" s="160"/>
      <c r="K612" s="220"/>
      <c r="L612" s="160"/>
      <c r="M612" s="160"/>
      <c r="N612" s="160"/>
      <c r="O612" s="243"/>
      <c r="P612" s="223"/>
      <c r="Q612" s="223"/>
      <c r="R612" s="239"/>
      <c r="S612" s="462"/>
      <c r="T612" s="564"/>
      <c r="U612" s="241"/>
      <c r="V612" s="163" t="s">
        <v>59</v>
      </c>
      <c r="W612" s="160"/>
      <c r="X612" s="166"/>
      <c r="Y612" s="166"/>
      <c r="Z612" s="167"/>
      <c r="AA612" s="160"/>
      <c r="AB612" s="167"/>
      <c r="AC612" s="168"/>
      <c r="AD612" s="160"/>
      <c r="AE612" s="160"/>
      <c r="AF612" s="160"/>
      <c r="AG612" s="160"/>
      <c r="AH612" s="160"/>
      <c r="AI612" s="160"/>
      <c r="AZ612" s="160"/>
      <c r="BA612" s="160"/>
      <c r="BB612" s="160"/>
      <c r="BC612" s="160"/>
      <c r="BD612" s="160"/>
      <c r="BE612" s="160"/>
      <c r="BF612" s="160"/>
      <c r="BG612" s="160"/>
      <c r="BH612" s="160"/>
      <c r="BI612" s="160"/>
      <c r="BJ612" s="160"/>
      <c r="BK612" s="160"/>
      <c r="BL612" s="160"/>
      <c r="BM612" s="160"/>
      <c r="BN612" s="160"/>
      <c r="BO612" s="160"/>
      <c r="BP612" s="160"/>
      <c r="BQ612" s="160"/>
      <c r="BR612" s="160"/>
      <c r="BS612" s="160"/>
      <c r="BT612" s="160"/>
      <c r="BU612" s="160"/>
      <c r="BV612" s="160"/>
      <c r="BW612" s="160"/>
      <c r="BX612" s="160"/>
      <c r="BY612" s="160"/>
      <c r="BZ612" s="160"/>
      <c r="CA612" s="160">
        <f>COUNTIF(AJ612:AX612,"*OK*")</f>
        <v>0</v>
      </c>
    </row>
    <row r="613" spans="1:79" ht="15" customHeight="1">
      <c r="A613" s="240"/>
      <c r="B613" s="171"/>
      <c r="C613" s="471"/>
      <c r="D613" s="171"/>
      <c r="E613" s="171"/>
      <c r="F613" s="171"/>
      <c r="G613" s="171"/>
      <c r="H613" s="179"/>
      <c r="I613" s="179"/>
      <c r="J613" s="171"/>
      <c r="K613" s="236"/>
      <c r="L613" s="171"/>
      <c r="M613" s="171"/>
      <c r="N613" s="171"/>
      <c r="O613" s="242"/>
      <c r="P613" s="237"/>
      <c r="Q613" s="237"/>
      <c r="R613" s="238"/>
      <c r="S613" s="463"/>
      <c r="T613" s="565"/>
      <c r="U613" s="240"/>
      <c r="V613" s="174" t="s">
        <v>59</v>
      </c>
      <c r="W613" s="171"/>
      <c r="X613" s="177"/>
      <c r="Y613" s="177"/>
      <c r="Z613" s="178"/>
      <c r="AA613" s="171"/>
      <c r="AB613" s="178"/>
      <c r="AC613" s="179"/>
      <c r="AD613" s="171"/>
      <c r="AE613" s="171"/>
      <c r="AF613" s="171"/>
      <c r="AG613" s="171"/>
      <c r="AH613" s="171"/>
      <c r="AI613" s="171"/>
      <c r="AZ613" s="171"/>
      <c r="BA613" s="171"/>
      <c r="BB613" s="171"/>
      <c r="BC613" s="171"/>
      <c r="BD613" s="171"/>
      <c r="BE613" s="171"/>
      <c r="BF613" s="171"/>
      <c r="BG613" s="171"/>
      <c r="BH613" s="171"/>
      <c r="BI613" s="171"/>
      <c r="BJ613" s="171"/>
      <c r="BK613" s="171"/>
      <c r="BL613" s="171"/>
      <c r="BM613" s="171"/>
      <c r="BN613" s="171"/>
      <c r="BO613" s="171"/>
      <c r="BP613" s="171"/>
      <c r="BQ613" s="171"/>
      <c r="BR613" s="171"/>
      <c r="BS613" s="171"/>
      <c r="BT613" s="171"/>
      <c r="BU613" s="171"/>
      <c r="BV613" s="171"/>
      <c r="BW613" s="171"/>
      <c r="BX613" s="171"/>
      <c r="BY613" s="171"/>
      <c r="BZ613" s="171"/>
      <c r="CA613" s="171">
        <f>COUNTIF(AJ613:AX613,"*OK*")</f>
        <v>0</v>
      </c>
    </row>
    <row r="614" spans="1:79" ht="15" customHeight="1">
      <c r="A614" s="241"/>
      <c r="B614" s="160"/>
      <c r="C614" s="472"/>
      <c r="D614" s="160"/>
      <c r="E614" s="160"/>
      <c r="F614" s="160"/>
      <c r="G614" s="160"/>
      <c r="H614" s="168"/>
      <c r="I614" s="168"/>
      <c r="J614" s="160"/>
      <c r="K614" s="220"/>
      <c r="L614" s="160"/>
      <c r="M614" s="160"/>
      <c r="N614" s="160"/>
      <c r="O614" s="243"/>
      <c r="P614" s="223"/>
      <c r="Q614" s="223"/>
      <c r="R614" s="239"/>
      <c r="S614" s="462"/>
      <c r="T614" s="564"/>
      <c r="U614" s="241"/>
      <c r="V614" s="163" t="s">
        <v>59</v>
      </c>
      <c r="W614" s="160"/>
      <c r="X614" s="166"/>
      <c r="Y614" s="166"/>
      <c r="Z614" s="167"/>
      <c r="AA614" s="160"/>
      <c r="AB614" s="167"/>
      <c r="AC614" s="168"/>
      <c r="AD614" s="160"/>
      <c r="AE614" s="160"/>
      <c r="AF614" s="160"/>
      <c r="AG614" s="160"/>
      <c r="AH614" s="160"/>
      <c r="AI614" s="160"/>
      <c r="AZ614" s="160"/>
      <c r="BA614" s="160"/>
      <c r="BB614" s="160"/>
      <c r="BC614" s="160"/>
      <c r="BD614" s="160"/>
      <c r="BE614" s="160"/>
      <c r="BF614" s="160"/>
      <c r="BG614" s="160"/>
      <c r="BH614" s="160"/>
      <c r="BI614" s="160"/>
      <c r="BJ614" s="160"/>
      <c r="BK614" s="160"/>
      <c r="BL614" s="160"/>
      <c r="BM614" s="160"/>
      <c r="BN614" s="160"/>
      <c r="BO614" s="160"/>
      <c r="BP614" s="160"/>
      <c r="BQ614" s="160"/>
      <c r="BR614" s="160"/>
      <c r="BS614" s="160"/>
      <c r="BT614" s="160"/>
      <c r="BU614" s="160"/>
      <c r="BV614" s="160"/>
      <c r="BW614" s="160"/>
      <c r="BX614" s="160"/>
      <c r="BY614" s="160"/>
      <c r="BZ614" s="160"/>
      <c r="CA614" s="160">
        <f>COUNTIF(AJ614:AX614,"*OK*")</f>
        <v>0</v>
      </c>
    </row>
    <row r="615" spans="1:79" ht="15" customHeight="1">
      <c r="A615" s="240"/>
      <c r="B615" s="171"/>
      <c r="C615" s="471"/>
      <c r="D615" s="171"/>
      <c r="E615" s="171"/>
      <c r="F615" s="171"/>
      <c r="G615" s="171"/>
      <c r="H615" s="179"/>
      <c r="I615" s="179"/>
      <c r="J615" s="171"/>
      <c r="K615" s="236"/>
      <c r="L615" s="171"/>
      <c r="M615" s="171"/>
      <c r="N615" s="171"/>
      <c r="O615" s="242"/>
      <c r="P615" s="237"/>
      <c r="Q615" s="237"/>
      <c r="R615" s="238"/>
      <c r="S615" s="463"/>
      <c r="T615" s="565"/>
      <c r="U615" s="240"/>
      <c r="V615" s="174" t="s">
        <v>59</v>
      </c>
      <c r="W615" s="171"/>
      <c r="X615" s="177"/>
      <c r="Y615" s="177"/>
      <c r="Z615" s="178"/>
      <c r="AA615" s="171"/>
      <c r="AB615" s="178"/>
      <c r="AC615" s="179"/>
      <c r="AD615" s="171"/>
      <c r="AE615" s="171"/>
      <c r="AF615" s="171"/>
      <c r="AG615" s="171"/>
      <c r="AH615" s="171"/>
      <c r="AI615" s="171"/>
      <c r="AZ615" s="171"/>
      <c r="BA615" s="171"/>
      <c r="BB615" s="171"/>
      <c r="BC615" s="171"/>
      <c r="BD615" s="171"/>
      <c r="BE615" s="171"/>
      <c r="BF615" s="171"/>
      <c r="BG615" s="171"/>
      <c r="BH615" s="171"/>
      <c r="BI615" s="171"/>
      <c r="BJ615" s="171"/>
      <c r="BK615" s="171"/>
      <c r="BL615" s="171"/>
      <c r="BM615" s="171"/>
      <c r="BN615" s="171"/>
      <c r="BO615" s="171"/>
      <c r="BP615" s="171"/>
      <c r="BQ615" s="171"/>
      <c r="BR615" s="171"/>
      <c r="BS615" s="171"/>
      <c r="BT615" s="171"/>
      <c r="BU615" s="171"/>
      <c r="BV615" s="171"/>
      <c r="BW615" s="171"/>
      <c r="BX615" s="171"/>
      <c r="BY615" s="171"/>
      <c r="BZ615" s="171"/>
      <c r="CA615" s="171">
        <f>COUNTIF(AJ615:AX615,"*OK*")</f>
        <v>0</v>
      </c>
    </row>
    <row r="616" spans="1:79" ht="15" customHeight="1">
      <c r="A616" s="241"/>
      <c r="B616" s="160"/>
      <c r="C616" s="472"/>
      <c r="D616" s="160"/>
      <c r="E616" s="160"/>
      <c r="F616" s="160"/>
      <c r="G616" s="160"/>
      <c r="H616" s="168"/>
      <c r="I616" s="168"/>
      <c r="J616" s="160"/>
      <c r="K616" s="220"/>
      <c r="L616" s="160"/>
      <c r="M616" s="160"/>
      <c r="N616" s="160"/>
      <c r="O616" s="243"/>
      <c r="P616" s="223"/>
      <c r="Q616" s="223"/>
      <c r="R616" s="239"/>
      <c r="S616" s="462"/>
      <c r="T616" s="564"/>
      <c r="U616" s="241"/>
      <c r="V616" s="163" t="s">
        <v>59</v>
      </c>
      <c r="W616" s="160"/>
      <c r="X616" s="166"/>
      <c r="Y616" s="166"/>
      <c r="Z616" s="167"/>
      <c r="AA616" s="160"/>
      <c r="AB616" s="167"/>
      <c r="AC616" s="168"/>
      <c r="AD616" s="160"/>
      <c r="AE616" s="160"/>
      <c r="AF616" s="160"/>
      <c r="AG616" s="160"/>
      <c r="AH616" s="160"/>
      <c r="AI616" s="160"/>
      <c r="AZ616" s="160"/>
      <c r="BA616" s="160"/>
      <c r="BB616" s="160"/>
      <c r="BC616" s="160"/>
      <c r="BD616" s="160"/>
      <c r="BE616" s="160"/>
      <c r="BF616" s="160"/>
      <c r="BG616" s="160"/>
      <c r="BH616" s="160"/>
      <c r="BI616" s="160"/>
      <c r="BJ616" s="160"/>
      <c r="BK616" s="160"/>
      <c r="BL616" s="160"/>
      <c r="BM616" s="160"/>
      <c r="BN616" s="160"/>
      <c r="BO616" s="160"/>
      <c r="BP616" s="160"/>
      <c r="BQ616" s="160"/>
      <c r="BR616" s="160"/>
      <c r="BS616" s="160"/>
      <c r="BT616" s="160"/>
      <c r="BU616" s="160"/>
      <c r="BV616" s="160"/>
      <c r="BW616" s="160"/>
      <c r="BX616" s="160"/>
      <c r="BY616" s="160"/>
      <c r="BZ616" s="160"/>
      <c r="CA616" s="160">
        <f>COUNTIF(AJ616:AX616,"*OK*")</f>
        <v>0</v>
      </c>
    </row>
    <row r="617" spans="1:79" ht="15" customHeight="1">
      <c r="A617" s="240"/>
      <c r="B617" s="171"/>
      <c r="C617" s="471"/>
      <c r="D617" s="171"/>
      <c r="E617" s="171"/>
      <c r="F617" s="171"/>
      <c r="G617" s="171"/>
      <c r="H617" s="179"/>
      <c r="I617" s="179"/>
      <c r="J617" s="171"/>
      <c r="K617" s="236"/>
      <c r="L617" s="171"/>
      <c r="M617" s="171"/>
      <c r="N617" s="171"/>
      <c r="O617" s="242"/>
      <c r="P617" s="237"/>
      <c r="Q617" s="237"/>
      <c r="R617" s="238"/>
      <c r="S617" s="463"/>
      <c r="T617" s="565"/>
      <c r="U617" s="240"/>
      <c r="V617" s="174" t="s">
        <v>59</v>
      </c>
      <c r="W617" s="171"/>
      <c r="X617" s="177"/>
      <c r="Y617" s="177"/>
      <c r="Z617" s="178"/>
      <c r="AA617" s="171"/>
      <c r="AB617" s="178"/>
      <c r="AC617" s="179"/>
      <c r="AD617" s="171"/>
      <c r="AE617" s="171"/>
      <c r="AF617" s="171"/>
      <c r="AG617" s="171"/>
      <c r="AH617" s="171"/>
      <c r="AI617" s="171"/>
      <c r="AZ617" s="171"/>
      <c r="BA617" s="171"/>
      <c r="BB617" s="171"/>
      <c r="BC617" s="171"/>
      <c r="BD617" s="171"/>
      <c r="BE617" s="171"/>
      <c r="BF617" s="171"/>
      <c r="BG617" s="171"/>
      <c r="BH617" s="171"/>
      <c r="BI617" s="171"/>
      <c r="BJ617" s="171"/>
      <c r="BK617" s="171"/>
      <c r="BL617" s="171"/>
      <c r="BM617" s="171"/>
      <c r="BN617" s="171"/>
      <c r="BO617" s="171"/>
      <c r="BP617" s="171"/>
      <c r="BQ617" s="171"/>
      <c r="BR617" s="171"/>
      <c r="BS617" s="171"/>
      <c r="BT617" s="171"/>
      <c r="BU617" s="171"/>
      <c r="BV617" s="171"/>
      <c r="BW617" s="171"/>
      <c r="BX617" s="171"/>
      <c r="BY617" s="171"/>
      <c r="BZ617" s="171"/>
      <c r="CA617" s="171">
        <f>COUNTIF(AJ617:AX617,"*OK*")</f>
        <v>0</v>
      </c>
    </row>
    <row r="618" spans="1:79" ht="15" customHeight="1">
      <c r="A618" s="241"/>
      <c r="B618" s="160"/>
      <c r="C618" s="472"/>
      <c r="D618" s="160"/>
      <c r="E618" s="160"/>
      <c r="F618" s="160"/>
      <c r="G618" s="160"/>
      <c r="H618" s="168"/>
      <c r="I618" s="168"/>
      <c r="J618" s="160"/>
      <c r="K618" s="220"/>
      <c r="L618" s="160"/>
      <c r="M618" s="160"/>
      <c r="N618" s="160"/>
      <c r="O618" s="243"/>
      <c r="P618" s="223"/>
      <c r="Q618" s="223"/>
      <c r="R618" s="239"/>
      <c r="S618" s="462"/>
      <c r="T618" s="564"/>
      <c r="U618" s="241"/>
      <c r="V618" s="163" t="s">
        <v>59</v>
      </c>
      <c r="W618" s="160"/>
      <c r="X618" s="166"/>
      <c r="Y618" s="166"/>
      <c r="Z618" s="167"/>
      <c r="AA618" s="160"/>
      <c r="AB618" s="167"/>
      <c r="AC618" s="168"/>
      <c r="AD618" s="160"/>
      <c r="AE618" s="160"/>
      <c r="AF618" s="160"/>
      <c r="AG618" s="160"/>
      <c r="AH618" s="160"/>
      <c r="AI618" s="160"/>
      <c r="AZ618" s="160"/>
      <c r="BA618" s="160"/>
      <c r="BB618" s="160"/>
      <c r="BC618" s="160"/>
      <c r="BD618" s="160"/>
      <c r="BE618" s="160"/>
      <c r="BF618" s="160"/>
      <c r="BG618" s="160"/>
      <c r="BH618" s="160"/>
      <c r="BI618" s="160"/>
      <c r="BJ618" s="160"/>
      <c r="BK618" s="160"/>
      <c r="BL618" s="160"/>
      <c r="BM618" s="160"/>
      <c r="BN618" s="160"/>
      <c r="BO618" s="160"/>
      <c r="BP618" s="160"/>
      <c r="BQ618" s="160"/>
      <c r="BR618" s="160"/>
      <c r="BS618" s="160"/>
      <c r="BT618" s="160"/>
      <c r="BU618" s="160"/>
      <c r="BV618" s="160"/>
      <c r="BW618" s="160"/>
      <c r="BX618" s="160"/>
      <c r="BY618" s="160"/>
      <c r="BZ618" s="160"/>
      <c r="CA618" s="160">
        <f>COUNTIF(AJ618:AX618,"*OK*")</f>
        <v>0</v>
      </c>
    </row>
    <row r="619" spans="1:79" ht="15" customHeight="1">
      <c r="A619" s="240"/>
      <c r="B619" s="171"/>
      <c r="C619" s="471"/>
      <c r="D619" s="171"/>
      <c r="E619" s="171"/>
      <c r="F619" s="171"/>
      <c r="G619" s="171"/>
      <c r="H619" s="179"/>
      <c r="I619" s="179"/>
      <c r="J619" s="171"/>
      <c r="K619" s="236"/>
      <c r="L619" s="171"/>
      <c r="M619" s="171"/>
      <c r="N619" s="171"/>
      <c r="O619" s="242"/>
      <c r="P619" s="237"/>
      <c r="Q619" s="237"/>
      <c r="R619" s="238"/>
      <c r="S619" s="463"/>
      <c r="T619" s="565"/>
      <c r="U619" s="240"/>
      <c r="V619" s="174" t="s">
        <v>59</v>
      </c>
      <c r="W619" s="171"/>
      <c r="X619" s="177"/>
      <c r="Y619" s="177"/>
      <c r="Z619" s="178"/>
      <c r="AA619" s="171"/>
      <c r="AB619" s="178"/>
      <c r="AC619" s="179"/>
      <c r="AD619" s="171"/>
      <c r="AE619" s="171"/>
      <c r="AF619" s="171"/>
      <c r="AG619" s="171"/>
      <c r="AH619" s="171"/>
      <c r="AI619" s="171"/>
      <c r="AZ619" s="171"/>
      <c r="BA619" s="171"/>
      <c r="BB619" s="171"/>
      <c r="BC619" s="171"/>
      <c r="BD619" s="171"/>
      <c r="BE619" s="171"/>
      <c r="BF619" s="171"/>
      <c r="BG619" s="171"/>
      <c r="BH619" s="171"/>
      <c r="BI619" s="171"/>
      <c r="BJ619" s="171"/>
      <c r="BK619" s="171"/>
      <c r="BL619" s="171"/>
      <c r="BM619" s="171"/>
      <c r="BN619" s="171"/>
      <c r="BO619" s="171"/>
      <c r="BP619" s="171"/>
      <c r="BQ619" s="171"/>
      <c r="BR619" s="171"/>
      <c r="BS619" s="171"/>
      <c r="BT619" s="171"/>
      <c r="BU619" s="171"/>
      <c r="BV619" s="171"/>
      <c r="BW619" s="171"/>
      <c r="BX619" s="171"/>
      <c r="BY619" s="171"/>
      <c r="BZ619" s="171"/>
      <c r="CA619" s="171">
        <f>COUNTIF(AJ619:AX619,"*OK*")</f>
        <v>0</v>
      </c>
    </row>
    <row r="620" spans="1:79" ht="15" customHeight="1">
      <c r="A620" s="241"/>
      <c r="B620" s="160"/>
      <c r="C620" s="472"/>
      <c r="D620" s="160"/>
      <c r="E620" s="160"/>
      <c r="F620" s="160"/>
      <c r="G620" s="160"/>
      <c r="H620" s="168"/>
      <c r="I620" s="168"/>
      <c r="J620" s="160"/>
      <c r="K620" s="220"/>
      <c r="L620" s="160"/>
      <c r="M620" s="160"/>
      <c r="N620" s="160"/>
      <c r="O620" s="243"/>
      <c r="P620" s="223"/>
      <c r="Q620" s="223"/>
      <c r="R620" s="239"/>
      <c r="S620" s="462"/>
      <c r="T620" s="564"/>
      <c r="U620" s="241"/>
      <c r="V620" s="163" t="s">
        <v>59</v>
      </c>
      <c r="W620" s="160"/>
      <c r="X620" s="166"/>
      <c r="Y620" s="166"/>
      <c r="Z620" s="167"/>
      <c r="AA620" s="160"/>
      <c r="AB620" s="167"/>
      <c r="AC620" s="168"/>
      <c r="AD620" s="160"/>
      <c r="AE620" s="160"/>
      <c r="AF620" s="160"/>
      <c r="AG620" s="160"/>
      <c r="AH620" s="160"/>
      <c r="AI620" s="160"/>
      <c r="AZ620" s="160"/>
      <c r="BA620" s="160"/>
      <c r="BB620" s="160"/>
      <c r="BC620" s="160"/>
      <c r="BD620" s="160"/>
      <c r="BE620" s="160"/>
      <c r="BF620" s="160"/>
      <c r="BG620" s="160"/>
      <c r="BH620" s="160"/>
      <c r="BI620" s="160"/>
      <c r="BJ620" s="160"/>
      <c r="BK620" s="160"/>
      <c r="BL620" s="160"/>
      <c r="BM620" s="160"/>
      <c r="BN620" s="160"/>
      <c r="BO620" s="160"/>
      <c r="BP620" s="160"/>
      <c r="BQ620" s="160"/>
      <c r="BR620" s="160"/>
      <c r="BS620" s="160"/>
      <c r="BT620" s="160"/>
      <c r="BU620" s="160"/>
      <c r="BV620" s="160"/>
      <c r="BW620" s="160"/>
      <c r="BX620" s="160"/>
      <c r="BY620" s="160"/>
      <c r="BZ620" s="160"/>
      <c r="CA620" s="160">
        <f>COUNTIF(AJ620:AX620,"*OK*")</f>
        <v>0</v>
      </c>
    </row>
    <row r="621" spans="1:79" ht="15" customHeight="1">
      <c r="A621" s="240"/>
      <c r="B621" s="171"/>
      <c r="C621" s="471"/>
      <c r="D621" s="171"/>
      <c r="E621" s="171"/>
      <c r="F621" s="171"/>
      <c r="G621" s="171"/>
      <c r="H621" s="179"/>
      <c r="I621" s="179"/>
      <c r="J621" s="171"/>
      <c r="K621" s="236"/>
      <c r="L621" s="171"/>
      <c r="M621" s="171"/>
      <c r="N621" s="171"/>
      <c r="O621" s="242"/>
      <c r="P621" s="237"/>
      <c r="Q621" s="237"/>
      <c r="R621" s="238"/>
      <c r="S621" s="463"/>
      <c r="T621" s="565"/>
      <c r="U621" s="240"/>
      <c r="V621" s="174" t="s">
        <v>59</v>
      </c>
      <c r="W621" s="171"/>
      <c r="X621" s="177"/>
      <c r="Y621" s="177"/>
      <c r="Z621" s="178"/>
      <c r="AA621" s="171"/>
      <c r="AB621" s="178"/>
      <c r="AC621" s="179"/>
      <c r="AD621" s="171"/>
      <c r="AE621" s="171"/>
      <c r="AF621" s="171"/>
      <c r="AG621" s="171"/>
      <c r="AH621" s="171"/>
      <c r="AI621" s="171"/>
      <c r="AZ621" s="171"/>
      <c r="BA621" s="171"/>
      <c r="BB621" s="171"/>
      <c r="BC621" s="171"/>
      <c r="BD621" s="171"/>
      <c r="BE621" s="171"/>
      <c r="BF621" s="171"/>
      <c r="BG621" s="171"/>
      <c r="BH621" s="171"/>
      <c r="BI621" s="171"/>
      <c r="BJ621" s="171"/>
      <c r="BK621" s="171"/>
      <c r="BL621" s="171"/>
      <c r="BM621" s="171"/>
      <c r="BN621" s="171"/>
      <c r="BO621" s="171"/>
      <c r="BP621" s="171"/>
      <c r="BQ621" s="171"/>
      <c r="BR621" s="171"/>
      <c r="BS621" s="171"/>
      <c r="BT621" s="171"/>
      <c r="BU621" s="171"/>
      <c r="BV621" s="171"/>
      <c r="BW621" s="171"/>
      <c r="BX621" s="171"/>
      <c r="BY621" s="171"/>
      <c r="BZ621" s="171"/>
      <c r="CA621" s="171">
        <f>COUNTIF(AJ621:AX621,"*OK*")</f>
        <v>0</v>
      </c>
    </row>
    <row r="622" spans="1:79" ht="15" customHeight="1">
      <c r="A622" s="241"/>
      <c r="B622" s="160"/>
      <c r="C622" s="472"/>
      <c r="D622" s="160"/>
      <c r="E622" s="160"/>
      <c r="F622" s="160"/>
      <c r="G622" s="160"/>
      <c r="H622" s="168"/>
      <c r="I622" s="168"/>
      <c r="J622" s="160"/>
      <c r="K622" s="220"/>
      <c r="L622" s="160"/>
      <c r="M622" s="160"/>
      <c r="N622" s="160"/>
      <c r="O622" s="243"/>
      <c r="P622" s="223"/>
      <c r="Q622" s="223"/>
      <c r="R622" s="239"/>
      <c r="S622" s="462"/>
      <c r="T622" s="564"/>
      <c r="U622" s="241"/>
      <c r="V622" s="163" t="s">
        <v>59</v>
      </c>
      <c r="W622" s="160"/>
      <c r="X622" s="166"/>
      <c r="Y622" s="166"/>
      <c r="Z622" s="167"/>
      <c r="AA622" s="160"/>
      <c r="AB622" s="167"/>
      <c r="AC622" s="168"/>
      <c r="AD622" s="160"/>
      <c r="AE622" s="160"/>
      <c r="AF622" s="160"/>
      <c r="AG622" s="160"/>
      <c r="AH622" s="160"/>
      <c r="AI622" s="160"/>
      <c r="AZ622" s="160"/>
      <c r="BA622" s="160"/>
      <c r="BB622" s="160"/>
      <c r="BC622" s="160"/>
      <c r="BD622" s="160"/>
      <c r="BE622" s="160"/>
      <c r="BF622" s="160"/>
      <c r="BG622" s="160"/>
      <c r="BH622" s="160"/>
      <c r="BI622" s="160"/>
      <c r="BJ622" s="160"/>
      <c r="BK622" s="160"/>
      <c r="BL622" s="160"/>
      <c r="BM622" s="160"/>
      <c r="BN622" s="160"/>
      <c r="BO622" s="160"/>
      <c r="BP622" s="160"/>
      <c r="BQ622" s="160"/>
      <c r="BR622" s="160"/>
      <c r="BS622" s="160"/>
      <c r="BT622" s="160"/>
      <c r="BU622" s="160"/>
      <c r="BV622" s="160"/>
      <c r="BW622" s="160"/>
      <c r="BX622" s="160"/>
      <c r="BY622" s="160"/>
      <c r="BZ622" s="160"/>
      <c r="CA622" s="160">
        <f>COUNTIF(AJ622:AX622,"*OK*")</f>
        <v>0</v>
      </c>
    </row>
    <row r="623" spans="1:79" ht="15" customHeight="1">
      <c r="A623" s="240"/>
      <c r="B623" s="171"/>
      <c r="C623" s="471"/>
      <c r="D623" s="171"/>
      <c r="E623" s="171"/>
      <c r="F623" s="171"/>
      <c r="G623" s="171"/>
      <c r="H623" s="179"/>
      <c r="I623" s="179"/>
      <c r="J623" s="171"/>
      <c r="K623" s="236"/>
      <c r="L623" s="171"/>
      <c r="M623" s="171"/>
      <c r="N623" s="171"/>
      <c r="O623" s="242"/>
      <c r="P623" s="237"/>
      <c r="Q623" s="237"/>
      <c r="R623" s="238"/>
      <c r="S623" s="463"/>
      <c r="T623" s="565"/>
      <c r="U623" s="240"/>
      <c r="V623" s="174" t="s">
        <v>59</v>
      </c>
      <c r="W623" s="171"/>
      <c r="X623" s="177"/>
      <c r="Y623" s="177"/>
      <c r="Z623" s="178"/>
      <c r="AA623" s="171"/>
      <c r="AB623" s="178"/>
      <c r="AC623" s="179"/>
      <c r="AD623" s="171"/>
      <c r="AE623" s="171"/>
      <c r="AF623" s="171"/>
      <c r="AG623" s="171"/>
      <c r="AH623" s="171"/>
      <c r="AI623" s="171"/>
      <c r="AZ623" s="171"/>
      <c r="BA623" s="171"/>
      <c r="BB623" s="171"/>
      <c r="BC623" s="171"/>
      <c r="BD623" s="171"/>
      <c r="BE623" s="171"/>
      <c r="BF623" s="171"/>
      <c r="BG623" s="171"/>
      <c r="BH623" s="171"/>
      <c r="BI623" s="171"/>
      <c r="BJ623" s="171"/>
      <c r="BK623" s="171"/>
      <c r="BL623" s="171"/>
      <c r="BM623" s="171"/>
      <c r="BN623" s="171"/>
      <c r="BO623" s="171"/>
      <c r="BP623" s="171"/>
      <c r="BQ623" s="171"/>
      <c r="BR623" s="171"/>
      <c r="BS623" s="171"/>
      <c r="BT623" s="171"/>
      <c r="BU623" s="171"/>
      <c r="BV623" s="171"/>
      <c r="BW623" s="171"/>
      <c r="BX623" s="171"/>
      <c r="BY623" s="171"/>
      <c r="BZ623" s="171"/>
      <c r="CA623" s="171">
        <f>COUNTIF(AJ623:AX623,"*OK*")</f>
        <v>0</v>
      </c>
    </row>
    <row r="624" spans="1:79" ht="15" customHeight="1">
      <c r="A624" s="241"/>
      <c r="B624" s="160"/>
      <c r="C624" s="472"/>
      <c r="D624" s="160"/>
      <c r="E624" s="160"/>
      <c r="F624" s="160"/>
      <c r="G624" s="160"/>
      <c r="H624" s="168"/>
      <c r="I624" s="168"/>
      <c r="J624" s="160"/>
      <c r="K624" s="220"/>
      <c r="L624" s="160"/>
      <c r="M624" s="160"/>
      <c r="N624" s="160"/>
      <c r="O624" s="243"/>
      <c r="P624" s="223"/>
      <c r="Q624" s="223"/>
      <c r="R624" s="239"/>
      <c r="S624" s="462"/>
      <c r="T624" s="564"/>
      <c r="U624" s="241"/>
      <c r="V624" s="163" t="s">
        <v>59</v>
      </c>
      <c r="W624" s="160"/>
      <c r="X624" s="166"/>
      <c r="Y624" s="166"/>
      <c r="Z624" s="167"/>
      <c r="AA624" s="160"/>
      <c r="AB624" s="167"/>
      <c r="AC624" s="168"/>
      <c r="AD624" s="160"/>
      <c r="AE624" s="160"/>
      <c r="AF624" s="160"/>
      <c r="AG624" s="160"/>
      <c r="AH624" s="160"/>
      <c r="AI624" s="160"/>
      <c r="AZ624" s="160"/>
      <c r="BA624" s="160"/>
      <c r="BB624" s="160"/>
      <c r="BC624" s="160"/>
      <c r="BD624" s="160"/>
      <c r="BE624" s="160"/>
      <c r="BF624" s="160"/>
      <c r="BG624" s="160"/>
      <c r="BH624" s="160"/>
      <c r="BI624" s="160"/>
      <c r="BJ624" s="160"/>
      <c r="BK624" s="160"/>
      <c r="BL624" s="160"/>
      <c r="BM624" s="160"/>
      <c r="BN624" s="160"/>
      <c r="BO624" s="160"/>
      <c r="BP624" s="160"/>
      <c r="BQ624" s="160"/>
      <c r="BR624" s="160"/>
      <c r="BS624" s="160"/>
      <c r="BT624" s="160"/>
      <c r="BU624" s="160"/>
      <c r="BV624" s="160"/>
      <c r="BW624" s="160"/>
      <c r="BX624" s="160"/>
      <c r="BY624" s="160"/>
      <c r="BZ624" s="160"/>
      <c r="CA624" s="160">
        <f>COUNTIF(AJ624:AX624,"*OK*")</f>
        <v>0</v>
      </c>
    </row>
    <row r="625" spans="1:79" ht="15" customHeight="1">
      <c r="A625" s="240"/>
      <c r="B625" s="171"/>
      <c r="C625" s="471"/>
      <c r="D625" s="171"/>
      <c r="E625" s="171"/>
      <c r="F625" s="171"/>
      <c r="G625" s="171"/>
      <c r="H625" s="179"/>
      <c r="I625" s="179"/>
      <c r="J625" s="171"/>
      <c r="K625" s="236"/>
      <c r="L625" s="171"/>
      <c r="M625" s="171"/>
      <c r="N625" s="171"/>
      <c r="O625" s="242"/>
      <c r="P625" s="237"/>
      <c r="Q625" s="237"/>
      <c r="R625" s="238"/>
      <c r="S625" s="463"/>
      <c r="T625" s="565"/>
      <c r="U625" s="240"/>
      <c r="V625" s="174" t="s">
        <v>59</v>
      </c>
      <c r="W625" s="171"/>
      <c r="X625" s="177"/>
      <c r="Y625" s="177"/>
      <c r="Z625" s="178"/>
      <c r="AA625" s="171"/>
      <c r="AB625" s="178"/>
      <c r="AC625" s="179"/>
      <c r="AD625" s="171"/>
      <c r="AE625" s="171"/>
      <c r="AF625" s="171"/>
      <c r="AG625" s="171"/>
      <c r="AH625" s="171"/>
      <c r="AI625" s="171"/>
      <c r="AZ625" s="171"/>
      <c r="BA625" s="171"/>
      <c r="BB625" s="171"/>
      <c r="BC625" s="171"/>
      <c r="BD625" s="171"/>
      <c r="BE625" s="171"/>
      <c r="BF625" s="171"/>
      <c r="BG625" s="171"/>
      <c r="BH625" s="171"/>
      <c r="BI625" s="171"/>
      <c r="BJ625" s="171"/>
      <c r="BK625" s="171"/>
      <c r="BL625" s="171"/>
      <c r="BM625" s="171"/>
      <c r="BN625" s="171"/>
      <c r="BO625" s="171"/>
      <c r="BP625" s="171"/>
      <c r="BQ625" s="171"/>
      <c r="BR625" s="171"/>
      <c r="BS625" s="171"/>
      <c r="BT625" s="171"/>
      <c r="BU625" s="171"/>
      <c r="BV625" s="171"/>
      <c r="BW625" s="171"/>
      <c r="BX625" s="171"/>
      <c r="BY625" s="171"/>
      <c r="BZ625" s="171"/>
      <c r="CA625" s="171">
        <f>COUNTIF(AJ625:AX625,"*OK*")</f>
        <v>0</v>
      </c>
    </row>
    <row r="626" spans="1:79" ht="15" customHeight="1">
      <c r="A626" s="241"/>
      <c r="B626" s="160"/>
      <c r="C626" s="472"/>
      <c r="D626" s="160"/>
      <c r="E626" s="160"/>
      <c r="F626" s="160"/>
      <c r="G626" s="160"/>
      <c r="H626" s="168"/>
      <c r="I626" s="168"/>
      <c r="J626" s="160"/>
      <c r="K626" s="220"/>
      <c r="L626" s="160"/>
      <c r="M626" s="160"/>
      <c r="N626" s="160"/>
      <c r="O626" s="243"/>
      <c r="P626" s="223"/>
      <c r="Q626" s="223"/>
      <c r="R626" s="239"/>
      <c r="S626" s="462"/>
      <c r="T626" s="564"/>
      <c r="U626" s="241"/>
      <c r="V626" s="163" t="s">
        <v>59</v>
      </c>
      <c r="W626" s="160"/>
      <c r="X626" s="166"/>
      <c r="Y626" s="166"/>
      <c r="Z626" s="167"/>
      <c r="AA626" s="160"/>
      <c r="AB626" s="167"/>
      <c r="AC626" s="168"/>
      <c r="AD626" s="160"/>
      <c r="AE626" s="160"/>
      <c r="AF626" s="160"/>
      <c r="AG626" s="160"/>
      <c r="AH626" s="160"/>
      <c r="AI626" s="160"/>
      <c r="AZ626" s="160"/>
      <c r="BA626" s="160"/>
      <c r="BB626" s="160"/>
      <c r="BC626" s="160"/>
      <c r="BD626" s="160"/>
      <c r="BE626" s="160"/>
      <c r="BF626" s="160"/>
      <c r="BG626" s="160"/>
      <c r="BH626" s="160"/>
      <c r="BI626" s="160"/>
      <c r="BJ626" s="160"/>
      <c r="BK626" s="160"/>
      <c r="BL626" s="160"/>
      <c r="BM626" s="160"/>
      <c r="BN626" s="160"/>
      <c r="BO626" s="160"/>
      <c r="BP626" s="160"/>
      <c r="BQ626" s="160"/>
      <c r="BR626" s="160"/>
      <c r="BS626" s="160"/>
      <c r="BT626" s="160"/>
      <c r="BU626" s="160"/>
      <c r="BV626" s="160"/>
      <c r="BW626" s="160"/>
      <c r="BX626" s="160"/>
      <c r="BY626" s="160"/>
      <c r="BZ626" s="160"/>
      <c r="CA626" s="160">
        <f>COUNTIF(AJ626:AX626,"*OK*")</f>
        <v>0</v>
      </c>
    </row>
    <row r="627" spans="1:79" ht="15" customHeight="1">
      <c r="A627" s="240"/>
      <c r="B627" s="171"/>
      <c r="C627" s="471"/>
      <c r="D627" s="171"/>
      <c r="E627" s="171"/>
      <c r="F627" s="171"/>
      <c r="G627" s="171"/>
      <c r="H627" s="179"/>
      <c r="I627" s="179"/>
      <c r="J627" s="171"/>
      <c r="K627" s="236"/>
      <c r="L627" s="171"/>
      <c r="M627" s="171"/>
      <c r="N627" s="171"/>
      <c r="O627" s="242"/>
      <c r="P627" s="237"/>
      <c r="Q627" s="237"/>
      <c r="R627" s="238"/>
      <c r="S627" s="463"/>
      <c r="T627" s="565"/>
      <c r="U627" s="240"/>
      <c r="V627" s="174" t="s">
        <v>59</v>
      </c>
      <c r="W627" s="171"/>
      <c r="X627" s="177"/>
      <c r="Y627" s="177"/>
      <c r="Z627" s="178"/>
      <c r="AA627" s="171"/>
      <c r="AB627" s="178"/>
      <c r="AC627" s="179"/>
      <c r="AD627" s="171"/>
      <c r="AE627" s="171"/>
      <c r="AF627" s="171"/>
      <c r="AG627" s="171"/>
      <c r="AH627" s="171"/>
      <c r="AI627" s="171"/>
      <c r="AZ627" s="171"/>
      <c r="BA627" s="171"/>
      <c r="BB627" s="171"/>
      <c r="BC627" s="171"/>
      <c r="BD627" s="171"/>
      <c r="BE627" s="171"/>
      <c r="BF627" s="171"/>
      <c r="BG627" s="171"/>
      <c r="BH627" s="171"/>
      <c r="BI627" s="171"/>
      <c r="BJ627" s="171"/>
      <c r="BK627" s="171"/>
      <c r="BL627" s="171"/>
      <c r="BM627" s="171"/>
      <c r="BN627" s="171"/>
      <c r="BO627" s="171"/>
      <c r="BP627" s="171"/>
      <c r="BQ627" s="171"/>
      <c r="BR627" s="171"/>
      <c r="BS627" s="171"/>
      <c r="BT627" s="171"/>
      <c r="BU627" s="171"/>
      <c r="BV627" s="171"/>
      <c r="BW627" s="171"/>
      <c r="BX627" s="171"/>
      <c r="BY627" s="171"/>
      <c r="BZ627" s="171"/>
      <c r="CA627" s="171">
        <f>COUNTIF(AJ627:AX627,"*OK*")</f>
        <v>0</v>
      </c>
    </row>
    <row r="628" spans="1:79" ht="15" customHeight="1">
      <c r="A628" s="241"/>
      <c r="B628" s="160"/>
      <c r="C628" s="472"/>
      <c r="D628" s="160"/>
      <c r="E628" s="160"/>
      <c r="F628" s="160"/>
      <c r="G628" s="160"/>
      <c r="H628" s="168"/>
      <c r="I628" s="168"/>
      <c r="J628" s="160"/>
      <c r="K628" s="220"/>
      <c r="L628" s="160"/>
      <c r="M628" s="160"/>
      <c r="N628" s="160"/>
      <c r="O628" s="243"/>
      <c r="P628" s="223"/>
      <c r="Q628" s="223"/>
      <c r="R628" s="239"/>
      <c r="S628" s="462"/>
      <c r="T628" s="564"/>
      <c r="U628" s="241"/>
      <c r="V628" s="163" t="s">
        <v>59</v>
      </c>
      <c r="W628" s="160"/>
      <c r="X628" s="166"/>
      <c r="Y628" s="166"/>
      <c r="Z628" s="167"/>
      <c r="AA628" s="160"/>
      <c r="AB628" s="167"/>
      <c r="AC628" s="168"/>
      <c r="AD628" s="160"/>
      <c r="AE628" s="160"/>
      <c r="AF628" s="160"/>
      <c r="AG628" s="160"/>
      <c r="AH628" s="160"/>
      <c r="AI628" s="160"/>
      <c r="AZ628" s="160"/>
      <c r="BA628" s="160"/>
      <c r="BB628" s="160"/>
      <c r="BC628" s="160"/>
      <c r="BD628" s="160"/>
      <c r="BE628" s="160"/>
      <c r="BF628" s="160"/>
      <c r="BG628" s="160"/>
      <c r="BH628" s="160"/>
      <c r="BI628" s="160"/>
      <c r="BJ628" s="160"/>
      <c r="BK628" s="160"/>
      <c r="BL628" s="160"/>
      <c r="BM628" s="160"/>
      <c r="BN628" s="160"/>
      <c r="BO628" s="160"/>
      <c r="BP628" s="160"/>
      <c r="BQ628" s="160"/>
      <c r="BR628" s="160"/>
      <c r="BS628" s="160"/>
      <c r="BT628" s="160"/>
      <c r="BU628" s="160"/>
      <c r="BV628" s="160"/>
      <c r="BW628" s="160"/>
      <c r="BX628" s="160"/>
      <c r="BY628" s="160"/>
      <c r="BZ628" s="160"/>
      <c r="CA628" s="160">
        <f>COUNTIF(AJ628:AX628,"*OK*")</f>
        <v>0</v>
      </c>
    </row>
    <row r="629" spans="1:79" ht="15" customHeight="1">
      <c r="A629" s="240"/>
      <c r="B629" s="171"/>
      <c r="C629" s="471"/>
      <c r="D629" s="171"/>
      <c r="E629" s="171"/>
      <c r="F629" s="171"/>
      <c r="G629" s="171"/>
      <c r="H629" s="179"/>
      <c r="I629" s="179"/>
      <c r="J629" s="171"/>
      <c r="K629" s="236"/>
      <c r="L629" s="171"/>
      <c r="M629" s="171"/>
      <c r="N629" s="171"/>
      <c r="O629" s="242"/>
      <c r="P629" s="237"/>
      <c r="Q629" s="237"/>
      <c r="R629" s="238"/>
      <c r="S629" s="463"/>
      <c r="T629" s="565"/>
      <c r="U629" s="240"/>
      <c r="V629" s="174" t="s">
        <v>59</v>
      </c>
      <c r="W629" s="171"/>
      <c r="X629" s="177"/>
      <c r="Y629" s="177"/>
      <c r="Z629" s="178"/>
      <c r="AA629" s="171"/>
      <c r="AB629" s="178"/>
      <c r="AC629" s="179"/>
      <c r="AD629" s="171"/>
      <c r="AE629" s="171"/>
      <c r="AF629" s="171"/>
      <c r="AG629" s="171"/>
      <c r="AH629" s="171"/>
      <c r="AI629" s="171"/>
      <c r="AZ629" s="171"/>
      <c r="BA629" s="171"/>
      <c r="BB629" s="171"/>
      <c r="BC629" s="171"/>
      <c r="BD629" s="171"/>
      <c r="BE629" s="171"/>
      <c r="BF629" s="171"/>
      <c r="BG629" s="171"/>
      <c r="BH629" s="171"/>
      <c r="BI629" s="171"/>
      <c r="BJ629" s="171"/>
      <c r="BK629" s="171"/>
      <c r="BL629" s="171"/>
      <c r="BM629" s="171"/>
      <c r="BN629" s="171"/>
      <c r="BO629" s="171"/>
      <c r="BP629" s="171"/>
      <c r="BQ629" s="171"/>
      <c r="BR629" s="171"/>
      <c r="BS629" s="171"/>
      <c r="BT629" s="171"/>
      <c r="BU629" s="171"/>
      <c r="BV629" s="171"/>
      <c r="BW629" s="171"/>
      <c r="BX629" s="171"/>
      <c r="BY629" s="171"/>
      <c r="BZ629" s="171"/>
      <c r="CA629" s="171">
        <f>COUNTIF(AJ629:AX629,"*OK*")</f>
        <v>0</v>
      </c>
    </row>
    <row r="630" spans="1:79" ht="15" customHeight="1">
      <c r="A630" s="241"/>
      <c r="B630" s="160"/>
      <c r="C630" s="472"/>
      <c r="D630" s="160"/>
      <c r="E630" s="160"/>
      <c r="F630" s="160"/>
      <c r="G630" s="160"/>
      <c r="H630" s="168"/>
      <c r="I630" s="168"/>
      <c r="J630" s="160"/>
      <c r="K630" s="220"/>
      <c r="L630" s="160"/>
      <c r="M630" s="160"/>
      <c r="N630" s="160"/>
      <c r="O630" s="243"/>
      <c r="P630" s="223"/>
      <c r="Q630" s="223"/>
      <c r="R630" s="239"/>
      <c r="S630" s="462"/>
      <c r="T630" s="564"/>
      <c r="U630" s="241"/>
      <c r="V630" s="163" t="s">
        <v>59</v>
      </c>
      <c r="W630" s="160"/>
      <c r="X630" s="166"/>
      <c r="Y630" s="166"/>
      <c r="Z630" s="167"/>
      <c r="AA630" s="160"/>
      <c r="AB630" s="167"/>
      <c r="AC630" s="168"/>
      <c r="AD630" s="160"/>
      <c r="AE630" s="160"/>
      <c r="AF630" s="160"/>
      <c r="AG630" s="160"/>
      <c r="AH630" s="160"/>
      <c r="AI630" s="160"/>
      <c r="AZ630" s="160"/>
      <c r="BA630" s="160"/>
      <c r="BB630" s="160"/>
      <c r="BC630" s="160"/>
      <c r="BD630" s="160"/>
      <c r="BE630" s="160"/>
      <c r="BF630" s="160"/>
      <c r="BG630" s="160"/>
      <c r="BH630" s="160"/>
      <c r="BI630" s="160"/>
      <c r="BJ630" s="160"/>
      <c r="BK630" s="160"/>
      <c r="BL630" s="160"/>
      <c r="BM630" s="160"/>
      <c r="BN630" s="160"/>
      <c r="BO630" s="160"/>
      <c r="BP630" s="160"/>
      <c r="BQ630" s="160"/>
      <c r="BR630" s="160"/>
      <c r="BS630" s="160"/>
      <c r="BT630" s="160"/>
      <c r="BU630" s="160"/>
      <c r="BV630" s="160"/>
      <c r="BW630" s="160"/>
      <c r="BX630" s="160"/>
      <c r="BY630" s="160"/>
      <c r="BZ630" s="160"/>
      <c r="CA630" s="160">
        <f>COUNTIF(AJ630:AX630,"*OK*")</f>
        <v>0</v>
      </c>
    </row>
    <row r="631" spans="1:79" ht="15" customHeight="1">
      <c r="A631" s="240"/>
      <c r="B631" s="171"/>
      <c r="C631" s="471"/>
      <c r="D631" s="171"/>
      <c r="E631" s="171"/>
      <c r="F631" s="171"/>
      <c r="G631" s="171"/>
      <c r="H631" s="179"/>
      <c r="I631" s="179"/>
      <c r="J631" s="171"/>
      <c r="K631" s="236"/>
      <c r="L631" s="171"/>
      <c r="M631" s="171"/>
      <c r="N631" s="171"/>
      <c r="O631" s="242"/>
      <c r="P631" s="237"/>
      <c r="Q631" s="237"/>
      <c r="R631" s="238"/>
      <c r="S631" s="463"/>
      <c r="T631" s="565"/>
      <c r="U631" s="240"/>
      <c r="V631" s="174" t="s">
        <v>59</v>
      </c>
      <c r="W631" s="171"/>
      <c r="X631" s="177"/>
      <c r="Y631" s="177"/>
      <c r="Z631" s="178"/>
      <c r="AA631" s="171"/>
      <c r="AB631" s="178"/>
      <c r="AC631" s="179"/>
      <c r="AD631" s="171"/>
      <c r="AE631" s="171"/>
      <c r="AF631" s="171"/>
      <c r="AG631" s="171"/>
      <c r="AH631" s="171"/>
      <c r="AI631" s="171"/>
      <c r="AZ631" s="171"/>
      <c r="BA631" s="171"/>
      <c r="BB631" s="171"/>
      <c r="BC631" s="171"/>
      <c r="BD631" s="171"/>
      <c r="BE631" s="171"/>
      <c r="BF631" s="171"/>
      <c r="BG631" s="171"/>
      <c r="BH631" s="171"/>
      <c r="BI631" s="171"/>
      <c r="BJ631" s="171"/>
      <c r="BK631" s="171"/>
      <c r="BL631" s="171"/>
      <c r="BM631" s="171"/>
      <c r="BN631" s="171"/>
      <c r="BO631" s="171"/>
      <c r="BP631" s="171"/>
      <c r="BQ631" s="171"/>
      <c r="BR631" s="171"/>
      <c r="BS631" s="171"/>
      <c r="BT631" s="171"/>
      <c r="BU631" s="171"/>
      <c r="BV631" s="171"/>
      <c r="BW631" s="171"/>
      <c r="BX631" s="171"/>
      <c r="BY631" s="171"/>
      <c r="BZ631" s="171"/>
      <c r="CA631" s="171">
        <f>COUNTIF(AJ631:AX631,"*OK*")</f>
        <v>0</v>
      </c>
    </row>
    <row r="632" spans="1:79" ht="15" customHeight="1">
      <c r="A632" s="241"/>
      <c r="B632" s="160"/>
      <c r="C632" s="472"/>
      <c r="D632" s="160"/>
      <c r="E632" s="160"/>
      <c r="F632" s="160"/>
      <c r="G632" s="160"/>
      <c r="H632" s="168"/>
      <c r="I632" s="168"/>
      <c r="J632" s="160"/>
      <c r="K632" s="220"/>
      <c r="L632" s="160"/>
      <c r="M632" s="160"/>
      <c r="N632" s="160"/>
      <c r="O632" s="243"/>
      <c r="P632" s="223"/>
      <c r="Q632" s="223"/>
      <c r="R632" s="239"/>
      <c r="S632" s="462"/>
      <c r="T632" s="564"/>
      <c r="U632" s="241"/>
      <c r="V632" s="163" t="s">
        <v>59</v>
      </c>
      <c r="W632" s="160"/>
      <c r="X632" s="166"/>
      <c r="Y632" s="166"/>
      <c r="Z632" s="167"/>
      <c r="AA632" s="160"/>
      <c r="AB632" s="167"/>
      <c r="AC632" s="168"/>
      <c r="AD632" s="160"/>
      <c r="AE632" s="160"/>
      <c r="AF632" s="160"/>
      <c r="AG632" s="160"/>
      <c r="AH632" s="160"/>
      <c r="AI632" s="160"/>
      <c r="AZ632" s="160"/>
      <c r="BA632" s="160"/>
      <c r="BB632" s="160"/>
      <c r="BC632" s="160"/>
      <c r="BD632" s="160"/>
      <c r="BE632" s="160"/>
      <c r="BF632" s="160"/>
      <c r="BG632" s="160"/>
      <c r="BH632" s="160"/>
      <c r="BI632" s="160"/>
      <c r="BJ632" s="160"/>
      <c r="BK632" s="160"/>
      <c r="BL632" s="160"/>
      <c r="BM632" s="160"/>
      <c r="BN632" s="160"/>
      <c r="BO632" s="160"/>
      <c r="BP632" s="160"/>
      <c r="BQ632" s="160"/>
      <c r="BR632" s="160"/>
      <c r="BS632" s="160"/>
      <c r="BT632" s="160"/>
      <c r="BU632" s="160"/>
      <c r="BV632" s="160"/>
      <c r="BW632" s="160"/>
      <c r="BX632" s="160"/>
      <c r="BY632" s="160"/>
      <c r="BZ632" s="160"/>
      <c r="CA632" s="160">
        <f>COUNTIF(AJ632:AX632,"*OK*")</f>
        <v>0</v>
      </c>
    </row>
    <row r="633" spans="1:79" ht="15" hidden="1" customHeight="1">
      <c r="T633" s="566"/>
    </row>
    <row r="634" spans="1:79" ht="15" hidden="1" customHeight="1">
      <c r="T634" s="566"/>
    </row>
    <row r="635" spans="1:79" ht="15" customHeight="1">
      <c r="T635" s="566"/>
    </row>
    <row r="636" spans="1:79" ht="15" customHeight="1">
      <c r="T636" s="566"/>
    </row>
    <row r="637" spans="1:79" ht="15" customHeight="1">
      <c r="T637" s="566"/>
    </row>
    <row r="638" spans="1:79" ht="15" customHeight="1">
      <c r="T638" s="566"/>
    </row>
    <row r="639" spans="1:79" ht="15" customHeight="1">
      <c r="T639" s="566"/>
    </row>
    <row r="640" spans="1:79" ht="15" hidden="1" customHeight="1">
      <c r="T640" s="566"/>
      <c r="AB640" s="167" t="s">
        <v>104</v>
      </c>
    </row>
    <row r="641" spans="20:28" ht="15" hidden="1" customHeight="1">
      <c r="T641" s="566"/>
      <c r="AB641" s="178" t="s">
        <v>104</v>
      </c>
    </row>
    <row r="642" spans="20:28" ht="15" hidden="1" customHeight="1">
      <c r="T642" s="566"/>
      <c r="AB642" s="167"/>
    </row>
    <row r="643" spans="20:28" ht="15" hidden="1" customHeight="1">
      <c r="T643" s="566"/>
      <c r="AB643" s="178" t="s">
        <v>104</v>
      </c>
    </row>
    <row r="644" spans="20:28" ht="15" hidden="1" customHeight="1">
      <c r="T644" s="566"/>
      <c r="AB644" s="167" t="s">
        <v>119</v>
      </c>
    </row>
    <row r="645" spans="20:28" ht="15" hidden="1" customHeight="1">
      <c r="T645" s="566"/>
      <c r="AB645" s="178" t="s">
        <v>172</v>
      </c>
    </row>
    <row r="646" spans="20:28" ht="15" hidden="1" customHeight="1">
      <c r="T646" s="566"/>
    </row>
    <row r="647" spans="20:28" ht="15" hidden="1" customHeight="1">
      <c r="T647" s="566"/>
    </row>
    <row r="648" spans="20:28" ht="15" hidden="1" customHeight="1">
      <c r="T648" s="566"/>
    </row>
    <row r="649" spans="20:28" ht="15" hidden="1" customHeight="1">
      <c r="T649" s="566"/>
    </row>
    <row r="650" spans="20:28" ht="15" hidden="1" customHeight="1">
      <c r="T650" s="566"/>
    </row>
    <row r="651" spans="20:28" ht="15" hidden="1" customHeight="1">
      <c r="T651" s="566"/>
      <c r="AB651" s="178" t="s">
        <v>177</v>
      </c>
    </row>
    <row r="652" spans="20:28" ht="15" hidden="1" customHeight="1">
      <c r="T652" s="566"/>
      <c r="AB652" s="167"/>
    </row>
    <row r="653" spans="20:28" ht="15" hidden="1" customHeight="1">
      <c r="T653" s="566"/>
      <c r="AB653" s="178"/>
    </row>
    <row r="654" spans="20:28" ht="15" hidden="1" customHeight="1">
      <c r="T654" s="566"/>
      <c r="AB654" s="167"/>
    </row>
    <row r="655" spans="20:28" ht="15" hidden="1" customHeight="1">
      <c r="T655" s="566"/>
      <c r="AB655" s="178" t="s">
        <v>159</v>
      </c>
    </row>
    <row r="656" spans="20:28" ht="15" hidden="1" customHeight="1">
      <c r="T656" s="566"/>
      <c r="AB656" s="167" t="s">
        <v>104</v>
      </c>
    </row>
    <row r="657" spans="20:28" ht="15" hidden="1" customHeight="1">
      <c r="T657" s="566"/>
      <c r="AB657" s="178"/>
    </row>
    <row r="658" spans="20:28" ht="15" hidden="1" customHeight="1">
      <c r="T658" s="566"/>
      <c r="AB658" s="167" t="s">
        <v>104</v>
      </c>
    </row>
    <row r="659" spans="20:28" ht="15" hidden="1" customHeight="1">
      <c r="T659" s="566"/>
      <c r="AB659" s="178"/>
    </row>
    <row r="660" spans="20:28" ht="15" hidden="1" customHeight="1">
      <c r="T660" s="566"/>
      <c r="AB660" s="167" t="s">
        <v>104</v>
      </c>
    </row>
    <row r="661" spans="20:28" ht="15" hidden="1" customHeight="1">
      <c r="T661" s="566"/>
      <c r="AB661" s="178" t="s">
        <v>505</v>
      </c>
    </row>
    <row r="662" spans="20:28" ht="15" hidden="1" customHeight="1">
      <c r="T662" s="566"/>
      <c r="AB662" s="167" t="s">
        <v>267</v>
      </c>
    </row>
    <row r="663" spans="20:28" ht="15" hidden="1" customHeight="1">
      <c r="T663" s="566"/>
    </row>
    <row r="664" spans="20:28" ht="15" hidden="1" customHeight="1">
      <c r="T664" s="566"/>
    </row>
    <row r="665" spans="20:28" ht="15" hidden="1" customHeight="1">
      <c r="T665" s="566"/>
    </row>
    <row r="666" spans="20:28" ht="15" hidden="1" customHeight="1">
      <c r="T666" s="566"/>
    </row>
    <row r="667" spans="20:28" ht="15" customHeight="1">
      <c r="T667" s="566"/>
    </row>
    <row r="668" spans="20:28" ht="15" hidden="1" customHeight="1">
      <c r="T668" s="566"/>
      <c r="AB668" s="167" t="s">
        <v>177</v>
      </c>
    </row>
    <row r="669" spans="20:28" ht="15" hidden="1" customHeight="1">
      <c r="T669" s="566"/>
      <c r="AB669" s="178"/>
    </row>
    <row r="670" spans="20:28" ht="15" hidden="1" customHeight="1">
      <c r="T670" s="566"/>
      <c r="AB670" s="167"/>
    </row>
    <row r="671" spans="20:28" ht="15" hidden="1" customHeight="1">
      <c r="T671" s="566"/>
      <c r="AB671" s="178" t="s">
        <v>505</v>
      </c>
    </row>
    <row r="672" spans="20:28" ht="15" hidden="1" customHeight="1">
      <c r="T672" s="566"/>
      <c r="AB672" s="167"/>
    </row>
    <row r="673" spans="20:28" ht="15" hidden="1" customHeight="1">
      <c r="T673" s="566"/>
      <c r="AB673" s="178"/>
    </row>
    <row r="674" spans="20:28" ht="15" hidden="1" customHeight="1">
      <c r="T674" s="566"/>
      <c r="AB674" s="167" t="s">
        <v>172</v>
      </c>
    </row>
    <row r="675" spans="20:28" ht="15" hidden="1" customHeight="1">
      <c r="T675" s="566"/>
    </row>
    <row r="676" spans="20:28" ht="15" hidden="1" customHeight="1">
      <c r="T676" s="566"/>
    </row>
    <row r="677" spans="20:28" ht="15" hidden="1" customHeight="1">
      <c r="T677" s="566"/>
    </row>
    <row r="678" spans="20:28" ht="15" hidden="1" customHeight="1">
      <c r="T678" s="566"/>
    </row>
    <row r="679" spans="20:28" ht="15" hidden="1" customHeight="1">
      <c r="T679" s="566"/>
    </row>
    <row r="680" spans="20:28" ht="15" hidden="1" customHeight="1">
      <c r="T680" s="566"/>
    </row>
    <row r="681" spans="20:28" ht="15" hidden="1" customHeight="1">
      <c r="T681" s="566"/>
    </row>
    <row r="682" spans="20:28" ht="15" hidden="1" customHeight="1">
      <c r="T682" s="566"/>
    </row>
    <row r="683" spans="20:28" ht="15" hidden="1" customHeight="1">
      <c r="T683" s="566"/>
    </row>
    <row r="684" spans="20:28" ht="15" hidden="1" customHeight="1">
      <c r="T684" s="566"/>
      <c r="AB684" s="167" t="s">
        <v>240</v>
      </c>
    </row>
    <row r="685" spans="20:28" ht="15" hidden="1" customHeight="1">
      <c r="T685" s="566"/>
      <c r="AB685" s="178" t="s">
        <v>493</v>
      </c>
    </row>
    <row r="686" spans="20:28" ht="15" hidden="1" customHeight="1">
      <c r="T686" s="566"/>
      <c r="AB686" s="167" t="s">
        <v>293</v>
      </c>
    </row>
    <row r="687" spans="20:28" ht="15" hidden="1" customHeight="1">
      <c r="T687" s="566"/>
      <c r="AB687" s="178"/>
    </row>
    <row r="688" spans="20:28" ht="15" hidden="1" customHeight="1">
      <c r="T688" s="566"/>
      <c r="AB688" s="167"/>
    </row>
    <row r="689" spans="20:28" ht="15" hidden="1" customHeight="1">
      <c r="T689" s="566"/>
      <c r="AB689" s="178"/>
    </row>
    <row r="690" spans="20:28" ht="15" hidden="1" customHeight="1">
      <c r="T690" s="566"/>
      <c r="AB690" s="167"/>
    </row>
    <row r="691" spans="20:28" ht="15" hidden="1" customHeight="1">
      <c r="T691" s="566"/>
      <c r="AB691" s="178"/>
    </row>
    <row r="692" spans="20:28" ht="15" hidden="1" customHeight="1">
      <c r="T692" s="566"/>
      <c r="AB692" s="167"/>
    </row>
    <row r="693" spans="20:28" ht="15" hidden="1" customHeight="1">
      <c r="T693" s="566"/>
      <c r="AB693" s="178" t="s">
        <v>104</v>
      </c>
    </row>
    <row r="694" spans="20:28" ht="15" hidden="1" customHeight="1">
      <c r="T694" s="566"/>
    </row>
    <row r="695" spans="20:28" ht="15" hidden="1" customHeight="1">
      <c r="T695" s="566"/>
    </row>
    <row r="696" spans="20:28" ht="15" hidden="1" customHeight="1">
      <c r="T696" s="566"/>
    </row>
    <row r="697" spans="20:28" ht="15" hidden="1" customHeight="1">
      <c r="T697" s="566"/>
    </row>
    <row r="698" spans="20:28" ht="15" hidden="1" customHeight="1">
      <c r="T698" s="566"/>
      <c r="AB698" s="167" t="s">
        <v>240</v>
      </c>
    </row>
    <row r="699" spans="20:28" ht="15" customHeight="1">
      <c r="T699" s="566"/>
    </row>
    <row r="700" spans="20:28" ht="15" customHeight="1">
      <c r="T700" s="566"/>
    </row>
    <row r="701" spans="20:28" ht="15" customHeight="1">
      <c r="T701" s="566"/>
    </row>
    <row r="702" spans="20:28" ht="15" customHeight="1">
      <c r="T702" s="566"/>
    </row>
    <row r="703" spans="20:28" ht="15" customHeight="1"/>
  </sheetData>
  <protectedRanges>
    <protectedRange sqref="O3:P581" name="Facturación"/>
  </protectedRanges>
  <autoFilter ref="A2:CC475" xr:uid="{00000000-0001-0000-0200-000000000000}">
    <filterColumn colId="7">
      <filters>
        <filter val="Asignar a Karla"/>
      </filters>
    </filterColumn>
    <sortState xmlns:xlrd2="http://schemas.microsoft.com/office/spreadsheetml/2017/richdata2" ref="A3:CC475">
      <sortCondition ref="L3:L475"/>
      <sortCondition ref="C3:C475"/>
    </sortState>
  </autoFilter>
  <sortState xmlns:xlrd2="http://schemas.microsoft.com/office/spreadsheetml/2017/richdata2" ref="A2:BE466">
    <sortCondition ref="L3:L466"/>
    <sortCondition ref="BE3:BE466"/>
    <sortCondition descending="1" ref="C3:C466"/>
  </sortState>
  <conditionalFormatting sqref="A2:B581">
    <cfRule type="containsBlanks" dxfId="151" priority="92">
      <formula>LEN(TRIM(A2))=0</formula>
    </cfRule>
  </conditionalFormatting>
  <conditionalFormatting sqref="BA2:BB2">
    <cfRule type="containsText" dxfId="150" priority="48" operator="containsText" text="NO">
      <formula>NOT(ISERROR(SEARCH("NO",BA2)))</formula>
    </cfRule>
    <cfRule type="containsText" dxfId="149" priority="49" operator="containsText" text="SI">
      <formula>NOT(ISERROR(SEARCH("SI",BA2)))</formula>
    </cfRule>
  </conditionalFormatting>
  <conditionalFormatting sqref="BB1:BB1048576">
    <cfRule type="containsText" dxfId="148" priority="44" operator="containsText" text="Riesgo bajo">
      <formula>NOT(ISERROR(SEARCH("Riesgo bajo",BB1)))</formula>
    </cfRule>
    <cfRule type="containsText" dxfId="147" priority="45" operator="containsText" text="Cliente blindado">
      <formula>NOT(ISERROR(SEARCH("Cliente blindado",BB1)))</formula>
    </cfRule>
    <cfRule type="containsText" dxfId="146" priority="46" operator="containsText" text="Riesgo medio">
      <formula>NOT(ISERROR(SEARCH("Riesgo medio",BB1)))</formula>
    </cfRule>
    <cfRule type="containsText" dxfId="145" priority="47" operator="containsText" text="Demasiado riesgo">
      <formula>NOT(ISERROR(SEARCH("Demasiado riesgo",BB1)))</formula>
    </cfRule>
  </conditionalFormatting>
  <conditionalFormatting sqref="P3:T495">
    <cfRule type="expression" dxfId="144" priority="16">
      <formula>AND(P3&gt;O3, O3&gt;0)</formula>
    </cfRule>
  </conditionalFormatting>
  <conditionalFormatting sqref="P3:T495 Q3:T702">
    <cfRule type="expression" dxfId="143" priority="13">
      <formula>AND(P3&lt;O3, O3&gt;0)</formula>
    </cfRule>
  </conditionalFormatting>
  <conditionalFormatting sqref="N3:N592">
    <cfRule type="containsText" dxfId="142" priority="18" operator="containsText" text="Crítico">
      <formula>NOT(ISERROR(SEARCH("Crítico",N3)))</formula>
    </cfRule>
  </conditionalFormatting>
  <conditionalFormatting sqref="AJ3:AY698">
    <cfRule type="containsText" dxfId="141" priority="97" operator="containsText" text="OK">
      <formula>NOT(ISERROR(SEARCH("OK",AJ3)))</formula>
    </cfRule>
  </conditionalFormatting>
  <conditionalFormatting sqref="AJ3:AY698">
    <cfRule type="containsText" dxfId="140" priority="98" operator="containsText" text="OP">
      <formula>NOT(ISERROR(SEARCH("OP",AJ3)))</formula>
    </cfRule>
  </conditionalFormatting>
  <conditionalFormatting sqref="AJ3:AY698">
    <cfRule type="containsText" dxfId="139" priority="99" operator="containsText" text="NO">
      <formula>NOT(ISERROR(SEARCH("NO",AJ3)))</formula>
    </cfRule>
  </conditionalFormatting>
  <conditionalFormatting sqref="G476:AI792 U451:AI453 T451:T452 T454:AI475 G3:R12 T3:AI3 H13:R15 U4:AI4 T5:AI450 G16:R475">
    <cfRule type="expression" dxfId="138" priority="43">
      <formula>ISODD(ROW())</formula>
    </cfRule>
  </conditionalFormatting>
  <conditionalFormatting sqref="G476:AI792 U451:AI453 T451:T452 T454:AI475 G3:R12 T3:AI3 H13:R15 U4:AI4 T5:AI450 G16:R475">
    <cfRule type="expression" dxfId="137" priority="15">
      <formula>ISEVEN(ROW())</formula>
    </cfRule>
  </conditionalFormatting>
  <conditionalFormatting sqref="AI462">
    <cfRule type="containsText" dxfId="136" priority="9" operator="containsText" text="OK">
      <formula>NOT(ISERROR(SEARCH("OK",AI462)))</formula>
    </cfRule>
  </conditionalFormatting>
  <conditionalFormatting sqref="AI462">
    <cfRule type="containsText" dxfId="135" priority="10" operator="containsText" text="OP">
      <formula>NOT(ISERROR(SEARCH("OP",AI462)))</formula>
    </cfRule>
  </conditionalFormatting>
  <conditionalFormatting sqref="AI462">
    <cfRule type="containsText" dxfId="134" priority="11" operator="containsText" text="NO">
      <formula>NOT(ISERROR(SEARCH("NO",AI462)))</formula>
    </cfRule>
  </conditionalFormatting>
  <conditionalFormatting sqref="AJ3:AY792">
    <cfRule type="expression" dxfId="133" priority="8">
      <formula>AND(ISEVEN(ROW()),LEN(TRIM(AJ3))=0)</formula>
    </cfRule>
  </conditionalFormatting>
  <conditionalFormatting sqref="AJ3:AY792">
    <cfRule type="expression" dxfId="132" priority="7">
      <formula>AND(ISODD(ROW()),LEN(TRIM(AJ3))=0)</formula>
    </cfRule>
  </conditionalFormatting>
  <conditionalFormatting sqref="F149">
    <cfRule type="expression" dxfId="131" priority="6">
      <formula>ISODD(ROW())</formula>
    </cfRule>
  </conditionalFormatting>
  <conditionalFormatting sqref="F149">
    <cfRule type="expression" dxfId="130" priority="5">
      <formula>ISEVEN(ROW())</formula>
    </cfRule>
  </conditionalFormatting>
  <conditionalFormatting sqref="G13:G15">
    <cfRule type="expression" dxfId="129" priority="4">
      <formula>ISODD(ROW())</formula>
    </cfRule>
  </conditionalFormatting>
  <conditionalFormatting sqref="G13:G15">
    <cfRule type="expression" dxfId="128" priority="3">
      <formula>ISEVEN(ROW())</formula>
    </cfRule>
  </conditionalFormatting>
  <conditionalFormatting sqref="S3:S475">
    <cfRule type="expression" dxfId="127" priority="1">
      <formula>ISEVEN(ROW())</formula>
    </cfRule>
    <cfRule type="expression" dxfId="126" priority="2">
      <formula>ISODD(ROW())</formula>
    </cfRule>
  </conditionalFormatting>
  <conditionalFormatting sqref="Q3:T702">
    <cfRule type="expression" dxfId="125" priority="101">
      <formula>AND(Q3&gt;P3, P3&gt;0)</formula>
    </cfRule>
  </conditionalFormatting>
  <dataValidations count="3">
    <dataValidation type="list" allowBlank="1" showInputMessage="1" showErrorMessage="1" sqref="N1 N450:N1048576 N3:N432" xr:uid="{2EFB67C1-F533-4FE8-991C-56B1722AD96C}">
      <formula1>"Crítico-marcaje,Crítico-incidencias,Crítico-NPS,Riesgo,Saludable"</formula1>
    </dataValidation>
    <dataValidation allowBlank="1" showInputMessage="1" showErrorMessage="1" sqref="H1:I1048576" xr:uid="{D034EE26-D0D1-4118-8214-B6C8FF364CD6}"/>
    <dataValidation type="list" allowBlank="1" showInputMessage="1" showErrorMessage="1" sqref="BC3:BC639" xr:uid="{5EA632B7-8DA5-4878-B9AD-7E10336AE5A2}">
      <formula1>"Pedir referido,Usar como referencia,Ambos"</formula1>
    </dataValidation>
  </dataValidations>
  <hyperlinks>
    <hyperlink ref="F99" r:id="rId1" xr:uid="{80881E67-F1CA-483C-AC57-01EB78C545BB}"/>
    <hyperlink ref="F452" r:id="rId2" xr:uid="{73C493AC-6D36-485B-B844-465299D83A1A}"/>
    <hyperlink ref="F460" r:id="rId3" xr:uid="{88EC719F-FE2E-426E-A215-47C71AEF6944}"/>
    <hyperlink ref="F470" r:id="rId4" xr:uid="{647A0413-0527-4465-A77D-C6DF29634DD8}"/>
    <hyperlink ref="F457" r:id="rId5" xr:uid="{BAAC934D-A8DD-4533-AA2F-CE31A7EC6DA6}"/>
    <hyperlink ref="F467" r:id="rId6" xr:uid="{CEFD425C-A249-463D-9F18-4CD13E33D644}"/>
    <hyperlink ref="F469" r:id="rId7" display="SERVICIOS INTEGRALES RAMPER" xr:uid="{75C0BEFF-2D46-4B83-87C9-8F0D5C0AA567}"/>
    <hyperlink ref="F466" r:id="rId8" xr:uid="{A610A27A-D2EB-4DB7-90AE-A380CB179883}"/>
    <hyperlink ref="F468" r:id="rId9" xr:uid="{D09048C7-1EE1-466E-8652-705ABCA04740}"/>
    <hyperlink ref="F464" r:id="rId10" xr:uid="{E73E315F-F7FD-4E12-ABDD-8F21F2ECBCE0}"/>
    <hyperlink ref="F462" r:id="rId11" xr:uid="{14AD711E-DC39-4372-8CBE-04402CEF40E7}"/>
    <hyperlink ref="F458" r:id="rId12" xr:uid="{95630850-C7B5-4462-9992-EAE7A3E332A0}"/>
    <hyperlink ref="F256" r:id="rId13" xr:uid="{CD76B4BF-6AF4-436C-B8DB-A9DCBB46BAC3}"/>
    <hyperlink ref="F451" r:id="rId14" xr:uid="{A228C291-CB39-4C82-BB16-3658AAB77058}"/>
    <hyperlink ref="F323" r:id="rId15" xr:uid="{2240EC71-4564-441A-B1B2-13473118AE72}"/>
    <hyperlink ref="F247" r:id="rId16" xr:uid="{1BCF895B-AAFB-426C-A633-DE4CFE4D7819}"/>
    <hyperlink ref="F380" r:id="rId17" xr:uid="{C9D05962-472F-41BA-946C-BE88392E23F9}"/>
    <hyperlink ref="F158" r:id="rId18" xr:uid="{85F9A5BB-0119-4B1E-816F-046A46076613}"/>
    <hyperlink ref="F173" r:id="rId19" xr:uid="{1740F1F1-DEDF-4C58-99AF-632D5BB95969}"/>
    <hyperlink ref="F171" r:id="rId20" xr:uid="{200915FE-2E9F-4731-AFEA-FCD60495275B}"/>
    <hyperlink ref="F128" r:id="rId21" xr:uid="{53A2ECAE-1F81-417C-B6E5-E8645D8A79BD}"/>
    <hyperlink ref="F170" r:id="rId22" xr:uid="{BA642291-FED2-4108-ACC1-69057C1D167A}"/>
    <hyperlink ref="F160" r:id="rId23" xr:uid="{234D34F7-1A1F-4CCF-A041-AD0DA3674F84}"/>
    <hyperlink ref="F192" r:id="rId24" xr:uid="{C72D6AC6-9D84-4C0D-8AC5-CB0B6466C20C}"/>
    <hyperlink ref="F118" r:id="rId25" xr:uid="{27A2F3E7-611D-47A5-B123-418B25C8648C}"/>
    <hyperlink ref="F182" r:id="rId26" xr:uid="{1DE35F0A-A246-45B5-9BE9-B69571FF0280}"/>
    <hyperlink ref="F147" r:id="rId27" xr:uid="{C9115EAD-550F-4EDC-9568-6A573FEB70D5}"/>
    <hyperlink ref="F146" r:id="rId28" xr:uid="{EBCF17A8-B9FC-4D82-B661-A99DC3FD1D6D}"/>
    <hyperlink ref="F100" r:id="rId29" xr:uid="{EFAF4537-5704-413E-BD0C-0BA87C0805F4}"/>
    <hyperlink ref="F449" r:id="rId30" xr:uid="{D2DA3021-FD6B-4A78-B8A4-59BDF3B98DE6}"/>
    <hyperlink ref="F428" r:id="rId31" xr:uid="{5A66A79A-0664-4CC6-89F9-98F9482E547B}"/>
    <hyperlink ref="F135" r:id="rId32" xr:uid="{DAC0970E-247F-4A01-B40B-D83AC7C608EA}"/>
    <hyperlink ref="F31" r:id="rId33" xr:uid="{0EA934FD-CA51-45A3-92F1-7E8CD57D1F58}"/>
  </hyperlinks>
  <pageMargins left="0.7" right="0.7" top="0.75" bottom="0.75" header="0.3" footer="0.3"/>
  <legacyDrawing r:id="rId34"/>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AE3:AE632</xm:sqref>
        </x14:dataValidation>
        <x14:dataValidation type="list" allowBlank="1" showInputMessage="1" showErrorMessage="1" xr:uid="{C4747D54-EBFF-4C98-8A69-B02E381F4C0D}">
          <x14:formula1>
            <xm:f>'Info general'!$N$2:$N$7</xm:f>
          </x14:formula1>
          <xm:sqref>AF3:AF632</xm:sqref>
        </x14:dataValidation>
        <x14:dataValidation type="list" allowBlank="1" showInputMessage="1" showErrorMessage="1" xr:uid="{5DF4692F-1D1E-48FB-BDE2-991E1A3437EC}">
          <x14:formula1>
            <xm:f>'Info general'!$G$2:$G$7</xm:f>
          </x14:formula1>
          <xm:sqref>AC3:AD632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433" t="s">
        <v>1326</v>
      </c>
      <c r="B1" s="433"/>
      <c r="C1" s="433"/>
      <c r="D1" s="433"/>
      <c r="E1" s="433"/>
      <c r="F1" s="433"/>
      <c r="G1" s="433"/>
      <c r="H1" s="433"/>
    </row>
    <row r="2" spans="1:15">
      <c r="A2" s="434" t="s">
        <v>1327</v>
      </c>
      <c r="B2" s="434" t="s">
        <v>79</v>
      </c>
      <c r="C2" s="434" t="s">
        <v>68</v>
      </c>
      <c r="D2" s="434" t="s">
        <v>1328</v>
      </c>
      <c r="E2" s="434" t="s">
        <v>1329</v>
      </c>
      <c r="F2" s="434"/>
      <c r="G2" s="434" t="s">
        <v>1330</v>
      </c>
      <c r="H2" s="434" t="s">
        <v>1331</v>
      </c>
      <c r="K2" s="444" t="s">
        <v>1332</v>
      </c>
      <c r="L2" s="67" t="s">
        <v>1333</v>
      </c>
      <c r="M2" s="67" t="s">
        <v>1334</v>
      </c>
      <c r="N2" s="67" t="s">
        <v>1335</v>
      </c>
      <c r="O2" s="445" t="s">
        <v>1336</v>
      </c>
    </row>
    <row r="3" spans="1:15">
      <c r="A3" t="s">
        <v>14</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 t="shared" ref="E3:E14" si="0">B3+C3+D3</f>
        <v>314.11473087818695</v>
      </c>
      <c r="F3" s="43"/>
      <c r="G3" s="43" t="s">
        <v>1332</v>
      </c>
      <c r="H3" s="43">
        <f>SUM(E3:E5)</f>
        <v>2099.9787535410765</v>
      </c>
      <c r="K3" s="446" t="s">
        <v>1337</v>
      </c>
      <c r="L3" s="43">
        <f>B37+B38+B39</f>
        <v>0</v>
      </c>
      <c r="M3" t="s">
        <v>1338</v>
      </c>
      <c r="N3" s="58">
        <f>AVERAGE(G88:G90)</f>
        <v>9.9404014270122951E-3</v>
      </c>
      <c r="O3" s="447" t="s">
        <v>1339</v>
      </c>
    </row>
    <row r="4" spans="1:15">
      <c r="A4" t="s">
        <v>15</v>
      </c>
      <c r="B4" s="43">
        <f>SUMIFS('Ventas 2026'!$N:$N,'Ventas 2026'!$G:$G,"Cross selling",'Ventas 2026'!$Q:$Q,"ENTERPRISE",'Ventas 2026'!$E:$E,"Febrero")</f>
        <v>416.94050991501422</v>
      </c>
      <c r="C4" s="43">
        <f>SUMIFS('Ventas 2026'!$N:$N,'Ventas 2026'!$G:$G,"Cross selling",'Ventas 2026'!$Q:$Q,"SMB",'Ventas 2026'!$E:$E,"Febrero")</f>
        <v>25.155807365439095</v>
      </c>
      <c r="D4" s="43">
        <f>SUMIFS('Ventas 2026'!$N:$N,'Ventas 2026'!$G:$G,"Cross selling",'Ventas 2026'!$Q:$Q,"Sin dato",'Ventas 2026'!$E:$E,"Febrero")</f>
        <v>0</v>
      </c>
      <c r="E4" s="43">
        <f t="shared" si="0"/>
        <v>442.09631728045332</v>
      </c>
      <c r="F4" s="43"/>
      <c r="G4" s="43" t="s">
        <v>1340</v>
      </c>
      <c r="H4" s="43">
        <f>SUM(E6:E8)</f>
        <v>3727.7914285714287</v>
      </c>
      <c r="K4" s="446" t="s">
        <v>1341</v>
      </c>
      <c r="L4" s="43">
        <f>D37+D38+D39</f>
        <v>0</v>
      </c>
      <c r="M4" t="s">
        <v>1342</v>
      </c>
      <c r="N4" s="58">
        <f>AVERAGE(K88:K90)</f>
        <v>5.0672502937879121E-3</v>
      </c>
      <c r="O4" s="447" t="s">
        <v>1339</v>
      </c>
    </row>
    <row r="5" spans="1:15">
      <c r="A5" t="s">
        <v>16</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 t="shared" si="0"/>
        <v>1343.7677053824361</v>
      </c>
      <c r="F5" s="43"/>
      <c r="G5" s="43" t="s">
        <v>1343</v>
      </c>
      <c r="H5" s="43">
        <f>SUM(E9:E11)</f>
        <v>5908.057142857142</v>
      </c>
      <c r="K5" s="448" t="s">
        <v>1344</v>
      </c>
      <c r="L5" s="449">
        <f>SUM(C37:C39)</f>
        <v>0</v>
      </c>
      <c r="M5" s="450" t="s">
        <v>1345</v>
      </c>
      <c r="N5" s="451">
        <f>AVERAGE(I88:I90)</f>
        <v>1.0692356712037705E-2</v>
      </c>
      <c r="O5" s="452" t="s">
        <v>1346</v>
      </c>
    </row>
    <row r="6" spans="1:15">
      <c r="A6" t="s">
        <v>17</v>
      </c>
      <c r="B6" s="43">
        <f>SUMIFS('Ventas 2026'!$N:$N,'Ventas 2026'!$G:$G,"Cross selling",'Ventas 2026'!$Q:$Q,"ENTERPRISE",'Ventas 2026'!$E:$E,"Abril")</f>
        <v>182.85714285714286</v>
      </c>
      <c r="C6" s="43">
        <f>SUMIFS('Ventas 2026'!$N:$N,'Ventas 2026'!$G:$G,"Cross selling",'Ventas 2026'!$Q:$Q,"SMB",'Ventas 2026'!$E:$E,"Abril")</f>
        <v>0</v>
      </c>
      <c r="D6" s="43">
        <f>SUMIFS('Ventas 2026'!$N:$N,'Ventas 2026'!$G:$G,"Cross selling",'Ventas 2026'!$Q:$Q,"Sin dato",'Ventas 2026'!$E:$E,"Abril")</f>
        <v>0</v>
      </c>
      <c r="E6" s="43">
        <f t="shared" si="0"/>
        <v>182.85714285714286</v>
      </c>
      <c r="F6" s="43"/>
      <c r="G6" s="43" t="s">
        <v>1347</v>
      </c>
      <c r="H6" s="43">
        <f>SUM(E12:E14)</f>
        <v>0</v>
      </c>
    </row>
    <row r="7" spans="1:15">
      <c r="A7" t="s">
        <v>18</v>
      </c>
      <c r="B7" s="43">
        <f>SUMIFS('Ventas 2026'!$N:$N,'Ventas 2026'!$G:$G,"Cross selling",'Ventas 2026'!$Q:$Q,"ENTERPRISE",'Ventas 2026'!$E:$E,"Mayo")</f>
        <v>82.971428571428575</v>
      </c>
      <c r="C7" s="43">
        <f>SUMIFS('Ventas 2026'!$N:$N,'Ventas 2026'!$G:$G,"Cross selling",'Ventas 2026'!$Q:$Q,"SMB",'Ventas 2026'!$E:$E,"Mayo")</f>
        <v>0</v>
      </c>
      <c r="D7" s="43">
        <f>SUMIFS('Ventas 2026'!$N:$N,'Ventas 2026'!$G:$G,"Cross selling",'Ventas 2026'!$Q:$Q,"Sin dato",'Ventas 2026'!$E:$E,"Mayo")</f>
        <v>650.53428571428572</v>
      </c>
      <c r="E7" s="43">
        <f t="shared" si="0"/>
        <v>733.50571428571425</v>
      </c>
      <c r="F7" s="43"/>
      <c r="G7" s="43"/>
      <c r="H7" s="43"/>
    </row>
    <row r="8" spans="1:15">
      <c r="A8" t="s">
        <v>19</v>
      </c>
      <c r="B8" s="43">
        <f>SUMIFS('Ventas 2026'!$N:$N,'Ventas 2026'!$G:$G,"Cross selling",'Ventas 2026'!$Q:$Q,"ENTERPRISE",'Ventas 2026'!$E:$E,"Junio")</f>
        <v>1934.8571428571427</v>
      </c>
      <c r="C8" s="43">
        <f>SUMIFS('Ventas 2026'!$N:$N,'Ventas 2026'!$G:$G,"Cross selling",'Ventas 2026'!$Q:$Q,"SMB",'Ventas 2026'!$E:$E,"Junio")</f>
        <v>333.71428571428572</v>
      </c>
      <c r="D8" s="43">
        <f>SUMIFS('Ventas 2026'!$N:$N,'Ventas 2026'!$G:$G,"Cross selling",'Ventas 2026'!$Q:$Q,"Sin dato",'Ventas 2026'!$E:$E,"Junio")</f>
        <v>542.85714285714289</v>
      </c>
      <c r="E8" s="43">
        <f t="shared" si="0"/>
        <v>2811.4285714285716</v>
      </c>
      <c r="F8" s="43"/>
      <c r="G8" s="43"/>
      <c r="H8" s="43"/>
      <c r="L8" t="s">
        <v>1348</v>
      </c>
    </row>
    <row r="9" spans="1:15">
      <c r="A9" t="s">
        <v>1349</v>
      </c>
      <c r="B9" s="43">
        <f>SUMIFS('Ventas 2026'!$N:$N,'Ventas 2026'!$G:$G,"Cross selling",'Ventas 2026'!$Q:$Q,"ENTERPRISE",'Ventas 2026'!$E:$E,"Julio")</f>
        <v>3286.3999999999996</v>
      </c>
      <c r="C9" s="43">
        <f>SUMIFS('Ventas 2026'!$N:$N,'Ventas 2026'!$G:$G,"Cross selling",'Ventas 2026'!$Q:$Q,"SMB",'Ventas 2026'!$E:$E,"Julio")</f>
        <v>177.2</v>
      </c>
      <c r="D9" s="43">
        <f>SUMIFS('Ventas 2026'!$N:$N,'Ventas 2026'!$G:$G,"Cross selling",'Ventas 2026'!$Q:$Q,"Sin dato",'Ventas 2026'!$E:$E,"Julio")</f>
        <v>905.14285714285711</v>
      </c>
      <c r="E9" s="43">
        <f t="shared" si="0"/>
        <v>4368.7428571428563</v>
      </c>
      <c r="F9" s="43"/>
      <c r="G9" s="43"/>
      <c r="H9" s="43"/>
      <c r="K9" s="444" t="s">
        <v>1340</v>
      </c>
      <c r="L9" s="67" t="s">
        <v>1333</v>
      </c>
      <c r="M9" s="67" t="s">
        <v>1334</v>
      </c>
      <c r="N9" s="67" t="s">
        <v>1335</v>
      </c>
      <c r="O9" s="445" t="s">
        <v>1336</v>
      </c>
    </row>
    <row r="10" spans="1:15">
      <c r="A10" t="s">
        <v>1350</v>
      </c>
      <c r="B10" s="43">
        <f>SUMIFS('Ventas 2026'!$N:$N,'Ventas 2026'!$G:$G,"Cross selling",'Ventas 2026'!$Q:$Q,"ENTERPRISE",'Ventas 2026'!$E:$E,"Agosto")</f>
        <v>1406.2857142857142</v>
      </c>
      <c r="C10" s="43">
        <f>SUMIFS('Ventas 2026'!$N:$N,'Ventas 2026'!$G:$G,"Cross selling",'Ventas 2026'!$Q:$Q,"SMB",'Ventas 2026'!$E:$E,"Agosto")</f>
        <v>0</v>
      </c>
      <c r="D10" s="43">
        <f>SUMIFS('Ventas 2026'!$N:$N,'Ventas 2026'!$G:$G,"Cross selling",'Ventas 2026'!$Q:$Q,"Sin dato",'Ventas 2026'!$E:$E,"Agosto")</f>
        <v>133.02857142857144</v>
      </c>
      <c r="E10" s="43">
        <f t="shared" si="0"/>
        <v>1539.3142857142857</v>
      </c>
      <c r="F10" s="43"/>
      <c r="G10" s="43"/>
      <c r="H10" s="43"/>
      <c r="K10" s="446" t="s">
        <v>1337</v>
      </c>
      <c r="L10" s="43">
        <f>SUM(B40:B42)</f>
        <v>0</v>
      </c>
      <c r="N10" s="58">
        <f>AVERAGE(G91:G93)</f>
        <v>2.4139756602304129E-2</v>
      </c>
      <c r="O10" s="447"/>
    </row>
    <row r="11" spans="1:15">
      <c r="A11" t="s">
        <v>1351</v>
      </c>
      <c r="B11" s="43">
        <f>SUMIFS('Ventas 2026'!$N:$N,'Ventas 2026'!$G:$G,"Cross selling",'Ventas 2026'!$Q:$Q,"ENTERPRISE",'Ventas 2026'!$E:$E,"Septiembre")</f>
        <v>0</v>
      </c>
      <c r="C11" s="43">
        <f>SUMIFS('Ventas 2026'!$N:$N,'Ventas 2026'!$G:$G,"Cross selling",'Ventas 2026'!$Q:$Q,"SMB",'Ventas 2026'!$E:$E,"Septiembre")</f>
        <v>0</v>
      </c>
      <c r="D11" s="43">
        <f>SUMIFS('Ventas 2026'!$N:$N,'Ventas 2026'!$G:$G,"Cross selling",'Ventas 2026'!$Q:$Q,"Sin dato",'Ventas 2026'!$E:$E,"Septiembre")</f>
        <v>0</v>
      </c>
      <c r="E11" s="43">
        <f t="shared" si="0"/>
        <v>0</v>
      </c>
      <c r="F11" s="43"/>
      <c r="G11" s="43"/>
      <c r="H11" s="43"/>
      <c r="K11" s="446" t="s">
        <v>1341</v>
      </c>
      <c r="L11" s="43">
        <f>SUM(D40:D42)</f>
        <v>0</v>
      </c>
      <c r="N11" s="58">
        <f>AVERAGE(I91:I93)</f>
        <v>0</v>
      </c>
      <c r="O11" s="447"/>
    </row>
    <row r="12" spans="1:15">
      <c r="A12" t="s">
        <v>1352</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 t="shared" si="0"/>
        <v>0</v>
      </c>
      <c r="F12" s="43"/>
      <c r="G12" s="43"/>
      <c r="H12" s="43"/>
      <c r="K12" s="448" t="s">
        <v>1344</v>
      </c>
      <c r="L12" s="449">
        <f>SUM(C40:C42)</f>
        <v>0</v>
      </c>
      <c r="M12" s="450"/>
      <c r="N12" s="451">
        <f>AVERAGE(H91:H93)</f>
        <v>32629.108799999987</v>
      </c>
      <c r="O12" s="452"/>
    </row>
    <row r="13" spans="1:15">
      <c r="A13" t="s">
        <v>1353</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 t="shared" si="0"/>
        <v>0</v>
      </c>
      <c r="F13" s="43"/>
      <c r="G13" s="43"/>
      <c r="H13" s="43"/>
    </row>
    <row r="14" spans="1:15">
      <c r="A14" t="s">
        <v>1354</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 t="shared" si="0"/>
        <v>0</v>
      </c>
      <c r="F14" s="43"/>
      <c r="G14" s="43"/>
      <c r="H14" s="43"/>
    </row>
    <row r="15" spans="1:15">
      <c r="A15" s="55" t="s">
        <v>1355</v>
      </c>
      <c r="B15" s="43">
        <f>SUM(B3:B14)</f>
        <v>8756.0414002428151</v>
      </c>
      <c r="C15" s="43">
        <f>SUM(C3:C14)</f>
        <v>728.39303925536228</v>
      </c>
      <c r="D15" s="43">
        <f>SUM(D3:D14)</f>
        <v>2251.3928854714691</v>
      </c>
      <c r="E15" s="43">
        <f>SUM(E3:E14)</f>
        <v>11735.827324969647</v>
      </c>
      <c r="F15" s="43"/>
      <c r="G15" s="43"/>
      <c r="H15" s="43"/>
    </row>
    <row r="18" spans="1:8" ht="18.399999999999999">
      <c r="A18" s="435" t="s">
        <v>1356</v>
      </c>
      <c r="B18" s="435"/>
      <c r="C18" s="435"/>
      <c r="D18" s="435"/>
      <c r="E18" s="435"/>
      <c r="F18" s="435"/>
      <c r="G18" s="435"/>
      <c r="H18" s="435"/>
    </row>
    <row r="19" spans="1:8">
      <c r="A19" s="436" t="s">
        <v>1327</v>
      </c>
      <c r="B19" s="436" t="s">
        <v>79</v>
      </c>
      <c r="C19" s="436" t="s">
        <v>68</v>
      </c>
      <c r="D19" s="436" t="s">
        <v>1328</v>
      </c>
      <c r="E19" s="436" t="s">
        <v>1329</v>
      </c>
      <c r="F19" s="436"/>
      <c r="G19" s="436" t="s">
        <v>1330</v>
      </c>
      <c r="H19" s="436" t="s">
        <v>1331</v>
      </c>
    </row>
    <row r="20" spans="1:8">
      <c r="A20" t="s">
        <v>14</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 t="shared" ref="E20:E31" si="1">B20+C20+D20</f>
        <v>0</v>
      </c>
      <c r="F20" s="43"/>
      <c r="G20" s="43" t="s">
        <v>1332</v>
      </c>
      <c r="H20" s="43">
        <f>SUM(E20:E22)</f>
        <v>2516.5518413597733</v>
      </c>
    </row>
    <row r="21" spans="1:8">
      <c r="A21" t="s">
        <v>15</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 t="shared" si="1"/>
        <v>859.830028328612</v>
      </c>
      <c r="F21" s="43"/>
      <c r="G21" s="43" t="s">
        <v>1340</v>
      </c>
      <c r="H21" s="43">
        <f>SUM(E23:E25)</f>
        <v>3755.5542857142859</v>
      </c>
    </row>
    <row r="22" spans="1:8">
      <c r="A22" t="s">
        <v>16</v>
      </c>
      <c r="B22" s="43">
        <f>SUMIFS('Ventas 2026'!$N:$N,'Ventas 2026'!$G:$G,"Up Selling",'Ventas 2026'!$Q:$Q,"ENTERPRISE",'Ventas 2026'!$E:$E,"Marzo")</f>
        <v>1432.7478753541077</v>
      </c>
      <c r="C22" s="43">
        <f>SUMIFS('Ventas 2026'!$N:$N,'Ventas 2026'!$G:$G,"Up Selling",'Ventas 2026'!$Q:$Q,"SMB",'Ventas 2026'!$E:$E,"Marzo")</f>
        <v>73.287252124645903</v>
      </c>
      <c r="D22" s="43">
        <f>SUMIFS('Ventas 2026'!$N:$N,'Ventas 2026'!$G:$G,"Up Selling",'Ventas 2026'!$Q:$Q,"Sin dato",'Ventas 2026'!$E:$E,"Marzo")</f>
        <v>150.68668555240794</v>
      </c>
      <c r="E22" s="43">
        <f t="shared" si="1"/>
        <v>1656.7218130311614</v>
      </c>
      <c r="F22" s="43"/>
      <c r="G22" s="43" t="s">
        <v>1343</v>
      </c>
      <c r="H22" s="43">
        <f>SUM(E26:E28)</f>
        <v>25101.82857142857</v>
      </c>
    </row>
    <row r="23" spans="1:8">
      <c r="A23" t="s">
        <v>17</v>
      </c>
      <c r="B23" s="43">
        <f>SUMIFS('Ventas 2026'!$N:$N,'Ventas 2026'!$G:$G,"Up Selling",'Ventas 2026'!$Q:$Q,"ENTERPRISE",'Ventas 2026'!$E:$E,"Abril")</f>
        <v>1103.7257142857143</v>
      </c>
      <c r="C23" s="43">
        <f>SUMIFS('Ventas 2026'!$N:$N,'Ventas 2026'!$G:$G,"Up Selling",'Ventas 2026'!$Q:$Q,"SMB",'Ventas 2026'!$E:$E,"Abril")</f>
        <v>0</v>
      </c>
      <c r="D23" s="43">
        <f>SUMIFS('Ventas 2026'!$N:$N,'Ventas 2026'!$G:$G,"Up Selling",'Ventas 2026'!$Q:$Q,"Sin dato",'Ventas 2026'!$E:$E,"Abril")</f>
        <v>0</v>
      </c>
      <c r="E23" s="43">
        <f t="shared" si="1"/>
        <v>1103.7257142857143</v>
      </c>
      <c r="F23" s="43"/>
      <c r="G23" s="43" t="s">
        <v>1347</v>
      </c>
      <c r="H23" s="43">
        <f>SUM(E29:E31)</f>
        <v>0</v>
      </c>
    </row>
    <row r="24" spans="1:8">
      <c r="A24" t="s">
        <v>18</v>
      </c>
      <c r="B24" s="43">
        <f>SUMIFS('Ventas 2026'!$N:$N,'Ventas 2026'!$G:$G,"Up Selling",'Ventas 2026'!$Q:$Q,"ENTERPRISE",'Ventas 2026'!$E:$E,"Mayo")</f>
        <v>397.37142857142857</v>
      </c>
      <c r="C24" s="43">
        <f>SUMIFS('Ventas 2026'!$N:$N,'Ventas 2026'!$G:$G,"Up Selling",'Ventas 2026'!$Q:$Q,"SMB",'Ventas 2026'!$E:$E,"Mayo")</f>
        <v>356.85714285714289</v>
      </c>
      <c r="D24" s="43">
        <f>SUMIFS('Ventas 2026'!$N:$N,'Ventas 2026'!$G:$G,"Up Selling",'Ventas 2026'!$Q:$Q,"Sin dato",'Ventas 2026'!$E:$E,"Mayo")</f>
        <v>0</v>
      </c>
      <c r="E24" s="43">
        <f t="shared" si="1"/>
        <v>754.22857142857151</v>
      </c>
      <c r="F24" s="43"/>
      <c r="G24" s="43"/>
      <c r="H24" s="43"/>
    </row>
    <row r="25" spans="1:8">
      <c r="A25" t="s">
        <v>19</v>
      </c>
      <c r="B25" s="43">
        <f>SUMIFS('Ventas 2026'!$N:$N,'Ventas 2026'!$G:$G,"Up Selling",'Ventas 2026'!$Q:$Q,"ENTERPRISE",'Ventas 2026'!$E:$E,"Junio")</f>
        <v>1478.4</v>
      </c>
      <c r="C25" s="43">
        <f>SUMIFS('Ventas 2026'!$N:$N,'Ventas 2026'!$G:$G,"Up Selling",'Ventas 2026'!$Q:$Q,"SMB",'Ventas 2026'!$E:$E,"Junio")</f>
        <v>0</v>
      </c>
      <c r="D25" s="43">
        <f>SUMIFS('Ventas 2026'!$N:$N,'Ventas 2026'!$G:$G,"Up Selling",'Ventas 2026'!$Q:$Q,"Sin dato",'Ventas 2026'!$E:$E,"Junio")</f>
        <v>419.2</v>
      </c>
      <c r="E25" s="43">
        <f t="shared" si="1"/>
        <v>1897.6000000000001</v>
      </c>
      <c r="F25" s="43"/>
      <c r="G25" s="43"/>
      <c r="H25" s="43"/>
    </row>
    <row r="26" spans="1:8">
      <c r="A26" t="s">
        <v>1349</v>
      </c>
      <c r="B26" s="43">
        <f>SUMIFS('Ventas 2026'!$N:$N,'Ventas 2026'!$G:$G,"Up Selling",'Ventas 2026'!$Q:$Q,"ENTERPRISE",'Ventas 2026'!$E:$E,"Julio")</f>
        <v>4308.5714285714284</v>
      </c>
      <c r="C26" s="43">
        <f>SUMIFS('Ventas 2026'!$N:$N,'Ventas 2026'!$G:$G,"Up Selling",'Ventas 2026'!$Q:$Q,"SMB",'Ventas 2026'!$E:$E,"Julio")</f>
        <v>0</v>
      </c>
      <c r="D26" s="43">
        <f>SUMIFS('Ventas 2026'!$N:$N,'Ventas 2026'!$G:$G,"Up Selling",'Ventas 2026'!$Q:$Q,"Sin dato",'Ventas 2026'!$E:$E,"Julio")</f>
        <v>20793.257142857143</v>
      </c>
      <c r="E26" s="43">
        <f t="shared" si="1"/>
        <v>25101.82857142857</v>
      </c>
      <c r="F26" s="43"/>
      <c r="G26" s="43"/>
      <c r="H26" s="43"/>
    </row>
    <row r="27" spans="1:8">
      <c r="A27" t="s">
        <v>1350</v>
      </c>
      <c r="B27" s="43">
        <f>SUMIFS('Ventas 2026'!$N:$N,'Ventas 2026'!$G:$G,"Up Selling",'Ventas 2026'!$Q:$Q,"ENTERPRISE",'Ventas 2026'!$E:$E,"Agosto")</f>
        <v>0</v>
      </c>
      <c r="C27" s="43">
        <f>SUMIFS('Ventas 2026'!$N:$N,'Ventas 2026'!$G:$G,"Up Selling",'Ventas 2026'!$Q:$Q,"SMB",'Ventas 2026'!$E:$E,"Agosto")</f>
        <v>0</v>
      </c>
      <c r="D27" s="43">
        <f>SUMIFS('Ventas 2026'!$N:$N,'Ventas 2026'!$G:$G,"Up Selling",'Ventas 2026'!$Q:$Q,"Sin dato",'Ventas 2026'!$E:$E,"Agosto")</f>
        <v>0</v>
      </c>
      <c r="E27" s="43">
        <f t="shared" si="1"/>
        <v>0</v>
      </c>
      <c r="F27" s="43"/>
      <c r="G27" s="43"/>
      <c r="H27" s="43"/>
    </row>
    <row r="28" spans="1:8">
      <c r="A28" t="s">
        <v>1351</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 t="shared" si="1"/>
        <v>0</v>
      </c>
      <c r="F28" s="43"/>
      <c r="G28" s="43"/>
      <c r="H28" s="43"/>
    </row>
    <row r="29" spans="1:8">
      <c r="A29" t="s">
        <v>1352</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 t="shared" si="1"/>
        <v>0</v>
      </c>
      <c r="F29" s="43"/>
      <c r="G29" s="43"/>
      <c r="H29" s="43"/>
    </row>
    <row r="30" spans="1:8">
      <c r="A30" t="s">
        <v>1353</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 t="shared" si="1"/>
        <v>0</v>
      </c>
      <c r="F30" s="43"/>
      <c r="G30" s="43"/>
      <c r="H30" s="43"/>
    </row>
    <row r="31" spans="1:8">
      <c r="A31" t="s">
        <v>1354</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 t="shared" si="1"/>
        <v>0</v>
      </c>
      <c r="F31" s="43"/>
      <c r="G31" s="43"/>
      <c r="H31" s="43"/>
    </row>
    <row r="32" spans="1:8">
      <c r="A32" s="55" t="s">
        <v>1355</v>
      </c>
      <c r="B32" s="43">
        <f>SUM(B20:B31)</f>
        <v>9416.340526102791</v>
      </c>
      <c r="C32" s="43">
        <f>SUM(C20:C31)</f>
        <v>594.45034399028737</v>
      </c>
      <c r="D32" s="43">
        <f>SUM(D20:D31)</f>
        <v>21363.143828409549</v>
      </c>
      <c r="E32" s="43">
        <f>SUM(E20:E31)</f>
        <v>31373.934698502628</v>
      </c>
      <c r="F32" s="43"/>
      <c r="G32" s="43"/>
      <c r="H32" s="43"/>
    </row>
    <row r="36" spans="7:8">
      <c r="G36" s="437" t="s">
        <v>1330</v>
      </c>
      <c r="H36" s="437" t="s">
        <v>1331</v>
      </c>
    </row>
    <row r="37" spans="7:8">
      <c r="G37" s="43" t="s">
        <v>1332</v>
      </c>
      <c r="H37" s="43">
        <f>SUM(E37:E39)</f>
        <v>0</v>
      </c>
    </row>
    <row r="38" spans="7:8">
      <c r="G38" s="43" t="s">
        <v>1340</v>
      </c>
      <c r="H38" s="43">
        <f>SUM(E40:E42)</f>
        <v>0</v>
      </c>
    </row>
    <row r="39" spans="7:8">
      <c r="G39" s="43" t="s">
        <v>1343</v>
      </c>
      <c r="H39" s="43">
        <f>SUM(E43:E45)</f>
        <v>0</v>
      </c>
    </row>
    <row r="40" spans="7:8">
      <c r="G40" s="43" t="s">
        <v>1347</v>
      </c>
      <c r="H40" s="43">
        <f>SUM(E46:E48)</f>
        <v>0</v>
      </c>
    </row>
    <row r="53" spans="7:8">
      <c r="G53" s="438" t="s">
        <v>1330</v>
      </c>
      <c r="H53" s="438" t="s">
        <v>1331</v>
      </c>
    </row>
    <row r="54" spans="7:8">
      <c r="G54" s="43" t="s">
        <v>1332</v>
      </c>
      <c r="H54" s="43">
        <f>SUM(E54:E56)</f>
        <v>0</v>
      </c>
    </row>
    <row r="55" spans="7:8">
      <c r="G55" s="43" t="s">
        <v>1340</v>
      </c>
      <c r="H55" s="43">
        <f>SUM(E57:E59)</f>
        <v>0</v>
      </c>
    </row>
    <row r="56" spans="7:8">
      <c r="G56" s="43" t="s">
        <v>1343</v>
      </c>
      <c r="H56" s="43">
        <f>SUM(E60:E62)</f>
        <v>0</v>
      </c>
    </row>
    <row r="57" spans="7:8">
      <c r="G57" s="43" t="s">
        <v>1347</v>
      </c>
      <c r="H57" s="43">
        <f>SUM(E63:E65)</f>
        <v>0</v>
      </c>
    </row>
    <row r="69" spans="1:8">
      <c r="A69" s="597" t="s">
        <v>1357</v>
      </c>
      <c r="B69" s="597"/>
      <c r="C69" s="597"/>
      <c r="D69" s="597"/>
      <c r="E69" s="597"/>
      <c r="F69" s="597"/>
      <c r="G69" s="597"/>
      <c r="H69" s="597"/>
    </row>
    <row r="70" spans="1:8">
      <c r="A70" s="441" t="s">
        <v>1327</v>
      </c>
      <c r="B70" s="441" t="s">
        <v>79</v>
      </c>
      <c r="C70" s="441" t="s">
        <v>68</v>
      </c>
      <c r="D70" s="441" t="s">
        <v>1328</v>
      </c>
      <c r="E70" s="441" t="s">
        <v>1329</v>
      </c>
      <c r="F70" s="441" t="s">
        <v>1358</v>
      </c>
      <c r="G70" s="442"/>
      <c r="H70" s="442"/>
    </row>
    <row r="71" spans="1:8">
      <c r="A71" t="s">
        <v>14</v>
      </c>
      <c r="B71" s="43">
        <f>SUMIFS('Detalle Fuga 2026'!$I:$I,'Detalle Fuga 2026'!$D:$D,"ENTERPRISE",'Detalle Fuga 2026'!$K:$K,"Enero")</f>
        <v>5450.65</v>
      </c>
      <c r="C71" s="43">
        <f>SUMIFS('Detalle Fuga 2026'!$I:$I,'Detalle Fuga 2026'!$D:$D,"SMB",'Detalle Fuga 2026'!$K:$K,"Enero")</f>
        <v>1202.93</v>
      </c>
      <c r="D71" s="43"/>
      <c r="E71" s="43">
        <f t="shared" ref="E71:E82" si="2">B71+C71+D71</f>
        <v>6653.58</v>
      </c>
      <c r="F71" s="440">
        <v>153375</v>
      </c>
      <c r="G71" s="43" t="s">
        <v>1332</v>
      </c>
      <c r="H71" s="43">
        <f>SUM(E71:E73)</f>
        <v>9859.2281000000003</v>
      </c>
    </row>
    <row r="72" spans="1:8">
      <c r="A72" t="s">
        <v>15</v>
      </c>
      <c r="B72" s="43">
        <f>SUMIFS('Detalle Fuga 2026'!$I:$I,'Detalle Fuga 2026'!$D:$D,"ENTERPRISE",'Detalle Fuga 2026'!$K:$K,"Febrero")</f>
        <v>675</v>
      </c>
      <c r="C72" s="43">
        <f>SUMIFS('Detalle Fuga 2026'!$I:$I,'Detalle Fuga 2026'!$D:$D,"SMB",'Detalle Fuga 2026'!$K:$K,"Febrero")</f>
        <v>1175</v>
      </c>
      <c r="D72" s="43"/>
      <c r="E72" s="43">
        <f t="shared" si="2"/>
        <v>1850</v>
      </c>
      <c r="F72" s="440">
        <v>154455</v>
      </c>
      <c r="G72" s="43" t="s">
        <v>1340</v>
      </c>
      <c r="H72" s="43">
        <f>SUM(E74:E76)</f>
        <v>2748</v>
      </c>
    </row>
    <row r="73" spans="1:8">
      <c r="A73" t="s">
        <v>16</v>
      </c>
      <c r="B73" s="43">
        <f>SUMIFS('Detalle Fuga 2026'!$I:$I,'Detalle Fuga 2026'!$D:$D,"ENTERPRISE",'Detalle Fuga 2026'!$K:$K,"Marzo")</f>
        <v>0</v>
      </c>
      <c r="C73" s="43">
        <f>SUMIFS('Detalle Fuga 2026'!$I:$I,'Detalle Fuga 2026'!$D:$D,"SMB",'Detalle Fuga 2026'!$K:$K,"Marzo")</f>
        <v>1355.6481000000001</v>
      </c>
      <c r="D73" s="43"/>
      <c r="E73" s="43">
        <f t="shared" si="2"/>
        <v>1355.6481000000001</v>
      </c>
      <c r="F73" s="440">
        <v>162290</v>
      </c>
      <c r="G73" s="43" t="s">
        <v>1343</v>
      </c>
      <c r="H73" s="43">
        <f>SUM(E77:E79)</f>
        <v>0</v>
      </c>
    </row>
    <row r="74" spans="1:8">
      <c r="A74" t="s">
        <v>17</v>
      </c>
      <c r="B74" s="43">
        <f>SUMIFS('Detalle Fuga 2026'!$I:$I,'Detalle Fuga 2026'!$D:$D,"ENTERPRISE",'Detalle Fuga 2026'!$K:$K,"Abril")</f>
        <v>511</v>
      </c>
      <c r="C74" s="43">
        <f>SUMIFS('Detalle Fuga 2026'!$I:$I,'Detalle Fuga 2026'!$D:$D,"SMB",'Detalle Fuga 2026'!$K:$K,"Abril")</f>
        <v>1473</v>
      </c>
      <c r="D74" s="43"/>
      <c r="E74" s="43">
        <f t="shared" si="2"/>
        <v>1984</v>
      </c>
      <c r="F74" s="440">
        <v>162968</v>
      </c>
      <c r="G74" s="43" t="s">
        <v>1347</v>
      </c>
      <c r="H74" s="43">
        <f>SUM(E80:E82)</f>
        <v>0</v>
      </c>
    </row>
    <row r="75" spans="1:8">
      <c r="A75" t="s">
        <v>18</v>
      </c>
      <c r="B75" s="43">
        <f>SUMIFS('Detalle Fuga 2026'!$I:$I,'Detalle Fuga 2026'!$D:$D,"ENTERPRISE",'Detalle Fuga 2026'!$K:$K,"Mayo")</f>
        <v>764</v>
      </c>
      <c r="C75" s="43">
        <f>SUMIFS('Detalle Fuga 2026'!$I:$I,'Detalle Fuga 2026'!$D:$D,"SMB",'Detalle Fuga 2026'!$K:$K,"Mayo")</f>
        <v>0</v>
      </c>
      <c r="D75" s="43"/>
      <c r="E75" s="43">
        <f t="shared" si="2"/>
        <v>764</v>
      </c>
      <c r="F75" s="440">
        <v>170313</v>
      </c>
      <c r="G75" s="43"/>
      <c r="H75" s="43"/>
    </row>
    <row r="76" spans="1:8">
      <c r="A76" t="s">
        <v>19</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1349</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1350</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1351</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1352</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1353</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1354</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1329</v>
      </c>
      <c r="B83" s="43">
        <f>SUM(B71:B82)</f>
        <v>7400.65</v>
      </c>
      <c r="C83" s="43">
        <f>SUM(C71:C82)</f>
        <v>5206.5781000000006</v>
      </c>
      <c r="D83" s="43">
        <f>SUM(D71:D82)</f>
        <v>0</v>
      </c>
      <c r="E83" s="43">
        <f>SUM(E71:E82)</f>
        <v>12607.2281</v>
      </c>
      <c r="F83" s="43"/>
      <c r="G83" s="43"/>
      <c r="H83" s="43"/>
    </row>
    <row r="86" spans="1:15">
      <c r="A86" s="598" t="s">
        <v>1359</v>
      </c>
      <c r="B86" s="598"/>
      <c r="C86" s="598"/>
      <c r="D86" s="598"/>
      <c r="E86" s="598"/>
      <c r="F86" s="598"/>
      <c r="G86" s="598"/>
      <c r="H86" s="598"/>
      <c r="I86" s="598"/>
    </row>
    <row r="87" spans="1:15">
      <c r="A87" s="443" t="s">
        <v>1327</v>
      </c>
      <c r="B87" s="443" t="s">
        <v>69</v>
      </c>
      <c r="C87" s="443" t="s">
        <v>456</v>
      </c>
      <c r="D87" s="443" t="s">
        <v>1106</v>
      </c>
      <c r="E87" s="443" t="s">
        <v>1329</v>
      </c>
      <c r="F87" s="443" t="s">
        <v>1358</v>
      </c>
      <c r="G87" s="443" t="s">
        <v>69</v>
      </c>
      <c r="H87" t="s">
        <v>1360</v>
      </c>
      <c r="I87" s="443" t="s">
        <v>456</v>
      </c>
      <c r="J87" t="s">
        <v>1361</v>
      </c>
      <c r="K87" s="443" t="s">
        <v>1106</v>
      </c>
    </row>
    <row r="88" spans="1:15">
      <c r="A88" t="s">
        <v>14</v>
      </c>
      <c r="B88" s="43">
        <v>788.66</v>
      </c>
      <c r="C88" s="43">
        <f>SUMIFS('Detalle Fuga 2026'!$I:$I,'Detalle Fuga 2026'!$C:$C,"Karla Patiño",'Detalle Fuga 2026'!$K:$K,"Enero")</f>
        <v>274.07</v>
      </c>
      <c r="D88" s="43">
        <v>0</v>
      </c>
      <c r="E88" s="43">
        <f t="shared" ref="E88:E99" si="3">B88+C88+D88</f>
        <v>1062.73</v>
      </c>
      <c r="F88" s="440">
        <f>SUMIFS('MARE MX'!$O$2:$O$580,'MARE MX'!$L$2:$L$580, "Dafne de la Rosa")</f>
        <v>42555.17000000002</v>
      </c>
      <c r="G88" s="58">
        <f>B88/$F$88</f>
        <v>1.8532648324516142E-2</v>
      </c>
      <c r="H88" s="440">
        <f>SUMIFS('MARE MX'!$O$2:$O$580,'MARE MX'!$L$2:$L$580, "Karla Patiño")</f>
        <v>24992.299999999988</v>
      </c>
      <c r="I88" s="58">
        <f>C88/$F$88</f>
        <v>6.4403455561333643E-3</v>
      </c>
      <c r="J88" s="440">
        <f>SUMIFS('MARE MX'!$O$2:$O$580,'MARE MX'!$L$2:$L$580, "Raúl Campos")</f>
        <v>72950.660000000018</v>
      </c>
      <c r="K88" s="58">
        <f>D88/$F$88</f>
        <v>0</v>
      </c>
      <c r="N88" s="43" t="s">
        <v>1332</v>
      </c>
      <c r="O88" s="43">
        <f>SUM(E88:E90)</f>
        <v>3411.6617999999999</v>
      </c>
    </row>
    <row r="89" spans="1:15">
      <c r="A89" t="s">
        <v>15</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440">
        <f>SUMIFS('MARE MX'!$P$2:$P$580,'MARE MX'!$L$2:$L$580, "Dafne de la Rosa")</f>
        <v>44402.779999999992</v>
      </c>
      <c r="G89" s="58">
        <f>B89/$F89</f>
        <v>7.7022204465576269E-3</v>
      </c>
      <c r="H89" s="440">
        <f>SUMIFS('MARE MX'!$P$2:$P$580,'MARE MX'!$L$2:$L$580, "Karla Patiño")</f>
        <v>26644.80999999999</v>
      </c>
      <c r="I89" s="58">
        <f>C89/$F89</f>
        <v>1.6598059851207516E-2</v>
      </c>
      <c r="J89" s="440">
        <f>SUMIFS('MARE MX'!$P$2:$P$580,'MARE MX'!$L$2:$L$580, "Raúl Campos")</f>
        <v>71986.650000000009</v>
      </c>
      <c r="K89" s="58">
        <f>D89/$F89</f>
        <v>1.5201750881363737E-2</v>
      </c>
      <c r="N89" s="43" t="s">
        <v>1340</v>
      </c>
      <c r="O89" s="43">
        <f>SUM(E91:E93)</f>
        <v>2281</v>
      </c>
    </row>
    <row r="90" spans="1:15">
      <c r="A90" t="s">
        <v>16</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440">
        <f>SUMIFS('MARE MX'!$Q$2:$Q$580,'MARE MX'!$L$2:$L$580, "Dafne de la Rosa")</f>
        <v>47123.310000000012</v>
      </c>
      <c r="G90" s="58">
        <f>B90/$F90</f>
        <v>3.5863355099631151E-3</v>
      </c>
      <c r="H90" s="440">
        <f>SUMIFS('MARE MX'!$Q$2:$Q$580,'MARE MX'!$L$2:$L$580, "Karla Patiño")</f>
        <v>28613.639999999989</v>
      </c>
      <c r="I90" s="58">
        <f>C90/$F90</f>
        <v>9.0386647287722336E-3</v>
      </c>
      <c r="J90" s="440">
        <f>SUMIFS('MARE MX'!$Q$2:$Q$580,'MARE MX'!$L$2:$L$580, "Raúl Campos")</f>
        <v>72841.000000000015</v>
      </c>
      <c r="K90" s="58">
        <f>D90/$F90</f>
        <v>0</v>
      </c>
      <c r="N90" s="43" t="s">
        <v>1343</v>
      </c>
      <c r="O90" s="43">
        <f>SUM(E94:E96)</f>
        <v>0</v>
      </c>
    </row>
    <row r="91" spans="1:15">
      <c r="A91" t="s">
        <v>17</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440">
        <f>SUMIFS('MARE MX'!$R$2:$R$580,'MARE MX'!$L$2:$L$580, "Dafne de la Rosa")</f>
        <v>47252.340000000004</v>
      </c>
      <c r="G91" s="58">
        <f>B91/$F91</f>
        <v>3.2104230182039659E-2</v>
      </c>
      <c r="H91" s="440">
        <f>SUMIFS('MARE MX'!$R$2:$R$580,'MARE MX'!$L$2:$L$580, "Karla Patiño")</f>
        <v>30978.818799999994</v>
      </c>
      <c r="I91" s="58">
        <f>C91/$F91</f>
        <v>0</v>
      </c>
      <c r="J91" s="440">
        <f>SUMIFS('MARE MX'!$R$2:$R$580,'MARE MX'!$L$2:$L$580, "Raúl Campos")</f>
        <v>75769.23000000001</v>
      </c>
      <c r="K91" s="58">
        <f>D91/$F91</f>
        <v>0</v>
      </c>
      <c r="N91" s="43" t="s">
        <v>1347</v>
      </c>
      <c r="O91" s="43">
        <f>SUM(E97:E99)</f>
        <v>0</v>
      </c>
    </row>
    <row r="92" spans="1:15">
      <c r="A92" t="s">
        <v>18</v>
      </c>
      <c r="B92" s="43">
        <f>SUMIFS('Detalle Fuga 2026'!$I:$I,'Detalle Fuga 2026'!$C:$C,"Dafne de la Rosa",'Detalle Fuga 2026'!$K:$K,"Mayo")</f>
        <v>764</v>
      </c>
      <c r="C92" s="43">
        <f>SUMIFS('Detalle Fuga 2026'!$I:$I,'Detalle Fuga 2026'!$C:$C,"Karla Patiño",'Detalle Fuga 2026'!$K:$K,"Mayo")</f>
        <v>0</v>
      </c>
      <c r="D92" s="43">
        <f>SUMIFS('Detalle Fuga 2026'!$I:$I,'Detalle Fuga 2026'!$C:$C,"Raúl Campos",'Detalle Fuga 2026'!$K:$K,"Mayo")</f>
        <v>0</v>
      </c>
      <c r="E92" s="43">
        <f t="shared" si="3"/>
        <v>764</v>
      </c>
      <c r="F92" s="440">
        <f>SUMIFS('MARE MX'!$S$2:$S$580,'MARE MX'!$L$2:$L$580, "Dafne de la Rosa")</f>
        <v>47232.558400000002</v>
      </c>
      <c r="G92" s="58">
        <f>B92/$F92</f>
        <v>1.6175283022568602E-2</v>
      </c>
      <c r="H92" s="440">
        <f>SUMIFS('MARE MX'!$S$2:$S$580,'MARE MX'!$L$2:$L$580, "Karla Patiño")</f>
        <v>34279.398799999981</v>
      </c>
      <c r="I92" s="58">
        <f>C92/$F92</f>
        <v>0</v>
      </c>
      <c r="J92" s="440">
        <f>SUMIFS('MARE MX'!$S$2:$S$580,'MARE MX'!$L$2:$L$580, "Raúl Campos")</f>
        <v>74222.822400000005</v>
      </c>
      <c r="K92" s="58">
        <f>D92/$F92</f>
        <v>0</v>
      </c>
    </row>
    <row r="93" spans="1:15">
      <c r="A93" t="s">
        <v>19</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1349</v>
      </c>
      <c r="B94" s="43">
        <f>SUMIFS('Detalle Fuga 2026'!$I:$I,'Detalle Fuga 2026'!$C:$C,"Dafne de la Rosa",'Detalle Fuga 2026'!$K:$K,"Julio")</f>
        <v>0</v>
      </c>
      <c r="C94" s="43">
        <f>SUMIFS('Detalle Fuga 2026'!$I:$I,'Detalle Fuga 2026'!$C:$C,"Karla Patiño",'Detalle Fuga 2026'!$K:$K,"Julio")</f>
        <v>0</v>
      </c>
      <c r="D94" s="43">
        <f>SUMIFS('Detalle Fuga 2026'!$I:$I,'Detalle Fuga 2026'!$C:$C,"Raúl Campos",'Detalle Fuga 2026'!$K:$K,"Julio")</f>
        <v>0</v>
      </c>
      <c r="E94" s="43">
        <f t="shared" si="3"/>
        <v>0</v>
      </c>
      <c r="F94" s="43"/>
      <c r="G94" s="43"/>
      <c r="H94" s="43"/>
    </row>
    <row r="95" spans="1:15">
      <c r="A95" t="s">
        <v>1350</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 t="shared" si="3"/>
        <v>0</v>
      </c>
      <c r="F95" s="43"/>
      <c r="G95" s="43"/>
      <c r="H95" s="43"/>
    </row>
    <row r="96" spans="1:15">
      <c r="A96" t="s">
        <v>1351</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 t="shared" si="3"/>
        <v>0</v>
      </c>
      <c r="F96" s="43"/>
      <c r="G96" s="43"/>
      <c r="H96" s="43"/>
    </row>
    <row r="97" spans="1:8">
      <c r="A97" t="s">
        <v>1352</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1353</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 t="shared" si="3"/>
        <v>0</v>
      </c>
      <c r="F98" s="43"/>
      <c r="G98" s="43"/>
      <c r="H98" s="43"/>
    </row>
    <row r="99" spans="1:8">
      <c r="A99" t="s">
        <v>1354</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1329</v>
      </c>
      <c r="B100" s="43">
        <f>SUM(B88:B99)</f>
        <v>3580.66</v>
      </c>
      <c r="C100" s="43">
        <f>SUM(C88:C99)</f>
        <v>1437.0018</v>
      </c>
      <c r="D100" s="43">
        <f>SUM(D88:D99)</f>
        <v>675</v>
      </c>
      <c r="E100" s="43">
        <f>SUM(E88:E99)</f>
        <v>5692.6617999999999</v>
      </c>
      <c r="F100" s="43"/>
      <c r="G100" s="43"/>
      <c r="H100" s="43"/>
    </row>
  </sheetData>
  <mergeCells count="2">
    <mergeCell ref="A69:H69"/>
    <mergeCell ref="A86:I8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31" t="s">
        <v>5</v>
      </c>
      <c r="B1" s="131" t="s">
        <v>1362</v>
      </c>
      <c r="C1" s="131" t="s">
        <v>1363</v>
      </c>
      <c r="D1" s="131" t="s">
        <v>1364</v>
      </c>
      <c r="E1" s="131" t="s">
        <v>11</v>
      </c>
    </row>
    <row r="2" spans="1:5">
      <c r="A2" t="s">
        <v>1365</v>
      </c>
      <c r="B2" t="s">
        <v>152</v>
      </c>
      <c r="C2" t="s">
        <v>1366</v>
      </c>
      <c r="D2" t="s">
        <v>178</v>
      </c>
      <c r="E2" t="s">
        <v>1341</v>
      </c>
    </row>
    <row r="3" spans="1:5">
      <c r="A3" t="s">
        <v>1367</v>
      </c>
      <c r="B3" t="s">
        <v>1368</v>
      </c>
      <c r="C3" t="s">
        <v>1369</v>
      </c>
      <c r="D3" t="s">
        <v>127</v>
      </c>
      <c r="E3" t="s">
        <v>1341</v>
      </c>
    </row>
    <row r="4" spans="1:5">
      <c r="A4" t="s">
        <v>1349</v>
      </c>
      <c r="B4" t="s">
        <v>152</v>
      </c>
      <c r="C4" t="s">
        <v>1370</v>
      </c>
      <c r="D4" t="s">
        <v>127</v>
      </c>
      <c r="E4" t="s">
        <v>1341</v>
      </c>
    </row>
    <row r="5" spans="1:5">
      <c r="A5" t="s">
        <v>1349</v>
      </c>
      <c r="B5" t="s">
        <v>152</v>
      </c>
      <c r="C5" t="s">
        <v>1371</v>
      </c>
      <c r="D5" t="s">
        <v>127</v>
      </c>
      <c r="E5" t="s">
        <v>1341</v>
      </c>
    </row>
    <row r="6" spans="1:5">
      <c r="A6" t="s">
        <v>1372</v>
      </c>
      <c r="B6" t="s">
        <v>363</v>
      </c>
      <c r="C6" t="s">
        <v>1373</v>
      </c>
      <c r="D6" t="s">
        <v>178</v>
      </c>
      <c r="E6" t="s">
        <v>1341</v>
      </c>
    </row>
    <row r="7" spans="1:5">
      <c r="A7" t="s">
        <v>1374</v>
      </c>
      <c r="B7" t="s">
        <v>152</v>
      </c>
      <c r="C7" t="s">
        <v>1375</v>
      </c>
      <c r="D7" t="s">
        <v>178</v>
      </c>
      <c r="E7" t="s">
        <v>1341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J5" sqref="J5"/>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1376</v>
      </c>
      <c r="B2" s="18" t="s">
        <v>1355</v>
      </c>
      <c r="C2" s="18" t="s">
        <v>14</v>
      </c>
      <c r="D2" s="18" t="s">
        <v>15</v>
      </c>
      <c r="E2" s="18" t="s">
        <v>16</v>
      </c>
      <c r="F2" s="390" t="s">
        <v>1332</v>
      </c>
      <c r="G2" s="18" t="s">
        <v>17</v>
      </c>
      <c r="H2" s="18" t="s">
        <v>18</v>
      </c>
      <c r="I2" s="18" t="s">
        <v>19</v>
      </c>
      <c r="J2" s="390" t="s">
        <v>1340</v>
      </c>
      <c r="K2" s="18" t="s">
        <v>1349</v>
      </c>
      <c r="L2" s="18" t="s">
        <v>1350</v>
      </c>
      <c r="M2" s="18" t="s">
        <v>1351</v>
      </c>
      <c r="N2" s="390" t="s">
        <v>1343</v>
      </c>
      <c r="O2" s="18" t="s">
        <v>1352</v>
      </c>
      <c r="P2" s="18" t="s">
        <v>1353</v>
      </c>
      <c r="Q2" s="19" t="s">
        <v>1354</v>
      </c>
      <c r="R2" s="390" t="s">
        <v>1347</v>
      </c>
    </row>
    <row r="3" spans="1:18">
      <c r="A3" s="20" t="s">
        <v>1377</v>
      </c>
      <c r="B3" s="21">
        <f>SUM(F3,J3,N3,R3)</f>
        <v>31465.077555645486</v>
      </c>
      <c r="C3" s="21">
        <f>SUMIFS('Ventas 2026'!$N:$N,'Ventas 2026'!$E:$E,C2,'Ventas 2026'!$G:$G,$A$3)</f>
        <v>0</v>
      </c>
      <c r="D3" s="21">
        <f>SUMIFS('Ventas 2026'!$N:$N,'Ventas 2026'!$E:$E,D2,'Ventas 2026'!$G:$G,$A$3)</f>
        <v>859.830028328612</v>
      </c>
      <c r="E3" s="21">
        <f>SUMIFS('Ventas 2026'!$N:$N,'Ventas 2026'!$E:$E,E2,'Ventas 2026'!$G:$G,$A$3)</f>
        <v>1656.7218130311614</v>
      </c>
      <c r="F3" s="391">
        <f>SUM(C3:E3)</f>
        <v>2516.5518413597733</v>
      </c>
      <c r="G3" s="21">
        <f>SUMIFS('Ventas 2026'!$N:$N,'Ventas 2026'!$E:$E,G2,'Ventas 2026'!$G:$G,$A$3)</f>
        <v>1103.7257142857143</v>
      </c>
      <c r="H3" s="21">
        <f>SUMIFS('Ventas 2026'!$N:$N,'Ventas 2026'!$E:$E,H2,'Ventas 2026'!$G:$G,$A$3)</f>
        <v>754.22857142857151</v>
      </c>
      <c r="I3" s="21">
        <f>SUMIFS('Ventas 2026'!$N:$N,'Ventas 2026'!$E:$E,I2,'Ventas 2026'!$G:$G,$A$3)</f>
        <v>1924.457142857143</v>
      </c>
      <c r="J3" s="391">
        <f>SUM(G3:I3)</f>
        <v>3782.4114285714286</v>
      </c>
      <c r="K3" s="21">
        <f>SUMIFS('Ventas 2026'!$N:$N,'Ventas 2026'!$E:$E,K2,'Ventas 2026'!$G:$G,$A$3)</f>
        <v>25166.114285714284</v>
      </c>
      <c r="L3" s="21">
        <f>SUMIFS('Ventas 2026'!$N:$N,'Ventas 2026'!$E:$E,L2,'Ventas 2026'!$G:$G,$A$3)</f>
        <v>0</v>
      </c>
      <c r="M3" s="21">
        <f>SUMIFS('Ventas 2026'!$N:$N,'Ventas 2026'!$E:$E,M2,'Ventas 2026'!$G:$G,$A$3)</f>
        <v>0</v>
      </c>
      <c r="N3" s="391">
        <f t="shared" ref="N3:N4" si="0">SUM(K3:M3)</f>
        <v>25166.114285714284</v>
      </c>
      <c r="O3" s="21">
        <f>SUMIFS('Ventas 2026'!$N:$N,'Ventas 2026'!$E:$E,O2,'Ventas 2026'!$G:$G,$A$3)</f>
        <v>0</v>
      </c>
      <c r="P3" s="21">
        <f>SUMIFS('Ventas 2026'!$N:$N,'Ventas 2026'!$E:$E,P2,'Ventas 2026'!$G:$G,$A$3)</f>
        <v>0</v>
      </c>
      <c r="Q3" s="21">
        <f>SUMIFS('Ventas 2026'!$N:$N,'Ventas 2026'!$E:$E,Q2,'Ventas 2026'!$G:$G,$A$3)</f>
        <v>0</v>
      </c>
      <c r="R3" s="391">
        <f t="shared" ref="R3:R4" si="1">SUM(O3:Q3)</f>
        <v>0</v>
      </c>
    </row>
    <row r="4" spans="1:18">
      <c r="A4" s="20" t="s">
        <v>1378</v>
      </c>
      <c r="B4" s="21">
        <f>SUM(F4,J4,N4,R4)</f>
        <v>12583.200182112505</v>
      </c>
      <c r="C4" s="21">
        <f>SUMIFS('Ventas 2026'!$N:$N,'Ventas 2026'!$E:$E,C2,'Ventas 2026'!$G:$G,$A$4)</f>
        <v>314.11473087818695</v>
      </c>
      <c r="D4" s="21">
        <f>SUMIFS('Ventas 2026'!$N:$N,'Ventas 2026'!$E:$E,D2,'Ventas 2026'!$G:$G,$A$4)</f>
        <v>442.09631728045332</v>
      </c>
      <c r="E4" s="21">
        <f>SUMIFS('Ventas 2026'!$N:$N,'Ventas 2026'!$E:$E,E2,'Ventas 2026'!$G:$G,$A$4)</f>
        <v>1343.7677053824364</v>
      </c>
      <c r="F4" s="391">
        <f>SUM(C4:E4)</f>
        <v>2099.9787535410769</v>
      </c>
      <c r="G4" s="21">
        <f>SUMIFS('Ventas 2026'!$N:$N,'Ventas 2026'!$E:$E,G2,'Ventas 2026'!$G:$G,$A$4)</f>
        <v>182.85714285714286</v>
      </c>
      <c r="H4" s="21">
        <f>SUMIFS('Ventas 2026'!$N:$N,'Ventas 2026'!$E:$E,H2,'Ventas 2026'!$G:$G,$A$4)</f>
        <v>733.50571428571436</v>
      </c>
      <c r="I4" s="21">
        <f>SUMIFS('Ventas 2026'!$N:$N,'Ventas 2026'!$E:$E,I2,'Ventas 2026'!$G:$G,$A$4)</f>
        <v>2941.0285714285719</v>
      </c>
      <c r="J4" s="391">
        <f>SUM(G4:I4)</f>
        <v>3857.3914285714291</v>
      </c>
      <c r="K4" s="21">
        <f>SUMIFS('Ventas 2026'!$N:$N,'Ventas 2026'!$E:$E,K2,'Ventas 2026'!$G:$G,$A$4)</f>
        <v>5086.5157142857142</v>
      </c>
      <c r="L4" s="21">
        <f>SUMIFS('Ventas 2026'!$N:$N,'Ventas 2026'!$E:$E,L2,'Ventas 2026'!$G:$G,$A$4)</f>
        <v>1539.3142857142857</v>
      </c>
      <c r="M4" s="21">
        <f>SUMIFS('Ventas 2026'!$N:$N,'Ventas 2026'!$E:$E,M2,'Ventas 2026'!$G:$G,$A$4)</f>
        <v>0</v>
      </c>
      <c r="N4" s="391">
        <f t="shared" si="0"/>
        <v>6625.83</v>
      </c>
      <c r="O4" s="21">
        <f>SUMIFS('Ventas 2026'!$N:$N,'Ventas 2026'!$E:$E,O2,'Ventas 2026'!$G:$G,$A$4)</f>
        <v>0</v>
      </c>
      <c r="P4" s="21">
        <f>SUMIFS('Ventas 2026'!$N:$N,'Ventas 2026'!$E:$E,P2,'Ventas 2026'!$G:$G,$A$4)</f>
        <v>0</v>
      </c>
      <c r="Q4" s="21">
        <f>SUMIFS('Ventas 2026'!$N:$N,'Ventas 2026'!$E:$E,Q2,'Ventas 2026'!$G:$G,$A$4)</f>
        <v>0</v>
      </c>
      <c r="R4" s="391">
        <f t="shared" si="1"/>
        <v>0</v>
      </c>
    </row>
    <row r="5" spans="1:18" s="394" customFormat="1">
      <c r="A5" s="392" t="s">
        <v>1379</v>
      </c>
      <c r="B5" s="393">
        <f>SUM(B3:B4)</f>
        <v>44048.277737757991</v>
      </c>
      <c r="C5" s="393">
        <f t="shared" ref="C5:R5" si="2">SUM(C3:C4)</f>
        <v>314.11473087818695</v>
      </c>
      <c r="D5" s="393">
        <f t="shared" si="2"/>
        <v>1301.9263456090653</v>
      </c>
      <c r="E5" s="393">
        <f t="shared" si="2"/>
        <v>3000.4895184135976</v>
      </c>
      <c r="F5" s="393">
        <f t="shared" si="2"/>
        <v>4616.5305949008507</v>
      </c>
      <c r="G5" s="393">
        <f t="shared" si="2"/>
        <v>1286.5828571428572</v>
      </c>
      <c r="H5" s="393">
        <f t="shared" si="2"/>
        <v>1487.7342857142858</v>
      </c>
      <c r="I5" s="393">
        <f t="shared" si="2"/>
        <v>4865.4857142857145</v>
      </c>
      <c r="J5" s="393">
        <f t="shared" si="2"/>
        <v>7639.8028571428576</v>
      </c>
      <c r="K5" s="393">
        <f t="shared" si="2"/>
        <v>30252.629999999997</v>
      </c>
      <c r="L5" s="393">
        <f t="shared" si="2"/>
        <v>1539.3142857142857</v>
      </c>
      <c r="M5" s="393">
        <f t="shared" si="2"/>
        <v>0</v>
      </c>
      <c r="N5" s="393">
        <f t="shared" si="2"/>
        <v>31791.944285714286</v>
      </c>
      <c r="O5" s="393">
        <f t="shared" si="2"/>
        <v>0</v>
      </c>
      <c r="P5" s="393">
        <f t="shared" si="2"/>
        <v>0</v>
      </c>
      <c r="Q5" s="393">
        <f t="shared" si="2"/>
        <v>0</v>
      </c>
      <c r="R5" s="393">
        <f t="shared" si="2"/>
        <v>0</v>
      </c>
    </row>
    <row r="6" spans="1:18"/>
    <row r="7" spans="1:18"/>
    <row r="8" spans="1:18" s="48" customFormat="1">
      <c r="A8" s="426" t="s">
        <v>1380</v>
      </c>
      <c r="B8" s="427" t="s">
        <v>1355</v>
      </c>
      <c r="C8" s="427" t="s">
        <v>14</v>
      </c>
      <c r="D8" s="427" t="s">
        <v>15</v>
      </c>
      <c r="E8" s="427" t="s">
        <v>16</v>
      </c>
      <c r="F8" s="429" t="s">
        <v>1332</v>
      </c>
      <c r="G8" s="427" t="s">
        <v>17</v>
      </c>
      <c r="H8" s="427" t="s">
        <v>18</v>
      </c>
      <c r="I8" s="427" t="s">
        <v>19</v>
      </c>
      <c r="J8" s="429" t="s">
        <v>1340</v>
      </c>
      <c r="K8" s="427" t="s">
        <v>1349</v>
      </c>
      <c r="L8" s="427" t="s">
        <v>1350</v>
      </c>
      <c r="M8" s="427" t="s">
        <v>1351</v>
      </c>
      <c r="N8" s="429" t="s">
        <v>1343</v>
      </c>
      <c r="O8" s="427" t="s">
        <v>1352</v>
      </c>
      <c r="P8" s="427" t="s">
        <v>1353</v>
      </c>
      <c r="Q8" s="428" t="s">
        <v>1354</v>
      </c>
      <c r="R8" s="429" t="s">
        <v>1347</v>
      </c>
    </row>
    <row r="9" spans="1:18" s="397" customFormat="1">
      <c r="A9" s="395" t="s">
        <v>1381</v>
      </c>
      <c r="B9" s="396"/>
      <c r="C9" s="21">
        <v>153375</v>
      </c>
      <c r="D9" s="21">
        <v>154455</v>
      </c>
      <c r="E9" s="21">
        <v>162290</v>
      </c>
      <c r="F9" s="430"/>
      <c r="G9" s="21">
        <v>162968</v>
      </c>
      <c r="H9" s="21">
        <v>170313</v>
      </c>
      <c r="I9" s="21"/>
      <c r="J9" s="430"/>
      <c r="K9" s="21"/>
      <c r="L9" s="21"/>
      <c r="M9" s="21"/>
      <c r="N9" s="430"/>
      <c r="O9" s="21"/>
      <c r="P9" s="21"/>
      <c r="Q9" s="21"/>
      <c r="R9" s="430"/>
    </row>
    <row r="10" spans="1:18">
      <c r="A10" s="20" t="s">
        <v>1382</v>
      </c>
      <c r="B10" s="21">
        <f>SUM(F10,J10,N10,R10)</f>
        <v>6534.2281000000003</v>
      </c>
      <c r="C10" s="21">
        <f>SUMIFS('Detalle Fuga 2026'!$I:$I,'Detalle Fuga 2026'!$A:$A,"Baja",'Detalle Fuga 2026'!$K:$K,C8)</f>
        <v>1619.5800000000002</v>
      </c>
      <c r="D10" s="21">
        <f>SUMIFS('Detalle Fuga 2026'!$I:$I,'Detalle Fuga 2026'!$A:$A,"Baja",'Detalle Fuga 2026'!$K:$K,D8)</f>
        <v>1850</v>
      </c>
      <c r="E10" s="21">
        <f>SUMIFS('Detalle Fuga 2026'!$I:$I,'Detalle Fuga 2026'!$A:$A,"Baja",'Detalle Fuga 2026'!$K:$K,E8)</f>
        <v>1355.6481000000001</v>
      </c>
      <c r="F10" s="430">
        <f>SUM(C10:E10)</f>
        <v>4825.2281000000003</v>
      </c>
      <c r="G10" s="21">
        <f>SUMIFS('Detalle Fuga 2026'!$I:$I,'Detalle Fuga 2026'!$A:$A,"Baja",'Detalle Fuga 2026'!$K:$K,G8)</f>
        <v>761</v>
      </c>
      <c r="H10" s="21">
        <f>SUMIFS('Detalle Fuga 2026'!$I:$I,'Detalle Fuga 2026'!$A:$A,"Baja",'Detalle Fuga 2026'!$K:$K,H8)</f>
        <v>764</v>
      </c>
      <c r="I10" s="21">
        <f>SUMIFS('Detalle Fuga 2026'!$I:$I,'Detalle Fuga 2026'!$A:$A,"Baja",'Detalle Fuga 2026'!$K:$K,I8)</f>
        <v>0</v>
      </c>
      <c r="J10" s="430">
        <f>SUM(G10:I10)</f>
        <v>1525</v>
      </c>
      <c r="K10" s="21">
        <f>SUMIFS('Detalle Fuga 2026'!$I:$I,'Detalle Fuga 2026'!$A:$A,"Baja",'Detalle Fuga 2026'!$K:$K,K8)</f>
        <v>184</v>
      </c>
      <c r="L10" s="21">
        <f>SUMIFS('Detalle Fuga 2026'!$I:$I,'Detalle Fuga 2026'!$A:$A,"Baja",'Detalle Fuga 2026'!$K:$K,L8)</f>
        <v>0</v>
      </c>
      <c r="M10" s="21">
        <f>SUMIFS('Detalle Fuga 2026'!$I:$I,'Detalle Fuga 2026'!$A:$A,"Baja",'Detalle Fuga 2026'!$K:$K,M8)</f>
        <v>0</v>
      </c>
      <c r="N10" s="430">
        <f t="shared" ref="N10:N11" si="3">SUM(K10:M10)</f>
        <v>184</v>
      </c>
      <c r="O10" s="21">
        <f>SUMIFS('Detalle Fuga 2026'!$I:$I,'Detalle Fuga 2026'!$A:$A,"Baja",'Detalle Fuga 2026'!$K:$K,O8)</f>
        <v>0</v>
      </c>
      <c r="P10" s="21">
        <f>SUMIFS('Detalle Fuga 2026'!$I:$I,'Detalle Fuga 2026'!$A:$A,"Baja",'Detalle Fuga 2026'!$K:$K,P8)</f>
        <v>0</v>
      </c>
      <c r="Q10" s="21">
        <f>SUMIFS('Detalle Fuga 2026'!$I:$I,'Detalle Fuga 2026'!$A:$A,"Baja",'Detalle Fuga 2026'!$K:$K,Q8)</f>
        <v>0</v>
      </c>
      <c r="R10" s="430">
        <f t="shared" ref="R10:R11" si="4">SUM(O10:Q10)</f>
        <v>0</v>
      </c>
    </row>
    <row r="11" spans="1:18">
      <c r="A11" s="20" t="s">
        <v>1383</v>
      </c>
      <c r="B11" s="21">
        <f>SUM(F11,J11,N11,R11)</f>
        <v>6190</v>
      </c>
      <c r="C11" s="21">
        <f>SUMIFS('Detalle Fuga 2026'!$I:$I,'Detalle Fuga 2026'!$A:$A,"Disminución",'Detalle Fuga 2026'!$K:$K,C8)</f>
        <v>5034</v>
      </c>
      <c r="D11" s="21">
        <f>SUMIFS('Detalle Fuga 2026'!$I:$I,'Detalle Fuga 2026'!$A:$A,"Disminución",'Detalle Fuga 2026'!$K:$K,D8)</f>
        <v>0</v>
      </c>
      <c r="E11" s="21">
        <f>SUMIFS('Detalle Fuga 2026'!$I:$I,'Detalle Fuga 2026'!$A:$A,"Disminución",'Detalle Fuga 2026'!$K:$K,E8)</f>
        <v>0</v>
      </c>
      <c r="F11" s="430">
        <f>SUM(C11:E11)</f>
        <v>5034</v>
      </c>
      <c r="G11" s="21">
        <f>SUMIFS('Detalle Fuga 2026'!$I:$I,'Detalle Fuga 2026'!$A:$A,"Disminución",'Detalle Fuga 2026'!$K:$K,G8)</f>
        <v>1156</v>
      </c>
      <c r="H11" s="21">
        <f>SUMIFS('Detalle Fuga 2026'!$I:$I,'Detalle Fuga 2026'!$A:$A,"Disminución",'Detalle Fuga 2026'!$K:$K,H8)</f>
        <v>0</v>
      </c>
      <c r="I11" s="21">
        <f>SUMIFS('Detalle Fuga 2026'!$I:$I,'Detalle Fuga 2026'!$A:$A,"Disminución",'Detalle Fuga 2026'!$K:$K,I8)</f>
        <v>0</v>
      </c>
      <c r="J11" s="430">
        <f>SUM(G11:I11)</f>
        <v>1156</v>
      </c>
      <c r="K11" s="21">
        <f>SUMIFS('Detalle Fuga 2026'!$I:$I,'Detalle Fuga 2026'!$A:$A,"Disminución",'Detalle Fuga 2026'!$K:$K,K8)</f>
        <v>0</v>
      </c>
      <c r="L11" s="21">
        <f>SUMIFS('Detalle Fuga 2026'!$I:$I,'Detalle Fuga 2026'!$A:$A,"Disminución",'Detalle Fuga 2026'!$K:$K,L8)</f>
        <v>0</v>
      </c>
      <c r="M11" s="21">
        <f>SUMIFS('Detalle Fuga 2026'!$I:$I,'Detalle Fuga 2026'!$A:$A,"Disminución",'Detalle Fuga 2026'!$K:$K,M8)</f>
        <v>0</v>
      </c>
      <c r="N11" s="430">
        <f t="shared" si="3"/>
        <v>0</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430">
        <f t="shared" si="4"/>
        <v>0</v>
      </c>
    </row>
    <row r="12" spans="1:18" s="400" customFormat="1">
      <c r="A12" s="398" t="s">
        <v>1384</v>
      </c>
      <c r="B12" s="399"/>
      <c r="C12" s="401">
        <f>C10/C9</f>
        <v>1.0559608801955991E-2</v>
      </c>
      <c r="D12" s="401">
        <f t="shared" ref="D12:R12" si="5">D10/D9</f>
        <v>1.1977598653329449E-2</v>
      </c>
      <c r="E12" s="401">
        <f t="shared" si="5"/>
        <v>8.3532448086758287E-3</v>
      </c>
      <c r="F12" s="401" t="e">
        <f t="shared" si="5"/>
        <v>#DIV/0!</v>
      </c>
      <c r="G12" s="401">
        <f t="shared" si="5"/>
        <v>4.6696283933042072E-3</v>
      </c>
      <c r="H12" s="401">
        <f t="shared" si="5"/>
        <v>4.4858583901405064E-3</v>
      </c>
      <c r="I12" s="401" t="e">
        <f t="shared" si="5"/>
        <v>#DIV/0!</v>
      </c>
      <c r="J12" s="401" t="e">
        <f t="shared" si="5"/>
        <v>#DIV/0!</v>
      </c>
      <c r="K12" s="401" t="e">
        <f t="shared" si="5"/>
        <v>#DIV/0!</v>
      </c>
      <c r="L12" s="401" t="e">
        <f t="shared" si="5"/>
        <v>#DIV/0!</v>
      </c>
      <c r="M12" s="401" t="e">
        <f t="shared" si="5"/>
        <v>#DIV/0!</v>
      </c>
      <c r="N12" s="401" t="e">
        <f t="shared" si="5"/>
        <v>#DIV/0!</v>
      </c>
      <c r="O12" s="401" t="e">
        <f t="shared" si="5"/>
        <v>#DIV/0!</v>
      </c>
      <c r="P12" s="401" t="e">
        <f t="shared" si="5"/>
        <v>#DIV/0!</v>
      </c>
      <c r="Q12" s="401" t="e">
        <f t="shared" si="5"/>
        <v>#DIV/0!</v>
      </c>
      <c r="R12" s="401" t="e">
        <f t="shared" si="5"/>
        <v>#DIV/0!</v>
      </c>
    </row>
    <row r="13" spans="1:18">
      <c r="C13" s="47" t="s">
        <v>1385</v>
      </c>
      <c r="G13" s="47" t="s">
        <v>1386</v>
      </c>
    </row>
    <row r="14" spans="1:18"/>
    <row r="15" spans="1:18">
      <c r="E15" s="58">
        <f>AVERAGE(C12,D12,E12,G12)</f>
        <v>8.890020164316368E-3</v>
      </c>
    </row>
    <row r="17" spans="1:61">
      <c r="A17" s="42" t="s">
        <v>10</v>
      </c>
      <c r="B17" t="s">
        <v>79</v>
      </c>
      <c r="AJ17" s="601" t="s">
        <v>1387</v>
      </c>
      <c r="AK17" s="601"/>
      <c r="AL17" s="601"/>
      <c r="AM17" s="601"/>
      <c r="AN17" s="601"/>
      <c r="AP17" s="601" t="s">
        <v>1388</v>
      </c>
      <c r="AQ17" s="601"/>
      <c r="AR17" s="601"/>
      <c r="AS17" s="601"/>
      <c r="AT17" s="601"/>
      <c r="AU17" s="601"/>
      <c r="AV17" s="601"/>
      <c r="AX17" s="599" t="s">
        <v>1389</v>
      </c>
      <c r="AY17" s="599"/>
      <c r="AZ17" s="599"/>
      <c r="BA17" s="599"/>
      <c r="BB17" s="599"/>
      <c r="BC17" s="599"/>
    </row>
    <row r="18" spans="1:61" s="22" customFormat="1" ht="15" customHeight="1">
      <c r="A18"/>
      <c r="B18"/>
      <c r="C18"/>
      <c r="D18" t="s">
        <v>1390</v>
      </c>
      <c r="E18"/>
      <c r="F18"/>
      <c r="G18"/>
      <c r="H18"/>
      <c r="L18" s="600" t="s">
        <v>1391</v>
      </c>
      <c r="M18" s="600"/>
      <c r="N18"/>
      <c r="P18" s="81" t="s">
        <v>1392</v>
      </c>
      <c r="Q18"/>
      <c r="R18"/>
      <c r="S18"/>
      <c r="T18"/>
      <c r="U18"/>
      <c r="V18"/>
      <c r="W18"/>
      <c r="X18"/>
      <c r="Y18"/>
      <c r="Z18"/>
      <c r="AA18"/>
      <c r="AB18"/>
      <c r="AC18"/>
      <c r="AD18"/>
      <c r="AE18"/>
      <c r="AF18"/>
      <c r="AG18"/>
      <c r="AH18"/>
      <c r="AI18"/>
      <c r="AJ18" s="88" t="s">
        <v>1393</v>
      </c>
      <c r="AK18" s="88" t="s">
        <v>79</v>
      </c>
      <c r="AL18" s="88" t="s">
        <v>1394</v>
      </c>
      <c r="AM18" s="88" t="s">
        <v>68</v>
      </c>
      <c r="AN18" s="88" t="s">
        <v>1395</v>
      </c>
      <c r="AO18"/>
      <c r="AP18" s="91" t="s">
        <v>1393</v>
      </c>
      <c r="AQ18" s="91" t="s">
        <v>69</v>
      </c>
      <c r="AR18" s="91" t="s">
        <v>456</v>
      </c>
      <c r="AS18" s="91" t="s">
        <v>1106</v>
      </c>
      <c r="AT18" s="91" t="s">
        <v>733</v>
      </c>
      <c r="AU18" s="91" t="s">
        <v>449</v>
      </c>
      <c r="AV18" s="91" t="s">
        <v>1355</v>
      </c>
      <c r="AW18"/>
      <c r="AX18" s="95" t="s">
        <v>1393</v>
      </c>
      <c r="AY18" s="95" t="s">
        <v>69</v>
      </c>
      <c r="AZ18" s="95" t="s">
        <v>456</v>
      </c>
      <c r="BA18" s="95" t="s">
        <v>1106</v>
      </c>
      <c r="BB18" s="95" t="s">
        <v>733</v>
      </c>
      <c r="BC18" s="95" t="s">
        <v>1355</v>
      </c>
    </row>
    <row r="19" spans="1:61" s="22" customFormat="1" ht="45.2">
      <c r="A19" s="45" t="s">
        <v>28</v>
      </c>
      <c r="B19" s="22" t="s">
        <v>1396</v>
      </c>
      <c r="C19" s="22" t="s">
        <v>1397</v>
      </c>
      <c r="D19" s="22" t="s">
        <v>1398</v>
      </c>
      <c r="F19" s="42" t="s">
        <v>11</v>
      </c>
      <c r="G19" s="45" t="s">
        <v>28</v>
      </c>
      <c r="H19" s="22" t="s">
        <v>1396</v>
      </c>
      <c r="I19" s="22" t="s">
        <v>1397</v>
      </c>
      <c r="J19" s="46" t="s">
        <v>1398</v>
      </c>
      <c r="L19" s="76" t="s">
        <v>1399</v>
      </c>
      <c r="M19" s="76" t="s">
        <v>79</v>
      </c>
      <c r="N19" s="76" t="s">
        <v>68</v>
      </c>
      <c r="O19"/>
      <c r="P19" s="82" t="s">
        <v>1399</v>
      </c>
      <c r="Q19" s="82" t="s">
        <v>286</v>
      </c>
      <c r="R19" s="82" t="s">
        <v>125</v>
      </c>
      <c r="S19" s="82" t="s">
        <v>235</v>
      </c>
      <c r="T19" s="82" t="s">
        <v>162</v>
      </c>
      <c r="U19" s="82" t="s">
        <v>291</v>
      </c>
      <c r="V19" s="82" t="s">
        <v>302</v>
      </c>
      <c r="W19" s="82" t="s">
        <v>313</v>
      </c>
      <c r="X19" s="82" t="s">
        <v>270</v>
      </c>
      <c r="Y19" s="82" t="s">
        <v>80</v>
      </c>
      <c r="Z19" s="82" t="s">
        <v>1400</v>
      </c>
      <c r="AA19" s="82" t="s">
        <v>152</v>
      </c>
      <c r="AB19" s="82" t="s">
        <v>243</v>
      </c>
      <c r="AC19" s="82" t="s">
        <v>95</v>
      </c>
      <c r="AD19" s="82" t="s">
        <v>71</v>
      </c>
      <c r="AE19" s="82" t="s">
        <v>141</v>
      </c>
      <c r="AF19" s="82" t="s">
        <v>108</v>
      </c>
      <c r="AG19" s="82" t="s">
        <v>89</v>
      </c>
      <c r="AH19"/>
      <c r="AI19"/>
      <c r="AJ19">
        <v>0</v>
      </c>
      <c r="AK19">
        <f>COUNTIFS('MARE MX'!$K:$K,"ENTERPRISE",'MARE MX'!$CA:$CA,0)</f>
        <v>91</v>
      </c>
      <c r="AL19" s="58">
        <f>AK19/$AK$24</f>
        <v>0.7</v>
      </c>
      <c r="AM19">
        <f>COUNTIFS('MARE MX'!$K:$K,"SMB",'MARE MX'!$CA:$CA,0)</f>
        <v>312</v>
      </c>
      <c r="AN19" s="58">
        <f>AM19/$AM$24</f>
        <v>0.93693693693693691</v>
      </c>
      <c r="AO19"/>
      <c r="AP19" s="92">
        <v>0</v>
      </c>
      <c r="AQ19" s="92">
        <f>COUNTIFS('MARE MX'!K:K,"ENTERPRISE",'MARE MX'!L:L,"Dafne de la Rosa",'MARE MX'!D:D,0)</f>
        <v>33</v>
      </c>
      <c r="AR19" s="92">
        <f>COUNTIFS('MARE MX'!K:K,"ENTERPRISE",'MARE MX'!L:L,"Karla Patiño",'MARE MX'!D:D,0)</f>
        <v>4</v>
      </c>
      <c r="AS19" s="92">
        <f>COUNTIFS('MARE MX'!K:K,"ENTERPRISE",'MARE MX'!L:L,"Raúl Campos",'MARE MX'!CA:CA,0)</f>
        <v>42</v>
      </c>
      <c r="AT19" s="92">
        <f>COUNTIFS('MARE MX'!K:K,"ENTERPRISE",'MARE MX'!L:L,"No Asignado",'MARE MX'!CA:CA,0)</f>
        <v>5</v>
      </c>
      <c r="AU19" s="92">
        <f>COUNTIFS('MARE MX'!K:K,"ENTERPRISE",'MARE MX'!L:L,"Implementando",'MARE MX'!CA:CA,0)</f>
        <v>4</v>
      </c>
      <c r="AV19" s="92">
        <f>SUM(AQ19:AU19)</f>
        <v>88</v>
      </c>
      <c r="AW19"/>
      <c r="AX19" s="90">
        <v>0</v>
      </c>
      <c r="AY19" s="96">
        <f>COUNTIFS('MARE MX'!$K:$K,"SMB",'MARE MX'!$L:$L,"Dafne de la Rosa",'MARE MX'!$CA:$CA,0)</f>
        <v>43</v>
      </c>
      <c r="AZ19" s="96">
        <f>COUNTIFS('MARE MX'!$K:$K,"SMB",'MARE MX'!$L:$L,"Karla Patiño",'MARE MX'!$CA:$CA,0)</f>
        <v>136</v>
      </c>
      <c r="BA19" s="96">
        <f>COUNTIFS('MARE MX'!$K:$K,"SMB",'MARE MX'!$L:$L,"Raúl Campos",'MARE MX'!$CA:$CA,0)</f>
        <v>6</v>
      </c>
      <c r="BB19" s="96">
        <f>COUNTIFS('MARE MX'!$K:$K,"SMB",'MARE MX'!$L:$L,"No Asignado",'MARE MX'!$CA:$CA,0)</f>
        <v>125</v>
      </c>
      <c r="BC19" s="96">
        <f>SUM(AY19:BB19)</f>
        <v>310</v>
      </c>
    </row>
    <row r="20" spans="1:61">
      <c r="A20" t="s">
        <v>84</v>
      </c>
      <c r="B20">
        <v>8</v>
      </c>
      <c r="D20" s="43">
        <v>8275.7982000000011</v>
      </c>
      <c r="F20" t="s">
        <v>69</v>
      </c>
      <c r="G20" t="s">
        <v>84</v>
      </c>
      <c r="H20">
        <v>10</v>
      </c>
      <c r="J20" s="43">
        <v>3216.7566999999999</v>
      </c>
      <c r="L20" s="77" t="s">
        <v>35</v>
      </c>
      <c r="M20" s="79">
        <f>COUNTIFS('MARE MX'!$K:$K,"ENTERPRISE",'MARE MX'!$AJ:$AJ,"*OK*")</f>
        <v>1</v>
      </c>
      <c r="N20" s="79">
        <f>COUNTIFS('MARE MX'!$K:$K,"SMB",'MARE MX'!$AJ:$AJ,"*OK*")</f>
        <v>1</v>
      </c>
      <c r="P20" s="83" t="s">
        <v>35</v>
      </c>
      <c r="Q20" s="77">
        <f>COUNTIFS('MARE MX'!$K:$K,"ENTERPRISE",'MARE MX'!$Y:$Y,"Agrícola",'MARE MX'!$AJ:$AJ,"*OK*")</f>
        <v>0</v>
      </c>
      <c r="R20" s="77">
        <f>COUNTIFS('MARE MX'!$K:$K,"ENTERPRISE",'MARE MX'!$Y:$Y,"Automotriz",'MARE MX'!$AJ:$AJ,"*OK*")</f>
        <v>0</v>
      </c>
      <c r="S20" s="77">
        <f>COUNTIFS('MARE MX'!$K:$K,"ENTERPRISE",'MARE MX'!$Y:$Y,"Banca y Finanzas",'MARE MX'!$AJ:$AJ,"*OK*")</f>
        <v>0</v>
      </c>
      <c r="T20" s="77">
        <f>COUNTIFS('MARE MX'!$K:$K,"ENTERPRISE",'MARE MX'!$Y:$Y,"Construcción",'MARE MX'!$AJ:$AJ,"*OK*")</f>
        <v>0</v>
      </c>
      <c r="U20" s="77">
        <f>COUNTIFS('MARE MX'!$K:$K,"ENTERPRISE",'MARE MX'!$Y:$Y,"Educación",'MARE MX'!$AJ:$AJ,"*OK*")</f>
        <v>0</v>
      </c>
      <c r="V20" s="77">
        <f>COUNTIFS('MARE MX'!$K:$K,"ENTERPRISE",'MARE MX'!$Y:$Y,"Energía",'MARE MX'!$AJ:$AJ,"*OK*")</f>
        <v>0</v>
      </c>
      <c r="W20" s="77">
        <f>COUNTIFS('MARE MX'!$K:$K,"ENTERPRISE",'MARE MX'!$Y:$Y,"Gobierno",'MARE MX'!$AJ:$AJ,"*OK*")</f>
        <v>0</v>
      </c>
      <c r="X20" s="77">
        <f>COUNTIFS('MARE MX'!$K:$K,"ENTERPRISE",'MARE MX'!$Y:$Y,"Logística",'MARE MX'!$AJ:$AJ,"*OK*")</f>
        <v>0</v>
      </c>
      <c r="Y20" s="77">
        <f>COUNTIFS('MARE MX'!$K:$K,"ENTERPRISE",'MARE MX'!$Y:$Y,"Manufactura",'MARE MX'!$AJ:$AJ,"*OK*")</f>
        <v>1</v>
      </c>
      <c r="Z20" s="77">
        <f>COUNTIFS('MARE MX'!$K:$K,"ENTERPRISE",'MARE MX'!$Y:$Y,"Outsourcing",'MARE MX'!$AJ:$AJ,"*OK*")</f>
        <v>0</v>
      </c>
      <c r="AA20" s="77">
        <f>COUNTIFS('MARE MX'!$K:$K,"ENTERPRISE",'MARE MX'!$Y:$Y,"Retail",'MARE MX'!$AJ:$AJ,"*OK*")</f>
        <v>0</v>
      </c>
      <c r="AB20" s="77">
        <f>COUNTIFS('MARE MX'!$K:$K,"ENTERPRISE",'MARE MX'!$Y:$Y,"Salud",'MARE MX'!$AJ:$AJ,"*OK*")</f>
        <v>0</v>
      </c>
      <c r="AC20" s="77">
        <f>COUNTIFS('MARE MX'!$K:$K,"ENTERPRISE",'MARE MX'!$Y:$Y,"Seguridad Privada",'MARE MX'!$AJ:$AJ,"*OK*")</f>
        <v>0</v>
      </c>
      <c r="AD20" s="77">
        <f>COUNTIFS('MARE MX'!$K:$K,"ENTERPRISE",'MARE MX'!$Y:$Y,"Servicios",'MARE MX'!$AJ:$AJ,"*OK*")</f>
        <v>0</v>
      </c>
      <c r="AE20" s="77">
        <f>COUNTIFS('MARE MX'!$K:$K,"ENTERPRISE",'MARE MX'!$Y:$Y,"Tecnología",'MARE MX'!$AJ:$AJ,"*OK*")</f>
        <v>0</v>
      </c>
      <c r="AF20" s="77">
        <f>COUNTIFS('MARE MX'!$K:$K,"ENTERPRISE",'MARE MX'!$Y:$Y,"Transporte",'MARE MX'!$AJ:$AJ,"*OK*")</f>
        <v>0</v>
      </c>
      <c r="AG20" s="77">
        <f>COUNTIFS('MARE MX'!$K:$K,"ENTERPRISE",'MARE MX'!$Y:$Y,"Turismo y Gastronomía",'MARE MX'!$AJ:$AJ,"*OK*")</f>
        <v>0</v>
      </c>
      <c r="AJ20">
        <v>1</v>
      </c>
      <c r="AK20">
        <f>COUNTIFS('MARE MX'!$K:$K,"ENTERPRISE",'MARE MX'!$CA:$CA,1)</f>
        <v>27</v>
      </c>
      <c r="AL20" s="58">
        <f t="shared" ref="AL20:AL23" si="6">AK20/$AK$24</f>
        <v>0.2076923076923077</v>
      </c>
      <c r="AM20">
        <f>COUNTIFS('MARE MX'!$K:$K,"SMB",'MARE MX'!$CA:$CA,1)</f>
        <v>17</v>
      </c>
      <c r="AN20" s="58">
        <f t="shared" ref="AN20:AN23" si="7">AM20/$AM$24</f>
        <v>5.1051051051051052E-2</v>
      </c>
      <c r="AP20" s="93">
        <v>1</v>
      </c>
      <c r="AQ20" s="93">
        <f>COUNTIFS('MARE MX'!K:K,"ENTERPRISE",'MARE MX'!L:L,"Dafne de la Rosa",'MARE MX'!D:D,1)</f>
        <v>10</v>
      </c>
      <c r="AR20" s="93">
        <f>COUNTIFS('MARE MX'!K:K,"ENTERPRISE",'MARE MX'!L:L,"Karla Patiño",'MARE MX'!CA:CA,1)</f>
        <v>0</v>
      </c>
      <c r="AS20" s="93">
        <f>COUNTIFS('MARE MX'!K:K,"ENTERPRISE",'MARE MX'!L:L,"Raúl Campos",'MARE MX'!CA:CA,1)</f>
        <v>18</v>
      </c>
      <c r="AT20" s="93">
        <f>COUNTIFS('MARE MX'!K:K,"ENTERPRISE",'MARE MX'!L:L,"No Asignado",'MARE MX'!CA:CA,1)</f>
        <v>0</v>
      </c>
      <c r="AU20" s="93">
        <f>COUNTIFS('MARE MX'!K:K,"ENTERPRISE",'MARE MX'!L:L,"Implementando",'MARE MX'!CA:CA,1)</f>
        <v>0</v>
      </c>
      <c r="AV20" s="93">
        <f>SUM(AQ20:AU20)</f>
        <v>28</v>
      </c>
      <c r="AX20" s="90">
        <v>1</v>
      </c>
      <c r="AY20" s="90">
        <f>COUNTIFS('MARE MX'!$K:$K,"SMB",'MARE MX'!$L:$L,"Dafne de la Rosa",'MARE MX'!$CA:$CA,1)</f>
        <v>3</v>
      </c>
      <c r="AZ20" s="90">
        <f>COUNTIFS('MARE MX'!$K:$K,"SMB",'MARE MX'!$L:$L,"Karla Patiño",'MARE MX'!$CA:$CA,1)</f>
        <v>8</v>
      </c>
      <c r="BA20" s="90">
        <f>COUNTIFS('MARE MX'!$K:$K,"SMB",'MARE MX'!$L:$L,"Raúl Campos",'MARE MX'!$CA:$CA,1)</f>
        <v>2</v>
      </c>
      <c r="BB20" s="90">
        <f>COUNTIFS('MARE MX'!$K:$K,"SMB",'MARE MX'!$L:$L,"No Asignado",'MARE MX'!$CA:$CA,1)</f>
        <v>4</v>
      </c>
      <c r="BC20" s="90">
        <f>SUM(AY20:BB20)</f>
        <v>17</v>
      </c>
    </row>
    <row r="21" spans="1:61">
      <c r="A21" t="s">
        <v>97</v>
      </c>
      <c r="B21">
        <v>30</v>
      </c>
      <c r="D21" s="43">
        <v>39290.746199999994</v>
      </c>
      <c r="G21" t="s">
        <v>97</v>
      </c>
      <c r="H21">
        <v>16</v>
      </c>
      <c r="J21" s="43">
        <v>16538.4437</v>
      </c>
      <c r="L21" s="77" t="s">
        <v>36</v>
      </c>
      <c r="M21" s="79">
        <f>COUNTIFS('MARE MX'!$K:$K,"ENTERPRISE",'MARE MX'!$AK:$AK,"*OK*")</f>
        <v>1</v>
      </c>
      <c r="N21" s="79">
        <f>COUNTIFS('MARE MX'!$K:$K,"SMB",'MARE MX'!$AK:$AK,"*OK*")</f>
        <v>0</v>
      </c>
      <c r="P21" s="83" t="s">
        <v>36</v>
      </c>
      <c r="Q21" s="77">
        <f>COUNTIFS('MARE MX'!$K:$K,"ENTERPRISE",'MARE MX'!$Y:$Y,"Agrícola",'MARE MX'!$AK:$AK,"*OK*")</f>
        <v>0</v>
      </c>
      <c r="R21" s="77">
        <f>COUNTIFS('MARE MX'!$K:$K,"ENTERPRISE",'MARE MX'!$Y:$Y,"Automotriz",'MARE MX'!$AK:$AK,"*OK*")</f>
        <v>0</v>
      </c>
      <c r="S21" s="77">
        <f>COUNTIFS('MARE MX'!$K:$K,"ENTERPRISE",'MARE MX'!$Y:$Y,"Banca y Finanzas",'MARE MX'!$AK:$AK,"*OK*")</f>
        <v>0</v>
      </c>
      <c r="T21" s="77">
        <f>COUNTIFS('MARE MX'!$K:$K,"ENTERPRISE",'MARE MX'!$Y:$Y,"Construcción",'MARE MX'!$AK:$AK,"*OK*")</f>
        <v>0</v>
      </c>
      <c r="U21" s="77">
        <f>COUNTIFS('MARE MX'!$K:$K,"ENTERPRISE",'MARE MX'!$Y:$Y,"Educación",'MARE MX'!$AK:$AK,"*OK*")</f>
        <v>0</v>
      </c>
      <c r="V21" s="77">
        <f>COUNTIFS('MARE MX'!$K:$K,"ENTERPRISE",'MARE MX'!$Y:$Y,"Energía",'MARE MX'!$AK:$AK,"*OK*")</f>
        <v>0</v>
      </c>
      <c r="W21" s="77">
        <f>COUNTIFS('MARE MX'!$K:$K,"ENTERPRISE",'MARE MX'!$Y:$Y,"Gobierno",'MARE MX'!$AK:$AK,"*OK*")</f>
        <v>0</v>
      </c>
      <c r="X21" s="77">
        <f>COUNTIFS('MARE MX'!$K:$K,"ENTERPRISE",'MARE MX'!$Y:$Y,"Logística",'MARE MX'!$AK:$AK,"*OK*")</f>
        <v>0</v>
      </c>
      <c r="Y21" s="77">
        <f>COUNTIFS('MARE MX'!$K:$K,"ENTERPRISE",'MARE MX'!$Y:$Y,"Manufactura",'MARE MX'!$AK:$AK,"*OK*")</f>
        <v>0</v>
      </c>
      <c r="Z21" s="77">
        <f>COUNTIFS('MARE MX'!$K:$K,"ENTERPRISE",'MARE MX'!$Y:$Y,"Outsourcing",'MARE MX'!$AK:$AK,"*OK*")</f>
        <v>0</v>
      </c>
      <c r="AA21" s="77">
        <f>COUNTIFS('MARE MX'!$K:$K,"ENTERPRISE",'MARE MX'!$Y:$Y,"Retail",'MARE MX'!$AK:$AK,"*OK*")</f>
        <v>0</v>
      </c>
      <c r="AB21" s="77">
        <f>COUNTIFS('MARE MX'!$K:$K,"ENTERPRISE",'MARE MX'!$Y:$Y,"Salud",'MARE MX'!$AK:$AK,"*OK*")</f>
        <v>0</v>
      </c>
      <c r="AC21" s="77">
        <f>COUNTIFS('MARE MX'!$K:$K,"ENTERPRISE",'MARE MX'!$Y:$Y,"Seguridad Privada",'MARE MX'!$AK:$AK,"*OK*")</f>
        <v>0</v>
      </c>
      <c r="AD21" s="77">
        <f>COUNTIFS('MARE MX'!$K:$K,"ENTERPRISE",'MARE MX'!$Y:$Y,"Servicios",'MARE MX'!$AK:$AK,"*OK*")</f>
        <v>1</v>
      </c>
      <c r="AE21" s="77">
        <f>COUNTIFS('MARE MX'!$K:$K,"ENTERPRISE",'MARE MX'!$Y:$Y,"Tecnología",'MARE MX'!$AK:$AK,"*OK*")</f>
        <v>0</v>
      </c>
      <c r="AF21" s="77">
        <f>COUNTIFS('MARE MX'!$K:$K,"ENTERPRISE",'MARE MX'!$Y:$Y,"Transporte",'MARE MX'!$AK:$AK,"*OK*")</f>
        <v>0</v>
      </c>
      <c r="AG21" s="77">
        <f>COUNTIFS('MARE MX'!$K:$K,"ENTERPRISE",'MARE MX'!$Y:$Y,"Turismo y Gastronomía",'MARE MX'!$AK:$AK,"*OK*")</f>
        <v>0</v>
      </c>
      <c r="AJ21">
        <v>2</v>
      </c>
      <c r="AK21">
        <f>COUNTIFS('MARE MX'!$K:$K,"ENTERPRISE",'MARE MX'!$CA:$CA,2)</f>
        <v>9</v>
      </c>
      <c r="AL21" s="58">
        <f t="shared" si="6"/>
        <v>6.9230769230769235E-2</v>
      </c>
      <c r="AM21">
        <f>COUNTIFS('MARE MX'!$K:$K,"SMB",'MARE MX'!$CA:$CA,2)</f>
        <v>3</v>
      </c>
      <c r="AN21" s="58">
        <f t="shared" si="7"/>
        <v>9.0090090090090089E-3</v>
      </c>
      <c r="AP21" s="92">
        <v>2</v>
      </c>
      <c r="AQ21" s="92">
        <f>COUNTIFS('MARE MX'!K:K,"ENTERPRISE",'MARE MX'!L:L,"Dafne de la Rosa",'MARE MX'!D:D,2)</f>
        <v>3</v>
      </c>
      <c r="AR21" s="92">
        <f>COUNTIFS('MARE MX'!K:K,"ENTERPRISE",'MARE MX'!L:L,"Karla Patiño",'MARE MX'!CA:CA,2)</f>
        <v>1</v>
      </c>
      <c r="AS21" s="92">
        <f>COUNTIFS('MARE MX'!K:K,"ENTERPRISE",'MARE MX'!L:L,"Raúl Campos",'MARE MX'!CA:CA,2)</f>
        <v>5</v>
      </c>
      <c r="AT21" s="92">
        <f>COUNTIFS('MARE MX'!K:K,"ENTERPRISE",'MARE MX'!L:L,"No Asignado",'MARE MX'!CA:CA,2)</f>
        <v>0</v>
      </c>
      <c r="AU21" s="92">
        <f>COUNTIFS('MARE MX'!K:K,"ENTERPRISE",'MARE MX'!L:L,"Implementando",'MARE MX'!CA:CA,2)</f>
        <v>0</v>
      </c>
      <c r="AV21" s="92">
        <f>SUM(AQ21:AU21)</f>
        <v>9</v>
      </c>
      <c r="AX21" s="90">
        <v>2</v>
      </c>
      <c r="AY21" s="90">
        <f>COUNTIFS('MARE MX'!$K:$K,"SMB",'MARE MX'!$L:$L,"Dafne de la Rosa",'MARE MX'!$CA:$CA,2)</f>
        <v>1</v>
      </c>
      <c r="AZ21" s="90">
        <f>COUNTIFS('MARE MX'!$K:$K,"SMB",'MARE MX'!$L:$L,"Karla Patiño",'MARE MX'!$CA:$CA,2)</f>
        <v>1</v>
      </c>
      <c r="BA21" s="90">
        <f>COUNTIFS('MARE MX'!$K:$K,"SMB",'MARE MX'!$L:$L,"Raúl Campos",'MARE MX'!$CA:$CA,2)</f>
        <v>1</v>
      </c>
      <c r="BB21" s="90">
        <f>COUNTIFS('MARE MX'!$K:$K,"SMB",'MARE MX'!$L:$L,"No Asignado",'MARE MX'!$CA:$CA,2)</f>
        <v>0</v>
      </c>
      <c r="BC21" s="90">
        <f>SUM(AY21:BB21)</f>
        <v>3</v>
      </c>
    </row>
    <row r="22" spans="1:61">
      <c r="A22" t="s">
        <v>92</v>
      </c>
      <c r="B22">
        <v>65</v>
      </c>
      <c r="D22" s="43">
        <v>52098.481700000004</v>
      </c>
      <c r="G22" t="s">
        <v>92</v>
      </c>
      <c r="H22">
        <v>45</v>
      </c>
      <c r="J22" s="43">
        <v>20471.957399999999</v>
      </c>
      <c r="L22" s="77" t="s">
        <v>37</v>
      </c>
      <c r="M22" s="79">
        <f>COUNTIFS('MARE MX'!$K:$K,"ENTERPRISE",'MARE MX'!$AL:$AL,"*OK*")</f>
        <v>12</v>
      </c>
      <c r="N22" s="79">
        <f>COUNTIFS('MARE MX'!$K:$K,"SMB",'MARE MX'!$AL:$AL,"*OK*")</f>
        <v>11</v>
      </c>
      <c r="P22" s="83" t="s">
        <v>37</v>
      </c>
      <c r="Q22" s="77">
        <f>COUNTIFS('MARE MX'!$K:$K,"ENTERPRISE",'MARE MX'!$Y:$Y,"Agrícola",'MARE MX'!$AL:$AL,"*OK*")</f>
        <v>0</v>
      </c>
      <c r="R22" s="77">
        <f>COUNTIFS('MARE MX'!$K:$K,"ENTERPRISE",'MARE MX'!$Y:$Y,"Automotriz",'MARE MX'!$AL:$AL,"*OK*")</f>
        <v>0</v>
      </c>
      <c r="S22" s="77">
        <f>COUNTIFS('MARE MX'!$K:$K,"ENTERPRISE",'MARE MX'!$Y:$Y,"Banca y Finanzas",'MARE MX'!$AL:$AL,"*OK*")</f>
        <v>1</v>
      </c>
      <c r="T22" s="77">
        <f>COUNTIFS('MARE MX'!$K:$K,"ENTERPRISE",'MARE MX'!$Y:$Y,"Construcción",'MARE MX'!$AL:$AL,"*OK*")</f>
        <v>0</v>
      </c>
      <c r="U22" s="77">
        <f>COUNTIFS('MARE MX'!$K:$K,"ENTERPRISE",'MARE MX'!$Y:$Y,"Educación",'MARE MX'!$AL:$AL,"*OK*")</f>
        <v>0</v>
      </c>
      <c r="V22" s="77">
        <f>COUNTIFS('MARE MX'!$K:$K,"ENTERPRISE",'MARE MX'!$Y:$Y,"Energía",'MARE MX'!$AL:$AL,"*OK*")</f>
        <v>0</v>
      </c>
      <c r="W22" s="77">
        <f>COUNTIFS('MARE MX'!$K:$K,"ENTERPRISE",'MARE MX'!$Y:$Y,"Gobierno",'MARE MX'!$AL:$AL,"*OK*")</f>
        <v>0</v>
      </c>
      <c r="X22" s="77">
        <f>COUNTIFS('MARE MX'!$K:$K,"ENTERPRISE",'MARE MX'!$Y:$Y,"Logística",'MARE MX'!$AL:$AL,"*OK*")</f>
        <v>1</v>
      </c>
      <c r="Y22" s="77">
        <f>COUNTIFS('MARE MX'!$K:$K,"ENTERPRISE",'MARE MX'!$Y:$Y,"Manufactura",'MARE MX'!$AL:$AL,"*OK*")</f>
        <v>4</v>
      </c>
      <c r="Z22" s="77">
        <f>COUNTIFS('MARE MX'!$K:$K,"ENTERPRISE",'MARE MX'!$Y:$Y,"Outsourcing",'MARE MX'!$AL:$AL,"*OK*")</f>
        <v>0</v>
      </c>
      <c r="AA22" s="77">
        <f>COUNTIFS('MARE MX'!$K:$K,"ENTERPRISE",'MARE MX'!$Y:$Y,"Retail",'MARE MX'!$AL:$AL,"*OK*")</f>
        <v>3</v>
      </c>
      <c r="AB22" s="77">
        <f>COUNTIFS('MARE MX'!$K:$K,"ENTERPRISE",'MARE MX'!$Y:$Y,"Salud",'MARE MX'!$AL:$AL,"*OK*")</f>
        <v>0</v>
      </c>
      <c r="AC22" s="77">
        <f>COUNTIFS('MARE MX'!$K:$K,"ENTERPRISE",'MARE MX'!$Y:$Y,"Seguridad Privada",'MARE MX'!$AL:$AL,"*OK*")</f>
        <v>0</v>
      </c>
      <c r="AD22" s="77">
        <f>COUNTIFS('MARE MX'!$K:$K,"ENTERPRISE",'MARE MX'!$Y:$Y,"Servicios",'MARE MX'!$AL:$AL,"*OK*")</f>
        <v>1</v>
      </c>
      <c r="AE22" s="77">
        <f>COUNTIFS('MARE MX'!$K:$K,"ENTERPRISE",'MARE MX'!$Y:$Y,"Tecnología",'MARE MX'!$AL:$AL,"*OK*")</f>
        <v>1</v>
      </c>
      <c r="AF22" s="77">
        <f>COUNTIFS('MARE MX'!$K:$K,"ENTERPRISE",'MARE MX'!$Y:$Y,"Transporte",'MARE MX'!$AL:$AL,"*OK*")</f>
        <v>1</v>
      </c>
      <c r="AG22" s="77">
        <f>COUNTIFS('MARE MX'!$K:$K,"ENTERPRISE",'MARE MX'!$Y:$Y,"Turismo y Gastronomía",'MARE MX'!$AL:$AL,"*OK*")</f>
        <v>0</v>
      </c>
      <c r="AJ22">
        <v>3</v>
      </c>
      <c r="AK22">
        <f>COUNTIFS('MARE MX'!$K:$K,"ENTERPRISE",'MARE MX'!$CA:$CA,3)</f>
        <v>3</v>
      </c>
      <c r="AL22" s="58">
        <f t="shared" si="6"/>
        <v>2.3076923076923078E-2</v>
      </c>
      <c r="AM22">
        <f>COUNTIFS('MARE MX'!$K:$K,"SMB",'MARE MX'!$CA:$CA,3)</f>
        <v>1</v>
      </c>
      <c r="AN22" s="58">
        <f t="shared" si="7"/>
        <v>3.003003003003003E-3</v>
      </c>
      <c r="AP22" s="93">
        <v>3</v>
      </c>
      <c r="AQ22" s="93">
        <f>COUNTIFS('MARE MX'!K:K,"ENTERPRISE",'MARE MX'!L:L,"Dafne de la Rosa",'MARE MX'!D:D,3)</f>
        <v>0</v>
      </c>
      <c r="AR22" s="93">
        <f>COUNTIFS('MARE MX'!K:K,"ENTERPRISE",'MARE MX'!L:L,"Karla Patiño",'MARE MX'!CA:CA,3)</f>
        <v>0</v>
      </c>
      <c r="AS22" s="93">
        <f>COUNTIFS('MARE MX'!K:K,"ENTERPRISE",'MARE MX'!L:L,"Raúl Campos",'MARE MX'!CA:CA,3)</f>
        <v>3</v>
      </c>
      <c r="AT22" s="93">
        <f>COUNTIFS('MARE MX'!K:K,"ENTERPRISE",'MARE MX'!L:L,"No Asignado",'MARE MX'!CA:CA,3)</f>
        <v>0</v>
      </c>
      <c r="AU22" s="93">
        <f>COUNTIFS('MARE MX'!K:K,"ENTERPRISE",'MARE MX'!L:L,"Implementando",'MARE MX'!CA:CA,3)</f>
        <v>0</v>
      </c>
      <c r="AV22" s="93">
        <f>SUM(AQ22:AU22)</f>
        <v>3</v>
      </c>
      <c r="AX22" s="90">
        <v>3</v>
      </c>
      <c r="AY22" s="90">
        <f>COUNTIFS('MARE MX'!$K:$K,"SMB",'MARE MX'!$L:$L,"Dafne de la Rosa",'MARE MX'!$CA:$CA,3)</f>
        <v>0</v>
      </c>
      <c r="AZ22" s="90">
        <f>COUNTIFS('MARE MX'!$K:$K,"SMB",'MARE MX'!$L:$L,"Karla Patiño",'MARE MX'!$CA:$CA,3)</f>
        <v>1</v>
      </c>
      <c r="BA22" s="90">
        <f>COUNTIFS('MARE MX'!$K:$K,"SMB",'MARE MX'!$L:$L,"Raúl Campos",'MARE MX'!$CA:$CA,3)</f>
        <v>0</v>
      </c>
      <c r="BB22" s="90">
        <f>COUNTIFS('MARE MX'!$K:$K,"SMB",'MARE MX'!$L:$L,"No Asignado",'MARE MX'!$CA:$CA,3)</f>
        <v>0</v>
      </c>
      <c r="BC22" s="90">
        <f>SUM(AY22:BB22)</f>
        <v>1</v>
      </c>
    </row>
    <row r="23" spans="1:61">
      <c r="A23" t="s">
        <v>1401</v>
      </c>
      <c r="B23">
        <v>1</v>
      </c>
      <c r="D23" s="43">
        <v>652.53129999999999</v>
      </c>
      <c r="G23" t="s">
        <v>1401</v>
      </c>
      <c r="H23">
        <v>6</v>
      </c>
      <c r="J23" s="43">
        <v>1189.6942999999999</v>
      </c>
      <c r="L23" s="77" t="s">
        <v>1402</v>
      </c>
      <c r="M23" s="79">
        <f>COUNTIFS('MARE MX'!$K:$K,"ENTERPRISE",'MARE MX'!$AM:$AM,"*OK*")</f>
        <v>4</v>
      </c>
      <c r="N23" s="79">
        <f>COUNTIFS('MARE MX'!$K:$K,"SMB",'MARE MX'!$AM:$AM,"*OK*")</f>
        <v>0</v>
      </c>
      <c r="P23" s="83" t="s">
        <v>1402</v>
      </c>
      <c r="Q23" s="77">
        <f>COUNTIFS('MARE MX'!$K:$K,"ENTERPRISE",'MARE MX'!$Y:$Y,"Agrícola",'MARE MX'!$AM:$AM,"*OK*")</f>
        <v>0</v>
      </c>
      <c r="R23" s="77">
        <f>COUNTIFS('MARE MX'!$K:$K,"ENTERPRISE",'MARE MX'!$Y:$Y,"Automotriz",'MARE MX'!$AM:$AM,"*OK*")</f>
        <v>0</v>
      </c>
      <c r="S23" s="77">
        <f>COUNTIFS('MARE MX'!$K:$K,"ENTERPRISE",'MARE MX'!$Y:$Y,"Banca y Finanzas",'MARE MX'!$AM:$AM,"*OK*")</f>
        <v>0</v>
      </c>
      <c r="T23" s="77">
        <f>COUNTIFS('MARE MX'!$K:$K,"ENTERPRISE",'MARE MX'!$Y:$Y,"Construcción",'MARE MX'!$AM:$AM,"*OK*")</f>
        <v>0</v>
      </c>
      <c r="U23" s="77">
        <f>COUNTIFS('MARE MX'!$K:$K,"ENTERPRISE",'MARE MX'!$Y:$Y,"Educación",'MARE MX'!$AM:$AM,"*OK*")</f>
        <v>0</v>
      </c>
      <c r="V23" s="77">
        <f>COUNTIFS('MARE MX'!$K:$K,"ENTERPRISE",'MARE MX'!$Y:$Y,"Energía",'MARE MX'!$AM:$AM,"*OK*")</f>
        <v>0</v>
      </c>
      <c r="W23" s="77">
        <f>COUNTIFS('MARE MX'!$K:$K,"ENTERPRISE",'MARE MX'!$Y:$Y,"Gobierno",'MARE MX'!$AM:$AM,"*OK*")</f>
        <v>0</v>
      </c>
      <c r="X23" s="77">
        <f>COUNTIFS('MARE MX'!$K:$K,"ENTERPRISE",'MARE MX'!$Y:$Y,"Logística",'MARE MX'!$AM:$AM,"*OK*")</f>
        <v>1</v>
      </c>
      <c r="Y23" s="77">
        <f>COUNTIFS('MARE MX'!$K:$K,"ENTERPRISE",'MARE MX'!$Y:$Y,"Manufactura",'MARE MX'!$AM:$AM,"*OK*")</f>
        <v>0</v>
      </c>
      <c r="Z23" s="77">
        <f>COUNTIFS('MARE MX'!$K:$K,"ENTERPRISE",'MARE MX'!$Y:$Y,"Outsourcing",'MARE MX'!$AM:$AM,"*OK*")</f>
        <v>0</v>
      </c>
      <c r="AA23" s="77">
        <f>COUNTIFS('MARE MX'!$K:$K,"ENTERPRISE",'MARE MX'!$Y:$Y,"Retail",'MARE MX'!$AM:$AM,"*OK*")</f>
        <v>1</v>
      </c>
      <c r="AB23" s="77">
        <f>COUNTIFS('MARE MX'!$K:$K,"ENTERPRISE",'MARE MX'!$Y:$Y,"Salud",'MARE MX'!$AM:$AM,"*OK*")</f>
        <v>0</v>
      </c>
      <c r="AC23" s="77">
        <f>COUNTIFS('MARE MX'!$K:$K,"ENTERPRISE",'MARE MX'!$Y:$Y,"Seguridad Privada",'MARE MX'!$AM:$AM,"*OK*")</f>
        <v>0</v>
      </c>
      <c r="AD23" s="77">
        <f>COUNTIFS('MARE MX'!$K:$K,"ENTERPRISE",'MARE MX'!$Y:$Y,"Servicios",'MARE MX'!$AM:$AM,"*OK*")</f>
        <v>1</v>
      </c>
      <c r="AE23" s="77">
        <f>COUNTIFS('MARE MX'!$K:$K,"ENTERPRISE",'MARE MX'!$Y:$Y,"Tecnología",'MARE MX'!$AM:$AM,"*OK*")</f>
        <v>0</v>
      </c>
      <c r="AF23" s="77">
        <f>COUNTIFS('MARE MX'!$K:$K,"ENTERPRISE",'MARE MX'!$Y:$Y,"Transporte",'MARE MX'!$AM:$AM,"*OK*")</f>
        <v>0</v>
      </c>
      <c r="AG23" s="77">
        <f>COUNTIFS('MARE MX'!$K:$K,"ENTERPRISE",'MARE MX'!$Y:$Y,"Turismo y Gastronomía",'MARE MX'!$AM:$AM,"*OK*")</f>
        <v>1</v>
      </c>
      <c r="AJ23">
        <v>4</v>
      </c>
      <c r="AK23">
        <f>COUNTIFS('MARE MX'!$K:$K,"ENTERPRISE",'MARE MX'!$CA:$CA,4)</f>
        <v>0</v>
      </c>
      <c r="AL23" s="58">
        <f t="shared" si="6"/>
        <v>0</v>
      </c>
      <c r="AM23">
        <f>COUNTIFS('MARE MX'!$K:$K,"SMB",'MARE MX'!$CA:$CA,4)</f>
        <v>0</v>
      </c>
      <c r="AN23" s="58">
        <f t="shared" si="7"/>
        <v>0</v>
      </c>
      <c r="AP23" s="92">
        <v>4</v>
      </c>
      <c r="AQ23" s="92">
        <f>COUNTIFS('MARE MX'!K:K,"ENTERPRISE",'MARE MX'!L:L,"Dafne de la Rosa",'MARE MX'!D:D,4)</f>
        <v>0</v>
      </c>
      <c r="AR23" s="92">
        <f>COUNTIFS('MARE MX'!K:K,"ENTERPRISE",'MARE MX'!L:L,"Karla Patiño",'MARE MX'!CA:CA,4)</f>
        <v>0</v>
      </c>
      <c r="AS23" s="92">
        <f>COUNTIFS('MARE MX'!K:K,"ENTERPRISE",'MARE MX'!L:L,"Raúl Campos",'MARE MX'!CA:CA,4)</f>
        <v>0</v>
      </c>
      <c r="AT23" s="92">
        <f>COUNTIFS('MARE MX'!K:K,"ENTERPRISE",'MARE MX'!L:L,"No Asignado",'MARE MX'!CA:CA,4)</f>
        <v>0</v>
      </c>
      <c r="AU23" s="92">
        <f>COUNTIFS('MARE MX'!K:K,"ENTERPRISE",'MARE MX'!L:L,"Implementando",'MARE MX'!CA:CA,4)</f>
        <v>0</v>
      </c>
      <c r="AV23" s="92">
        <f>SUM(AQ23:AU23)</f>
        <v>0</v>
      </c>
      <c r="AX23" s="90">
        <v>4</v>
      </c>
      <c r="AY23" s="90">
        <f>COUNTIFS('MARE MX'!$K:$K,"SMB",'MARE MX'!$L:$L,"Dafne de la Rosa",'MARE MX'!$CA:$CA,4)</f>
        <v>0</v>
      </c>
      <c r="AZ23" s="90">
        <f>COUNTIFS('MARE MX'!$K:$K,"SMB",'MARE MX'!$L:$L,"Karla Patiño",'MARE MX'!$CA:$CA,4)</f>
        <v>0</v>
      </c>
      <c r="BA23" s="90">
        <f>COUNTIFS('MARE MX'!$K:$K,"SMB",'MARE MX'!$L:$L,"Raúl Campos",'MARE MX'!$CA:$CA,4)</f>
        <v>0</v>
      </c>
      <c r="BB23" s="90">
        <f>COUNTIFS('MARE MX'!$K:$K,"SMB",'MARE MX'!$L:$L,"No Asignado",'MARE MX'!$CA:$CA,4)</f>
        <v>0</v>
      </c>
      <c r="BC23" s="90">
        <f>SUM(AY23:BB23)</f>
        <v>0</v>
      </c>
    </row>
    <row r="24" spans="1:61" ht="14.25" customHeight="1">
      <c r="A24" t="s">
        <v>1403</v>
      </c>
      <c r="B24">
        <v>13</v>
      </c>
      <c r="D24" s="43">
        <v>13647.3752</v>
      </c>
      <c r="G24" t="s">
        <v>1403</v>
      </c>
      <c r="H24">
        <v>11</v>
      </c>
      <c r="J24" s="43">
        <v>2187.7210999999998</v>
      </c>
      <c r="L24" s="77" t="s">
        <v>39</v>
      </c>
      <c r="M24" s="79">
        <f>COUNTIFS('MARE MX'!$K:$K,"ENTERPRISE",'MARE MX'!$AN:$AN,"*OK*")</f>
        <v>8</v>
      </c>
      <c r="N24" s="79">
        <f>COUNTIFS('MARE MX'!$K:$K,"SMB",'MARE MX'!$AN:$AN,"*OK*")</f>
        <v>2</v>
      </c>
      <c r="P24" s="83" t="s">
        <v>39</v>
      </c>
      <c r="Q24" s="77">
        <f>COUNTIFS('MARE MX'!$K:$K,"ENTERPRISE",'MARE MX'!$Y:$Y,"Agrícola",'MARE MX'!$AN:$AN,"*OK*")</f>
        <v>0</v>
      </c>
      <c r="R24" s="77">
        <f>COUNTIFS('MARE MX'!$K:$K,"ENTERPRISE",'MARE MX'!$Y:$Y,"Automotriz",'MARE MX'!$AN:$AN,"*OK*")</f>
        <v>0</v>
      </c>
      <c r="S24" s="77">
        <f>COUNTIFS('MARE MX'!$K:$K,"ENTERPRISE",'MARE MX'!$Y:$Y,"Banca y Finanzas",'MARE MX'!$AN:$AN,"*OK*")</f>
        <v>0</v>
      </c>
      <c r="T24" s="77">
        <f>COUNTIFS('MARE MX'!$K:$K,"ENTERPRISE",'MARE MX'!$Y:$Y,"Construcción",'MARE MX'!$AN:$AN,"*OK*")</f>
        <v>2</v>
      </c>
      <c r="U24" s="77">
        <f>COUNTIFS('MARE MX'!$K:$K,"ENTERPRISE",'MARE MX'!$Y:$Y,"Educación",'MARE MX'!$AN:$AN,"*OK*")</f>
        <v>0</v>
      </c>
      <c r="V24" s="77">
        <f>COUNTIFS('MARE MX'!$K:$K,"ENTERPRISE",'MARE MX'!$Y:$Y,"Energía",'MARE MX'!$AN:$AN,"*OK*")</f>
        <v>0</v>
      </c>
      <c r="W24" s="77">
        <f>COUNTIFS('MARE MX'!$K:$K,"ENTERPRISE",'MARE MX'!$Y:$Y,"Gobierno",'MARE MX'!$AN:$AN,"*OK*")</f>
        <v>0</v>
      </c>
      <c r="X24" s="77">
        <f>COUNTIFS('MARE MX'!$K:$K,"ENTERPRISE",'MARE MX'!$Y:$Y,"Logística",'MARE MX'!$AN:$AN,"*OK*")</f>
        <v>0</v>
      </c>
      <c r="Y24" s="77">
        <f>COUNTIFS('MARE MX'!$K:$K,"ENTERPRISE",'MARE MX'!$Y:$Y,"Manufactura",'MARE MX'!$AN:$AN,"*OK*")</f>
        <v>3</v>
      </c>
      <c r="Z24" s="77">
        <f>COUNTIFS('MARE MX'!$K:$K,"ENTERPRISE",'MARE MX'!$Y:$Y,"Outsourcing",'MARE MX'!$AN:$AN,"*OK*")</f>
        <v>0</v>
      </c>
      <c r="AA24" s="77">
        <f>COUNTIFS('MARE MX'!$K:$K,"ENTERPRISE",'MARE MX'!$Y:$Y,"Retail",'MARE MX'!$AN:$AN,"*OK*")</f>
        <v>0</v>
      </c>
      <c r="AB24" s="77">
        <f>COUNTIFS('MARE MX'!$K:$K,"ENTERPRISE",'MARE MX'!$Y:$Y,"Salud",'MARE MX'!$AN:$AN,"*OK*")</f>
        <v>0</v>
      </c>
      <c r="AC24" s="77">
        <f>COUNTIFS('MARE MX'!$K:$K,"ENTERPRISE",'MARE MX'!$Y:$Y,"Seguridad Privada",'MARE MX'!$AN:$AN,"*OK*")</f>
        <v>1</v>
      </c>
      <c r="AD24" s="77">
        <f>COUNTIFS('MARE MX'!$K:$K,"ENTERPRISE",'MARE MX'!$Y:$Y,"Servicios",'MARE MX'!$AN:$AN,"*OK*")</f>
        <v>0</v>
      </c>
      <c r="AE24" s="77">
        <f>COUNTIFS('MARE MX'!$K:$K,"ENTERPRISE",'MARE MX'!$Y:$Y,"Tecnología",'MARE MX'!$AN:$AN,"*OK*")</f>
        <v>2</v>
      </c>
      <c r="AF24" s="77">
        <f>COUNTIFS('MARE MX'!$K:$K,"ENTERPRISE",'MARE MX'!$Y:$Y,"Transporte",'MARE MX'!$AN:$AN,"*OK*")</f>
        <v>0</v>
      </c>
      <c r="AG24" s="77">
        <f>COUNTIFS('MARE MX'!$K:$K,"ENTERPRISE",'MARE MX'!$Y:$Y,"Turismo y Gastronomía",'MARE MX'!$AN:$AN,"*OK*")</f>
        <v>0</v>
      </c>
      <c r="AJ24" s="72" t="s">
        <v>1355</v>
      </c>
      <c r="AK24" s="72">
        <f>SUM(AK19:AK23)</f>
        <v>130</v>
      </c>
      <c r="AL24" s="72"/>
      <c r="AM24" s="72">
        <f>SUM(AM19:AM23)</f>
        <v>333</v>
      </c>
      <c r="AN24" s="72"/>
      <c r="AP24" s="81" t="s">
        <v>1355</v>
      </c>
      <c r="AQ24" s="89">
        <f t="shared" ref="AQ24:AV24" si="8">SUM(AQ19:AQ23)</f>
        <v>46</v>
      </c>
      <c r="AR24" s="89">
        <f t="shared" si="8"/>
        <v>5</v>
      </c>
      <c r="AS24" s="89">
        <f t="shared" si="8"/>
        <v>68</v>
      </c>
      <c r="AT24" s="89">
        <f t="shared" si="8"/>
        <v>5</v>
      </c>
      <c r="AU24" s="89">
        <f t="shared" si="8"/>
        <v>4</v>
      </c>
      <c r="AV24" s="89">
        <f t="shared" si="8"/>
        <v>128</v>
      </c>
      <c r="AX24" s="97" t="s">
        <v>1355</v>
      </c>
      <c r="AY24" s="97">
        <f>SUM(AY19:AY23)</f>
        <v>47</v>
      </c>
      <c r="AZ24" s="97">
        <f>SUM(AZ19:AZ23)</f>
        <v>146</v>
      </c>
      <c r="BA24" s="97">
        <f>SUM(BA19:BA23)</f>
        <v>9</v>
      </c>
      <c r="BB24" s="97">
        <f>SUM(BB19:BB23)</f>
        <v>129</v>
      </c>
      <c r="BC24" s="97">
        <f>SUM(BC19:BC23)</f>
        <v>331</v>
      </c>
    </row>
    <row r="25" spans="1:61" ht="14.25" customHeight="1">
      <c r="A25" t="s">
        <v>139</v>
      </c>
      <c r="B25">
        <v>2</v>
      </c>
      <c r="D25" s="43">
        <v>1793.5662</v>
      </c>
      <c r="G25" t="s">
        <v>139</v>
      </c>
      <c r="H25">
        <v>8</v>
      </c>
      <c r="J25" s="43">
        <v>3065.2405000000003</v>
      </c>
      <c r="L25" s="77" t="s">
        <v>40</v>
      </c>
      <c r="M25" s="79">
        <f>COUNTIFS('MARE MX'!$K:$K,"ENTERPRISE",'MARE MX'!$AO:$AO,"*OK*")</f>
        <v>5</v>
      </c>
      <c r="N25" s="79">
        <f>COUNTIFS('MARE MX'!$K:$K,"SMB",'MARE MX'!$AO:$AO,"*OK*")</f>
        <v>3</v>
      </c>
      <c r="P25" s="83" t="s">
        <v>40</v>
      </c>
      <c r="Q25" s="77">
        <f>COUNTIFS('MARE MX'!$K:$K,"ENTERPRISE",'MARE MX'!$Y:$Y,"Agrícola",'MARE MX'!$AO:$AO,"*OK*")</f>
        <v>0</v>
      </c>
      <c r="R25" s="77">
        <f>COUNTIFS('MARE MX'!$K:$K,"ENTERPRISE",'MARE MX'!$Y:$Y,"Automotriz",'MARE MX'!$AO:$AO,"*OK*")</f>
        <v>0</v>
      </c>
      <c r="S25" s="77">
        <f>COUNTIFS('MARE MX'!$K:$K,"ENTERPRISE",'MARE MX'!$Y:$Y,"Banca y Finanzas",'MARE MX'!$AO:$AO,"*OK*")</f>
        <v>0</v>
      </c>
      <c r="T25" s="77">
        <f>COUNTIFS('MARE MX'!$K:$K,"ENTERPRISE",'MARE MX'!$Y:$Y,"Construcción",'MARE MX'!$AO:$AO,"*OK*")</f>
        <v>1</v>
      </c>
      <c r="U25" s="77">
        <f>COUNTIFS('MARE MX'!$K:$K,"ENTERPRISE",'MARE MX'!$Y:$Y,"Educación",'MARE MX'!$AO:$AO,"*OK*")</f>
        <v>0</v>
      </c>
      <c r="V25" s="77">
        <f>COUNTIFS('MARE MX'!$K:$K,"ENTERPRISE",'MARE MX'!$Y:$Y,"Energía",'MARE MX'!$AO:$AO,"*OK*")</f>
        <v>0</v>
      </c>
      <c r="W25" s="77">
        <f>COUNTIFS('MARE MX'!$K:$K,"ENTERPRISE",'MARE MX'!$Y:$Y,"Gobierno",'MARE MX'!$AO:$AO,"*OK*")</f>
        <v>0</v>
      </c>
      <c r="X25" s="77">
        <f>COUNTIFS('MARE MX'!$K:$K,"ENTERPRISE",'MARE MX'!$Y:$Y,"Logística",'MARE MX'!$AO:$AO,"*OK*")</f>
        <v>0</v>
      </c>
      <c r="Y25" s="77">
        <f>COUNTIFS('MARE MX'!$K:$K,"ENTERPRISE",'MARE MX'!$Y:$Y,"Manufactura",'MARE MX'!$AO:$AO,"*OK*")</f>
        <v>0</v>
      </c>
      <c r="Z25" s="77">
        <f>COUNTIFS('MARE MX'!$K:$K,"ENTERPRISE",'MARE MX'!$Y:$Y,"Outsourcing",'MARE MX'!$AO:$AO,"*OK*")</f>
        <v>1</v>
      </c>
      <c r="AA25" s="77">
        <f>COUNTIFS('MARE MX'!$K:$K,"ENTERPRISE",'MARE MX'!$Y:$Y,"Retail",'MARE MX'!$AO:$AO,"*OK*")</f>
        <v>2</v>
      </c>
      <c r="AB25" s="77">
        <f>COUNTIFS('MARE MX'!$K:$K,"ENTERPRISE",'MARE MX'!$Y:$Y,"Salud",'MARE MX'!$AO:$AO,"*OK*")</f>
        <v>0</v>
      </c>
      <c r="AC25" s="77">
        <f>COUNTIFS('MARE MX'!$K:$K,"ENTERPRISE",'MARE MX'!$Y:$Y,"Seguridad Privada",'MARE MX'!$AO:$AO,"*OK*")</f>
        <v>0</v>
      </c>
      <c r="AD25" s="77">
        <f>COUNTIFS('MARE MX'!$K:$K,"ENTERPRISE",'MARE MX'!$Y:$Y,"Servicios",'MARE MX'!$AO:$AO,"*OK*")</f>
        <v>0</v>
      </c>
      <c r="AE25" s="77">
        <f>COUNTIFS('MARE MX'!$K:$K,"ENTERPRISE",'MARE MX'!$Y:$Y,"Tecnología",'MARE MX'!$AO:$AO,"*OK*")</f>
        <v>0</v>
      </c>
      <c r="AF25" s="77">
        <f>COUNTIFS('MARE MX'!$K:$K,"ENTERPRISE",'MARE MX'!$Y:$Y,"Transporte",'MARE MX'!$AO:$AO,"*OK*")</f>
        <v>0</v>
      </c>
      <c r="AG25" s="77">
        <f>COUNTIFS('MARE MX'!$K:$K,"ENTERPRISE",'MARE MX'!$Y:$Y,"Turismo y Gastronomía",'MARE MX'!$AO:$AO,"*OK*")</f>
        <v>1</v>
      </c>
    </row>
    <row r="26" spans="1:61" ht="14.25" customHeight="1">
      <c r="A26" t="s">
        <v>1379</v>
      </c>
      <c r="B26">
        <v>119</v>
      </c>
      <c r="D26" s="43">
        <v>115758.4988</v>
      </c>
      <c r="F26" t="s">
        <v>1404</v>
      </c>
      <c r="H26">
        <v>96</v>
      </c>
      <c r="J26" s="43">
        <v>46669.813700000006</v>
      </c>
      <c r="L26" s="77" t="s">
        <v>41</v>
      </c>
      <c r="M26" s="79">
        <f>COUNTIFS('MARE MX'!$K:$K,"ENTERPRISE",'MARE MX'!$AP:$AP,"*OK*")</f>
        <v>12</v>
      </c>
      <c r="N26" s="79">
        <f>COUNTIFS('MARE MX'!$K:$K,"SMB",'MARE MX'!$AP:$AP,"*OK*")</f>
        <v>2</v>
      </c>
      <c r="P26" s="83" t="s">
        <v>41</v>
      </c>
      <c r="Q26" s="77">
        <f>COUNTIFS('MARE MX'!$K:$K,"ENTERPRISE",'MARE MX'!$Y:$Y,"Agrícola",'MARE MX'!$AP:$AP,"*OK*")</f>
        <v>1</v>
      </c>
      <c r="R26" s="77">
        <f>COUNTIFS('MARE MX'!$K:$K,"ENTERPRISE",'MARE MX'!$Y:$Y,"Automotriz",'MARE MX'!$AP:$AP,"*OK*")</f>
        <v>0</v>
      </c>
      <c r="S26" s="77">
        <f>COUNTIFS('MARE MX'!$K:$K,"ENTERPRISE",'MARE MX'!$Y:$Y,"Banca y Finanzas",'MARE MX'!$AP:$AP,"*OK*")</f>
        <v>0</v>
      </c>
      <c r="T26" s="77">
        <f>COUNTIFS('MARE MX'!$K:$K,"ENTERPRISE",'MARE MX'!$Y:$Y,"Construcción",'MARE MX'!$AP:$AP,"*OK*")</f>
        <v>0</v>
      </c>
      <c r="U26" s="77">
        <f>COUNTIFS('MARE MX'!$K:$K,"ENTERPRISE",'MARE MX'!$Y:$Y,"Educación",'MARE MX'!$AP:$AP,"*OK*")</f>
        <v>0</v>
      </c>
      <c r="V26" s="77">
        <f>COUNTIFS('MARE MX'!$K:$K,"ENTERPRISE",'MARE MX'!$Y:$Y,"Energía",'MARE MX'!$AP:$AP,"*OK*")</f>
        <v>0</v>
      </c>
      <c r="W26" s="77">
        <f>COUNTIFS('MARE MX'!$K:$K,"ENTERPRISE",'MARE MX'!$Y:$Y,"Gobierno",'MARE MX'!$AP:$AP,"*OK*")</f>
        <v>0</v>
      </c>
      <c r="X26" s="77">
        <f>COUNTIFS('MARE MX'!$K:$K,"ENTERPRISE",'MARE MX'!$Y:$Y,"Logística",'MARE MX'!$AP:$AP,"*OK*")</f>
        <v>0</v>
      </c>
      <c r="Y26" s="77">
        <f>COUNTIFS('MARE MX'!$K:$K,"ENTERPRISE",'MARE MX'!$Y:$Y,"Manufactura",'MARE MX'!$AP:$AP,"*OK*")</f>
        <v>4</v>
      </c>
      <c r="Z26" s="77">
        <f>COUNTIFS('MARE MX'!$K:$K,"ENTERPRISE",'MARE MX'!$Y:$Y,"Outsourcing",'MARE MX'!$AP:$AP,"*OK*")</f>
        <v>2</v>
      </c>
      <c r="AA26" s="77">
        <f>COUNTIFS('MARE MX'!$K:$K,"ENTERPRISE",'MARE MX'!$Y:$Y,"Retail",'MARE MX'!$AP:$AP,"*OK*")</f>
        <v>3</v>
      </c>
      <c r="AB26" s="77">
        <f>COUNTIFS('MARE MX'!$K:$K,"ENTERPRISE",'MARE MX'!$Y:$Y,"Salud",'MARE MX'!$AP:$AP,"*OK*")</f>
        <v>2</v>
      </c>
      <c r="AC26" s="77">
        <f>COUNTIFS('MARE MX'!$K:$K,"ENTERPRISE",'MARE MX'!$Y:$Y,"Seguridad Privada",'MARE MX'!$AP:$AP,"*OK*")</f>
        <v>0</v>
      </c>
      <c r="AD26" s="77">
        <f>COUNTIFS('MARE MX'!$K:$K,"ENTERPRISE",'MARE MX'!$Y:$Y,"Servicios",'MARE MX'!$AP:$AP,"*OK*")</f>
        <v>0</v>
      </c>
      <c r="AE26" s="77">
        <f>COUNTIFS('MARE MX'!$K:$K,"ENTERPRISE",'MARE MX'!$Y:$Y,"Tecnología",'MARE MX'!$AP:$AP,"*OK*")</f>
        <v>0</v>
      </c>
      <c r="AF26" s="77">
        <f>COUNTIFS('MARE MX'!$K:$K,"ENTERPRISE",'MARE MX'!$Y:$Y,"Transporte",'MARE MX'!$AP:$AP,"*OK*")</f>
        <v>0</v>
      </c>
      <c r="AG26" s="77">
        <f>COUNTIFS('MARE MX'!$K:$K,"ENTERPRISE",'MARE MX'!$Y:$Y,"Turismo y Gastronomía",'MARE MX'!$AP:$AP,"*OK*")</f>
        <v>0</v>
      </c>
      <c r="AP26" s="98" t="s">
        <v>1405</v>
      </c>
      <c r="AQ26" s="99">
        <f>SUM(AQ20:AQ23)/AQ24</f>
        <v>0.28260869565217389</v>
      </c>
      <c r="AR26" s="99">
        <f t="shared" ref="AR26:AU26" si="9">SUM(AR20:AR23)/AR24</f>
        <v>0.2</v>
      </c>
      <c r="AS26" s="99">
        <f t="shared" si="9"/>
        <v>0.38235294117647056</v>
      </c>
      <c r="AT26" s="99">
        <f t="shared" si="9"/>
        <v>0</v>
      </c>
      <c r="AU26" s="99">
        <f t="shared" si="9"/>
        <v>0</v>
      </c>
      <c r="AV26" s="90"/>
      <c r="AW26" s="90"/>
      <c r="AX26" s="98" t="s">
        <v>1405</v>
      </c>
      <c r="AY26" s="99">
        <f>SUM(AY20:AY23)/AY24</f>
        <v>8.5106382978723402E-2</v>
      </c>
      <c r="AZ26" s="99">
        <f t="shared" ref="AZ26:BC26" si="10">SUM(AZ20:AZ23)/AZ24</f>
        <v>6.8493150684931503E-2</v>
      </c>
      <c r="BA26" s="99">
        <f t="shared" si="10"/>
        <v>0.33333333333333331</v>
      </c>
      <c r="BB26" s="99">
        <f t="shared" si="10"/>
        <v>3.1007751937984496E-2</v>
      </c>
      <c r="BC26" s="99">
        <f t="shared" si="10"/>
        <v>6.3444108761329304E-2</v>
      </c>
    </row>
    <row r="27" spans="1:61" ht="15" customHeight="1">
      <c r="F27" t="s">
        <v>456</v>
      </c>
      <c r="G27" t="s">
        <v>84</v>
      </c>
      <c r="H27">
        <v>12</v>
      </c>
      <c r="J27" s="43">
        <v>2652.2347</v>
      </c>
      <c r="L27" s="77" t="s">
        <v>42</v>
      </c>
      <c r="M27" s="79">
        <f>COUNTIFS('MARE MX'!$K:$K,"ENTERPRISE",'MARE MX'!$AQ:$AQ,"*OK*")</f>
        <v>9</v>
      </c>
      <c r="N27" s="79">
        <f>COUNTIFS('MARE MX'!$K:$K,"SMB",'MARE MX'!$AQ:$AQ,"*OK*")</f>
        <v>4</v>
      </c>
      <c r="P27" s="83" t="s">
        <v>42</v>
      </c>
      <c r="Q27" s="77">
        <f>COUNTIFS('MARE MX'!$K:$K,"ENTERPRISE",'MARE MX'!$Y:$Y,"Agrícola",'MARE MX'!$AQ:$AQ,"*OK*")</f>
        <v>0</v>
      </c>
      <c r="R27" s="77">
        <f>COUNTIFS('MARE MX'!$K:$K,"ENTERPRISE",'MARE MX'!$Y:$Y,"Automotriz",'MARE MX'!$AQ:$AQ,"*OK*")</f>
        <v>0</v>
      </c>
      <c r="S27" s="77">
        <f>COUNTIFS('MARE MX'!$K:$K,"ENTERPRISE",'MARE MX'!$Y:$Y,"Banca y Finanzas",'MARE MX'!$AQ:$AQ,"*OK*")</f>
        <v>0</v>
      </c>
      <c r="T27" s="77">
        <f>COUNTIFS('MARE MX'!$K:$K,"ENTERPRISE",'MARE MX'!$Y:$Y,"Construcción",'MARE MX'!$AQ:$AQ,"*OK*")</f>
        <v>0</v>
      </c>
      <c r="U27" s="77">
        <f>COUNTIFS('MARE MX'!$K:$K,"ENTERPRISE",'MARE MX'!$Y:$Y,"Educación",'MARE MX'!$AQ:$AQ,"*OK*")</f>
        <v>0</v>
      </c>
      <c r="V27" s="77">
        <f>COUNTIFS('MARE MX'!$K:$K,"ENTERPRISE",'MARE MX'!$Y:$Y,"Energía",'MARE MX'!$AQ:$AQ,"*OK*")</f>
        <v>0</v>
      </c>
      <c r="W27" s="77">
        <f>COUNTIFS('MARE MX'!$K:$K,"ENTERPRISE",'MARE MX'!$Y:$Y,"Gobierno",'MARE MX'!$AQ:$AQ,"*OK*")</f>
        <v>0</v>
      </c>
      <c r="X27" s="77">
        <f>COUNTIFS('MARE MX'!$K:$K,"ENTERPRISE",'MARE MX'!$Y:$Y,"Logística",'MARE MX'!$AQ:$AQ,"*OK*")</f>
        <v>1</v>
      </c>
      <c r="Y27" s="77">
        <f>COUNTIFS('MARE MX'!$K:$K,"ENTERPRISE",'MARE MX'!$Y:$Y,"Manufactura",'MARE MX'!$AQ:$AQ,"*OK*")</f>
        <v>5</v>
      </c>
      <c r="Z27" s="77">
        <f>COUNTIFS('MARE MX'!$K:$K,"ENTERPRISE",'MARE MX'!$Y:$Y,"Outsourcing",'MARE MX'!$AQ:$AQ,"*OK*")</f>
        <v>0</v>
      </c>
      <c r="AA27" s="77">
        <f>COUNTIFS('MARE MX'!$K:$K,"ENTERPRISE",'MARE MX'!$Y:$Y,"Retail",'MARE MX'!$AQ:$AQ,"*OK*")</f>
        <v>2</v>
      </c>
      <c r="AB27" s="77">
        <f>COUNTIFS('MARE MX'!$K:$K,"ENTERPRISE",'MARE MX'!$Y:$Y,"Salud",'MARE MX'!$AQ:$AQ,"*OK*")</f>
        <v>0</v>
      </c>
      <c r="AC27" s="77">
        <f>COUNTIFS('MARE MX'!$K:$K,"ENTERPRISE",'MARE MX'!$Y:$Y,"Seguridad Privada",'MARE MX'!$AQ:$AQ,"*OK*")</f>
        <v>0</v>
      </c>
      <c r="AD27" s="77">
        <f>COUNTIFS('MARE MX'!$K:$K,"ENTERPRISE",'MARE MX'!$Y:$Y,"Servicios",'MARE MX'!$AQ:$AQ,"*OK*")</f>
        <v>0</v>
      </c>
      <c r="AE27" s="77">
        <f>COUNTIFS('MARE MX'!$K:$K,"ENTERPRISE",'MARE MX'!$Y:$Y,"Tecnología",'MARE MX'!$AQ:$AQ,"*OK*")</f>
        <v>0</v>
      </c>
      <c r="AF27" s="77">
        <f>COUNTIFS('MARE MX'!$K:$K,"ENTERPRISE",'MARE MX'!$Y:$Y,"Transporte",'MARE MX'!$AQ:$AQ,"*OK*")</f>
        <v>1</v>
      </c>
      <c r="AG27" s="77">
        <f>COUNTIFS('MARE MX'!$K:$K,"ENTERPRISE",'MARE MX'!$Y:$Y,"Turismo y Gastronomía",'MARE MX'!$AQ:$AQ,"*OK*")</f>
        <v>0</v>
      </c>
      <c r="AP27" s="90"/>
      <c r="AQ27" s="90"/>
      <c r="AR27" s="90"/>
      <c r="AS27" s="90"/>
      <c r="AT27" s="90"/>
      <c r="AU27" s="90"/>
      <c r="AV27" s="90"/>
      <c r="AW27" s="90"/>
      <c r="AX27" s="90"/>
      <c r="AY27" s="90"/>
      <c r="AZ27" s="90"/>
      <c r="BA27" s="90"/>
      <c r="BB27" s="90"/>
      <c r="BC27" s="90"/>
    </row>
    <row r="28" spans="1:61" ht="14.25" customHeight="1">
      <c r="G28" t="s">
        <v>525</v>
      </c>
      <c r="H28">
        <v>1</v>
      </c>
      <c r="J28" s="43">
        <v>142.02889999999999</v>
      </c>
      <c r="L28" s="77" t="s">
        <v>43</v>
      </c>
      <c r="M28" s="79">
        <f>COUNTIFS('MARE MX'!$K:$K,"ENTERPRISE",'MARE MX'!$AR:$AR,"*OK*")</f>
        <v>0</v>
      </c>
      <c r="N28" s="79">
        <f>COUNTIFS('MARE MX'!$K:$K,"SMB",'MARE MX'!$AR:$AR,"*OK*")</f>
        <v>0</v>
      </c>
      <c r="P28" s="83" t="s">
        <v>43</v>
      </c>
      <c r="Q28" s="77">
        <f>COUNTIFS('MARE MX'!$K:$K,"ENTERPRISE",'MARE MX'!$Y:$Y,"Agrícola",'MARE MX'!$AR:$AR,"*OK*")</f>
        <v>0</v>
      </c>
      <c r="R28" s="77">
        <f>COUNTIFS('MARE MX'!$K:$K,"ENTERPRISE",'MARE MX'!$Y:$Y,"Automotriz",'MARE MX'!$AR:$AR,"*OK*")</f>
        <v>0</v>
      </c>
      <c r="S28" s="77">
        <f>COUNTIFS('MARE MX'!$K:$K,"ENTERPRISE",'MARE MX'!$Y:$Y,"Banca y Finanzas",'MARE MX'!$AR:$AR,"*OK*")</f>
        <v>0</v>
      </c>
      <c r="T28" s="77">
        <f>COUNTIFS('MARE MX'!$K:$K,"ENTERPRISE",'MARE MX'!$Y:$Y,"Construcción",'MARE MX'!$AR:$AR,"*OK*")</f>
        <v>0</v>
      </c>
      <c r="U28" s="77">
        <f>COUNTIFS('MARE MX'!$K:$K,"ENTERPRISE",'MARE MX'!$Y:$Y,"Educación",'MARE MX'!$AR:$AR,"*OK*")</f>
        <v>0</v>
      </c>
      <c r="V28" s="77">
        <f>COUNTIFS('MARE MX'!$K:$K,"ENTERPRISE",'MARE MX'!$Y:$Y,"Energía",'MARE MX'!$AR:$AR,"*OK*")</f>
        <v>0</v>
      </c>
      <c r="W28" s="77">
        <f>COUNTIFS('MARE MX'!$K:$K,"ENTERPRISE",'MARE MX'!$Y:$Y,"Gobierno",'MARE MX'!$AR:$AR,"*OK*")</f>
        <v>0</v>
      </c>
      <c r="X28" s="77">
        <f>COUNTIFS('MARE MX'!$K:$K,"ENTERPRISE",'MARE MX'!$Y:$Y,"Logística",'MARE MX'!$AR:$AR,"*OK*")</f>
        <v>0</v>
      </c>
      <c r="Y28" s="77">
        <f>COUNTIFS('MARE MX'!$K:$K,"ENTERPRISE",'MARE MX'!$Y:$Y,"Manufactura",'MARE MX'!$AR:$AR,"*OK*")</f>
        <v>0</v>
      </c>
      <c r="Z28" s="77">
        <f>COUNTIFS('MARE MX'!$K:$K,"ENTERPRISE",'MARE MX'!$Y:$Y,"Outsourcing",'MARE MX'!$AR:$AR,"*OK*")</f>
        <v>0</v>
      </c>
      <c r="AA28" s="77">
        <f>COUNTIFS('MARE MX'!$K:$K,"ENTERPRISE",'MARE MX'!$Y:$Y,"Retail",'MARE MX'!$AR:$AR,"*OK*")</f>
        <v>0</v>
      </c>
      <c r="AB28" s="77">
        <f>COUNTIFS('MARE MX'!$K:$K,"ENTERPRISE",'MARE MX'!$Y:$Y,"Salud",'MARE MX'!$AR:$AR,"*OK*")</f>
        <v>0</v>
      </c>
      <c r="AC28" s="77">
        <f>COUNTIFS('MARE MX'!$K:$K,"ENTERPRISE",'MARE MX'!$Y:$Y,"Seguridad Privada",'MARE MX'!$AR:$AR,"*OK*")</f>
        <v>0</v>
      </c>
      <c r="AD28" s="77">
        <f>COUNTIFS('MARE MX'!$K:$K,"ENTERPRISE",'MARE MX'!$Y:$Y,"Servicios",'MARE MX'!$AR:$AR,"*OK*")</f>
        <v>0</v>
      </c>
      <c r="AE28" s="77">
        <f>COUNTIFS('MARE MX'!$K:$K,"ENTERPRISE",'MARE MX'!$Y:$Y,"Tecnología",'MARE MX'!$AR:$AR,"*OK*")</f>
        <v>0</v>
      </c>
      <c r="AF28" s="77">
        <f>COUNTIFS('MARE MX'!$K:$K,"ENTERPRISE",'MARE MX'!$Y:$Y,"Transporte",'MARE MX'!$AR:$AR,"*OK*")</f>
        <v>0</v>
      </c>
      <c r="AG28" s="77">
        <f>COUNTIFS('MARE MX'!$K:$K,"ENTERPRISE",'MARE MX'!$Y:$Y,"Turismo y Gastronomía",'MARE MX'!$AR:$AR,"*OK*")</f>
        <v>0</v>
      </c>
      <c r="AP28" s="90"/>
      <c r="AQ28" s="90"/>
      <c r="AR28" s="90"/>
      <c r="AS28" s="90"/>
      <c r="AT28" s="90"/>
      <c r="AU28" s="90"/>
      <c r="AV28" s="90"/>
      <c r="AW28" s="90"/>
      <c r="AX28" s="90"/>
      <c r="AY28" s="90"/>
      <c r="AZ28" s="90"/>
      <c r="BA28" s="90"/>
      <c r="BB28" s="90"/>
      <c r="BC28" s="90"/>
    </row>
    <row r="29" spans="1:61" ht="14.25" customHeight="1">
      <c r="D29" s="43"/>
      <c r="G29" t="s">
        <v>97</v>
      </c>
      <c r="H29">
        <v>26</v>
      </c>
      <c r="J29" s="43">
        <v>6669.9067999999997</v>
      </c>
      <c r="L29" s="77" t="s">
        <v>44</v>
      </c>
      <c r="M29" s="79">
        <f>COUNTIFS('MARE MX'!$K:$K,"ENTERPRISE",'MARE MX'!$AS:$AS,"*OK*")</f>
        <v>0</v>
      </c>
      <c r="N29" s="79">
        <f>COUNTIFS('MARE MX'!$K:$K,"SMB",'MARE MX'!$AS:$AS,"*OK*")</f>
        <v>0</v>
      </c>
      <c r="P29" s="83" t="s">
        <v>44</v>
      </c>
      <c r="Q29" s="77">
        <f>COUNTIFS('MARE MX'!$K:$K,"ENTERPRISE",'MARE MX'!$Y:$Y,"Agrícola",'MARE MX'!$AS:$AS,"*OK*")</f>
        <v>0</v>
      </c>
      <c r="R29" s="77">
        <f>COUNTIFS('MARE MX'!$K:$K,"ENTERPRISE",'MARE MX'!$Y:$Y,"Automotriz",'MARE MX'!$AS:$AS,"*OK*")</f>
        <v>0</v>
      </c>
      <c r="S29" s="77">
        <f>COUNTIFS('MARE MX'!$K:$K,"ENTERPRISE",'MARE MX'!$Y:$Y,"Banca y Finanzas",'MARE MX'!$AS:$AS,"*OK*")</f>
        <v>0</v>
      </c>
      <c r="T29" s="77">
        <f>COUNTIFS('MARE MX'!$K:$K,"ENTERPRISE",'MARE MX'!$Y:$Y,"Construcción",'MARE MX'!$AS:$AS,"*OK*")</f>
        <v>0</v>
      </c>
      <c r="U29" s="77">
        <f>COUNTIFS('MARE MX'!$K:$K,"ENTERPRISE",'MARE MX'!$Y:$Y,"Educación",'MARE MX'!$AS:$AS,"*OK*")</f>
        <v>0</v>
      </c>
      <c r="V29" s="77">
        <f>COUNTIFS('MARE MX'!$K:$K,"ENTERPRISE",'MARE MX'!$Y:$Y,"Energía",'MARE MX'!$AS:$AS,"*OK*")</f>
        <v>0</v>
      </c>
      <c r="W29" s="77">
        <f>COUNTIFS('MARE MX'!$K:$K,"ENTERPRISE",'MARE MX'!$Y:$Y,"Gobierno",'MARE MX'!$AS:$AS,"*OK*")</f>
        <v>0</v>
      </c>
      <c r="X29" s="77">
        <f>COUNTIFS('MARE MX'!$K:$K,"ENTERPRISE",'MARE MX'!$Y:$Y,"Logística",'MARE MX'!$AS:$AS,"*OK*")</f>
        <v>0</v>
      </c>
      <c r="Y29" s="77">
        <f>COUNTIFS('MARE MX'!$K:$K,"ENTERPRISE",'MARE MX'!$Y:$Y,"Manufactura",'MARE MX'!$AS:$AS,"*OK*")</f>
        <v>0</v>
      </c>
      <c r="Z29" s="77">
        <f>COUNTIFS('MARE MX'!$K:$K,"ENTERPRISE",'MARE MX'!$Y:$Y,"Outsourcing",'MARE MX'!$AS:$AS,"*OK*")</f>
        <v>0</v>
      </c>
      <c r="AA29" s="77">
        <f>COUNTIFS('MARE MX'!$K:$K,"ENTERPRISE",'MARE MX'!$Y:$Y,"Retail",'MARE MX'!$AS:$AS,"*OK*")</f>
        <v>0</v>
      </c>
      <c r="AB29" s="77">
        <f>COUNTIFS('MARE MX'!$K:$K,"ENTERPRISE",'MARE MX'!$Y:$Y,"Salud",'MARE MX'!$AS:$AS,"*OK*")</f>
        <v>0</v>
      </c>
      <c r="AC29" s="77">
        <f>COUNTIFS('MARE MX'!$K:$K,"ENTERPRISE",'MARE MX'!$Y:$Y,"Seguridad Privada",'MARE MX'!$AS:$AS,"*OK*")</f>
        <v>0</v>
      </c>
      <c r="AD29" s="77">
        <f>COUNTIFS('MARE MX'!$K:$K,"ENTERPRISE",'MARE MX'!$Y:$Y,"Servicios",'MARE MX'!$AS:$AS,"*OK*")</f>
        <v>0</v>
      </c>
      <c r="AE29" s="77">
        <f>COUNTIFS('MARE MX'!$K:$K,"ENTERPRISE",'MARE MX'!$Y:$Y,"Tecnología",'MARE MX'!$AS:$AS,"*OK*")</f>
        <v>0</v>
      </c>
      <c r="AF29" s="77">
        <f>COUNTIFS('MARE MX'!$K:$K,"ENTERPRISE",'MARE MX'!$Y:$Y,"Transporte",'MARE MX'!$AS:$AS,"*OK*")</f>
        <v>0</v>
      </c>
      <c r="AG29" s="77">
        <f>COUNTIFS('MARE MX'!$K:$K,"ENTERPRISE",'MARE MX'!$Y:$Y,"Turismo y Gastronomía",'MARE MX'!$AS:$AS,"*OK*")</f>
        <v>0</v>
      </c>
      <c r="AP29" s="90"/>
      <c r="AQ29" s="90"/>
      <c r="AR29" s="90"/>
      <c r="AS29" s="90"/>
      <c r="AT29" s="90"/>
      <c r="AU29" s="90"/>
      <c r="AV29" s="90"/>
      <c r="AW29" s="90"/>
      <c r="AX29" s="90"/>
      <c r="AY29" s="90"/>
      <c r="AZ29" s="90"/>
      <c r="BA29" s="90"/>
      <c r="BB29" s="90"/>
      <c r="BC29" s="90"/>
    </row>
    <row r="30" spans="1:61" ht="14.25" customHeight="1">
      <c r="A30" s="42" t="s">
        <v>10</v>
      </c>
      <c r="B30" t="s">
        <v>68</v>
      </c>
      <c r="D30" s="43"/>
      <c r="G30" t="s">
        <v>572</v>
      </c>
      <c r="H30">
        <v>5</v>
      </c>
      <c r="J30" s="43">
        <v>1210.5227</v>
      </c>
      <c r="L30" s="77" t="s">
        <v>45</v>
      </c>
      <c r="M30" s="79">
        <f>COUNTIFS('MARE MX'!$K:$K,"ENTERPRISE",'MARE MX'!$AT:$AT,"*OK*")</f>
        <v>1</v>
      </c>
      <c r="N30" s="79">
        <f>COUNTIFS('MARE MX'!$K:$K,"SMB",'MARE MX'!$AT:$AT,"*OK*")</f>
        <v>2</v>
      </c>
      <c r="P30" s="83" t="s">
        <v>45</v>
      </c>
      <c r="Q30" s="77">
        <f>COUNTIFS('MARE MX'!$K:$K,"ENTERPRISE",'MARE MX'!$Y:$Y,"Agrícola",'MARE MX'!$AT:$AT,"*OK*")</f>
        <v>0</v>
      </c>
      <c r="R30" s="77">
        <f>COUNTIFS('MARE MX'!$K:$K,"ENTERPRISE",'MARE MX'!$Y:$Y,"Automotriz",'MARE MX'!$AT:$AT,"*OK*")</f>
        <v>0</v>
      </c>
      <c r="S30" s="77">
        <f>COUNTIFS('MARE MX'!$K:$K,"ENTERPRISE",'MARE MX'!$Y:$Y,"Banca y Finanzas",'MARE MX'!$AT:$AT,"*OK*")</f>
        <v>0</v>
      </c>
      <c r="T30" s="77">
        <f>COUNTIFS('MARE MX'!$K:$K,"ENTERPRISE",'MARE MX'!$Y:$Y,"Construcción",'MARE MX'!$AT:$AT,"*OK*")</f>
        <v>0</v>
      </c>
      <c r="U30" s="77">
        <f>COUNTIFS('MARE MX'!$K:$K,"ENTERPRISE",'MARE MX'!$Y:$Y,"Educación",'MARE MX'!$AT:$AT,"*OK*")</f>
        <v>0</v>
      </c>
      <c r="V30" s="77">
        <f>COUNTIFS('MARE MX'!$K:$K,"ENTERPRISE",'MARE MX'!$Y:$Y,"Energía",'MARE MX'!$AT:$AT,"*OK*")</f>
        <v>0</v>
      </c>
      <c r="W30" s="77">
        <f>COUNTIFS('MARE MX'!$K:$K,"ENTERPRISE",'MARE MX'!$Y:$Y,"Gobierno",'MARE MX'!$AT:$AT,"*OK*")</f>
        <v>0</v>
      </c>
      <c r="X30" s="77">
        <f>COUNTIFS('MARE MX'!$K:$K,"ENTERPRISE",'MARE MX'!$Y:$Y,"Logística",'MARE MX'!$AT:$AT,"*OK*")</f>
        <v>0</v>
      </c>
      <c r="Y30" s="77">
        <f>COUNTIFS('MARE MX'!$K:$K,"ENTERPRISE",'MARE MX'!$Y:$Y,"Manufactura",'MARE MX'!$AT:$AT,"*OK*")</f>
        <v>0</v>
      </c>
      <c r="Z30" s="77">
        <f>COUNTIFS('MARE MX'!$K:$K,"ENTERPRISE",'MARE MX'!$Y:$Y,"Outsourcing",'MARE MX'!$AT:$AT,"*OK*")</f>
        <v>1</v>
      </c>
      <c r="AA30" s="77">
        <f>COUNTIFS('MARE MX'!$K:$K,"ENTERPRISE",'MARE MX'!$Y:$Y,"Retail",'MARE MX'!$AT:$AT,"*OK*")</f>
        <v>0</v>
      </c>
      <c r="AB30" s="77">
        <f>COUNTIFS('MARE MX'!$K:$K,"ENTERPRISE",'MARE MX'!$Y:$Y,"Salud",'MARE MX'!$AT:$AT,"*OK*")</f>
        <v>0</v>
      </c>
      <c r="AC30" s="77">
        <f>COUNTIFS('MARE MX'!$K:$K,"ENTERPRISE",'MARE MX'!$Y:$Y,"Seguridad Privada",'MARE MX'!$AT:$AT,"*OK*")</f>
        <v>0</v>
      </c>
      <c r="AD30" s="77">
        <f>COUNTIFS('MARE MX'!$K:$K,"ENTERPRISE",'MARE MX'!$Y:$Y,"Servicios",'MARE MX'!$AT:$AT,"*OK*")</f>
        <v>0</v>
      </c>
      <c r="AE30" s="77">
        <f>COUNTIFS('MARE MX'!$K:$K,"ENTERPRISE",'MARE MX'!$Y:$Y,"Tecnología",'MARE MX'!$AT:$AT,"*OK*")</f>
        <v>0</v>
      </c>
      <c r="AF30" s="77">
        <f>COUNTIFS('MARE MX'!$K:$K,"ENTERPRISE",'MARE MX'!$Y:$Y,"Transporte",'MARE MX'!$AT:$AT,"*OK*")</f>
        <v>0</v>
      </c>
      <c r="AG30" s="77">
        <f>COUNTIFS('MARE MX'!$K:$K,"ENTERPRISE",'MARE MX'!$Y:$Y,"Turismo y Gastronomía",'MARE MX'!$AT:$AT,"*OK*")</f>
        <v>0</v>
      </c>
      <c r="AP30" s="90"/>
      <c r="AQ30" s="90"/>
      <c r="AR30" s="90"/>
      <c r="AS30" s="90"/>
      <c r="AT30" s="90"/>
      <c r="AU30" s="90"/>
      <c r="AV30" s="90"/>
      <c r="AW30" s="90"/>
      <c r="AX30" s="90"/>
      <c r="AY30" s="90"/>
      <c r="AZ30" s="90"/>
      <c r="BA30" s="90"/>
      <c r="BB30" s="90"/>
      <c r="BC30" s="90"/>
    </row>
    <row r="31" spans="1:61">
      <c r="A31" s="22"/>
      <c r="D31" s="43"/>
      <c r="G31" t="s">
        <v>92</v>
      </c>
      <c r="H31">
        <v>27</v>
      </c>
      <c r="J31" s="43">
        <v>5235.6856999999991</v>
      </c>
      <c r="L31" s="77" t="s">
        <v>46</v>
      </c>
      <c r="M31" s="79">
        <f>COUNTIFS('MARE MX'!$K:$K,"ENTERPRISE",'MARE MX'!$AU:$AU,"*OK*")</f>
        <v>1</v>
      </c>
      <c r="N31" s="79">
        <f>COUNTIFS('MARE MX'!$K:$K,"SMB",'MARE MX'!$AU:$AU,"*OK*")</f>
        <v>0</v>
      </c>
      <c r="P31" s="83" t="s">
        <v>46</v>
      </c>
      <c r="Q31" s="77">
        <f>COUNTIFS('MARE MX'!$K:$K,"ENTERPRISE",'MARE MX'!$Y:$Y,"Agrícola",'MARE MX'!$AU:$AU,"*OK*")</f>
        <v>0</v>
      </c>
      <c r="R31" s="77">
        <f>COUNTIFS('MARE MX'!$K:$K,"ENTERPRISE",'MARE MX'!$Y:$Y,"Automotriz",'MARE MX'!$AU:$AU,"*OK*")</f>
        <v>0</v>
      </c>
      <c r="S31" s="77">
        <f>COUNTIFS('MARE MX'!$K:$K,"ENTERPRISE",'MARE MX'!$Y:$Y,"Banca y Finanzas",'MARE MX'!$AU:$AU,"*OK*")</f>
        <v>0</v>
      </c>
      <c r="T31" s="77">
        <f>COUNTIFS('MARE MX'!$K:$K,"ENTERPRISE",'MARE MX'!$Y:$Y,"Construcción",'MARE MX'!$AU:$AU,"*OK*")</f>
        <v>0</v>
      </c>
      <c r="U31" s="77">
        <f>COUNTIFS('MARE MX'!$K:$K,"ENTERPRISE",'MARE MX'!$Y:$Y,"Educación",'MARE MX'!$AU:$AU,"*OK*")</f>
        <v>0</v>
      </c>
      <c r="V31" s="77">
        <f>COUNTIFS('MARE MX'!$K:$K,"ENTERPRISE",'MARE MX'!$Y:$Y,"Energía",'MARE MX'!$AU:$AU,"*OK*")</f>
        <v>0</v>
      </c>
      <c r="W31" s="77">
        <f>COUNTIFS('MARE MX'!$K:$K,"ENTERPRISE",'MARE MX'!$Y:$Y,"Gobierno",'MARE MX'!$AU:$AU,"*OK*")</f>
        <v>0</v>
      </c>
      <c r="X31" s="77">
        <f>COUNTIFS('MARE MX'!$K:$K,"ENTERPRISE",'MARE MX'!$Y:$Y,"Logística",'MARE MX'!$AU:$AU,"*OK*")</f>
        <v>0</v>
      </c>
      <c r="Y31" s="77">
        <f>COUNTIFS('MARE MX'!$K:$K,"ENTERPRISE",'MARE MX'!$Y:$Y,"Manufactura",'MARE MX'!$AU:$AU,"*OK*")</f>
        <v>1</v>
      </c>
      <c r="Z31" s="77">
        <f>COUNTIFS('MARE MX'!$K:$K,"ENTERPRISE",'MARE MX'!$Y:$Y,"Outsourcing",'MARE MX'!$AU:$AU,"*OK*")</f>
        <v>0</v>
      </c>
      <c r="AA31" s="77">
        <f>COUNTIFS('MARE MX'!$K:$K,"ENTERPRISE",'MARE MX'!$Y:$Y,"Retail",'MARE MX'!$AU:$AU,"*OK*")</f>
        <v>0</v>
      </c>
      <c r="AB31" s="77">
        <f>COUNTIFS('MARE MX'!$K:$K,"ENTERPRISE",'MARE MX'!$Y:$Y,"Salud",'MARE MX'!$AU:$AU,"*OK*")</f>
        <v>0</v>
      </c>
      <c r="AC31" s="77">
        <f>COUNTIFS('MARE MX'!$K:$K,"ENTERPRISE",'MARE MX'!$Y:$Y,"Seguridad Privada",'MARE MX'!$AU:$AU,"*OK*")</f>
        <v>0</v>
      </c>
      <c r="AD31" s="77">
        <f>COUNTIFS('MARE MX'!$K:$K,"ENTERPRISE",'MARE MX'!$Y:$Y,"Servicios",'MARE MX'!$AU:$AU,"*OK*")</f>
        <v>0</v>
      </c>
      <c r="AE31" s="77">
        <f>COUNTIFS('MARE MX'!$K:$K,"ENTERPRISE",'MARE MX'!$Y:$Y,"Tecnología",'MARE MX'!$AU:$AU,"*OK*")</f>
        <v>0</v>
      </c>
      <c r="AF31" s="77">
        <f>COUNTIFS('MARE MX'!$K:$K,"ENTERPRISE",'MARE MX'!$Y:$Y,"Transporte",'MARE MX'!$AU:$AU,"*OK*")</f>
        <v>0</v>
      </c>
      <c r="AG31" s="77">
        <f>COUNTIFS('MARE MX'!$K:$K,"ENTERPRISE",'MARE MX'!$Y:$Y,"Turismo y Gastronomía",'MARE MX'!$AU:$AU,"*OK*")</f>
        <v>0</v>
      </c>
      <c r="AJ31" s="601" t="s">
        <v>1406</v>
      </c>
      <c r="AK31" s="601"/>
      <c r="AL31" s="601"/>
      <c r="AM31" s="601"/>
      <c r="AN31" s="601"/>
      <c r="AP31" s="601" t="s">
        <v>1407</v>
      </c>
      <c r="AQ31" s="601"/>
      <c r="AR31" s="601"/>
      <c r="AS31" s="601"/>
      <c r="AT31" s="601"/>
      <c r="AU31" s="601"/>
      <c r="AV31" s="601"/>
      <c r="AW31" s="90"/>
      <c r="AX31" s="599" t="s">
        <v>1408</v>
      </c>
      <c r="AY31" s="599"/>
      <c r="AZ31" s="599"/>
      <c r="BA31" s="599"/>
      <c r="BB31" s="599"/>
      <c r="BC31" s="599"/>
      <c r="BE31" s="600" t="s">
        <v>1409</v>
      </c>
      <c r="BF31" s="600"/>
      <c r="BG31" s="89"/>
    </row>
    <row r="32" spans="1:61" s="22" customFormat="1" ht="45.2">
      <c r="A32" s="45" t="s">
        <v>28</v>
      </c>
      <c r="B32" s="22" t="s">
        <v>1396</v>
      </c>
      <c r="C32" s="22" t="s">
        <v>1397</v>
      </c>
      <c r="D32" s="46" t="s">
        <v>1398</v>
      </c>
      <c r="F32"/>
      <c r="G32" t="s">
        <v>521</v>
      </c>
      <c r="H32">
        <v>2</v>
      </c>
      <c r="I32"/>
      <c r="J32" s="43">
        <v>386.09949999999998</v>
      </c>
      <c r="L32" s="77" t="s">
        <v>47</v>
      </c>
      <c r="M32" s="79">
        <f>COUNTIFS('MARE MX'!$K:$K,"ENTERPRISE",'MARE MX'!$AV:$AV,"*OK*")</f>
        <v>0</v>
      </c>
      <c r="N32" s="79">
        <f>COUNTIFS('MARE MX'!$K:$K,"SMB",'MARE MX'!$AV:$AV,"*OK*")</f>
        <v>0</v>
      </c>
      <c r="P32" s="83" t="s">
        <v>47</v>
      </c>
      <c r="Q32" s="77">
        <f>COUNTIFS('MARE MX'!$K:$K,"ENTERPRISE",'MARE MX'!$Y:$Y,"Agrícola",'MARE MX'!$AV:$AV,"*OK*")</f>
        <v>0</v>
      </c>
      <c r="R32" s="77">
        <f>COUNTIFS('MARE MX'!$K:$K,"ENTERPRISE",'MARE MX'!$Y:$Y,"Automotriz",'MARE MX'!$AV:$AV,"*OK*")</f>
        <v>0</v>
      </c>
      <c r="S32" s="77">
        <f>COUNTIFS('MARE MX'!$K:$K,"ENTERPRISE",'MARE MX'!$Y:$Y,"Banca y Finanzas",'MARE MX'!$AV:$AV,"*OK*")</f>
        <v>0</v>
      </c>
      <c r="T32" s="77">
        <f>COUNTIFS('MARE MX'!$K:$K,"ENTERPRISE",'MARE MX'!$Y:$Y,"Construcción",'MARE MX'!$AV:$AV,"*OK*")</f>
        <v>0</v>
      </c>
      <c r="U32" s="77">
        <f>COUNTIFS('MARE MX'!$K:$K,"ENTERPRISE",'MARE MX'!$Y:$Y,"Educación",'MARE MX'!$AV:$AV,"*OK*")</f>
        <v>0</v>
      </c>
      <c r="V32" s="77">
        <f>COUNTIFS('MARE MX'!$K:$K,"ENTERPRISE",'MARE MX'!$Y:$Y,"Energía",'MARE MX'!$AV:$AV,"*OK*")</f>
        <v>0</v>
      </c>
      <c r="W32" s="77">
        <f>COUNTIFS('MARE MX'!$K:$K,"ENTERPRISE",'MARE MX'!$Y:$Y,"Gobierno",'MARE MX'!$AV:$AV,"*OK*")</f>
        <v>0</v>
      </c>
      <c r="X32" s="77">
        <f>COUNTIFS('MARE MX'!$K:$K,"ENTERPRISE",'MARE MX'!$Y:$Y,"Logística",'MARE MX'!$AV:$AV,"*OK*")</f>
        <v>0</v>
      </c>
      <c r="Y32" s="77">
        <f>COUNTIFS('MARE MX'!$K:$K,"ENTERPRISE",'MARE MX'!$Y:$Y,"Manufactura",'MARE MX'!$AV:$AV,"*OK*")</f>
        <v>0</v>
      </c>
      <c r="Z32" s="77">
        <f>COUNTIFS('MARE MX'!$K:$K,"ENTERPRISE",'MARE MX'!$Y:$Y,"Outsourcing",'MARE MX'!$AV:$AV,"*OK*")</f>
        <v>0</v>
      </c>
      <c r="AA32" s="77">
        <f>COUNTIFS('MARE MX'!$K:$K,"ENTERPRISE",'MARE MX'!$Y:$Y,"Retail",'MARE MX'!$AV:$AV,"*OK*")</f>
        <v>0</v>
      </c>
      <c r="AB32" s="77">
        <f>COUNTIFS('MARE MX'!$K:$K,"ENTERPRISE",'MARE MX'!$Y:$Y,"Salud",'MARE MX'!$AV:$AV,"*OK*")</f>
        <v>0</v>
      </c>
      <c r="AC32" s="77">
        <f>COUNTIFS('MARE MX'!$K:$K,"ENTERPRISE",'MARE MX'!$Y:$Y,"Seguridad Privada",'MARE MX'!$AV:$AV,"*OK*")</f>
        <v>0</v>
      </c>
      <c r="AD32" s="77">
        <f>COUNTIFS('MARE MX'!$K:$K,"ENTERPRISE",'MARE MX'!$Y:$Y,"Servicios",'MARE MX'!$AV:$AV,"*OK*")</f>
        <v>0</v>
      </c>
      <c r="AE32" s="77">
        <f>COUNTIFS('MARE MX'!$K:$K,"ENTERPRISE",'MARE MX'!$Y:$Y,"Tecnología",'MARE MX'!$AV:$AV,"*OK*")</f>
        <v>0</v>
      </c>
      <c r="AF32" s="77">
        <f>COUNTIFS('MARE MX'!$K:$K,"ENTERPRISE",'MARE MX'!$Y:$Y,"Transporte",'MARE MX'!$AV:$AV,"*OK*")</f>
        <v>0</v>
      </c>
      <c r="AG32" s="77">
        <f>COUNTIFS('MARE MX'!$K:$K,"ENTERPRISE",'MARE MX'!$Y:$Y,"Turismo y Gastronomía",'MARE MX'!$AV:$AV,"*OK*")</f>
        <v>0</v>
      </c>
      <c r="AJ32" s="88" t="s">
        <v>1393</v>
      </c>
      <c r="AK32" s="88" t="s">
        <v>79</v>
      </c>
      <c r="AL32" s="88" t="s">
        <v>1394</v>
      </c>
      <c r="AM32" s="88" t="s">
        <v>68</v>
      </c>
      <c r="AN32" s="88" t="s">
        <v>1395</v>
      </c>
      <c r="AO32"/>
      <c r="AP32" s="91" t="s">
        <v>1393</v>
      </c>
      <c r="AQ32" s="91" t="s">
        <v>69</v>
      </c>
      <c r="AR32" s="91" t="s">
        <v>456</v>
      </c>
      <c r="AS32" s="91" t="s">
        <v>1106</v>
      </c>
      <c r="AT32" s="91" t="s">
        <v>733</v>
      </c>
      <c r="AU32" s="91" t="s">
        <v>449</v>
      </c>
      <c r="AV32" s="91" t="s">
        <v>1355</v>
      </c>
      <c r="AW32" s="90"/>
      <c r="AX32" s="95" t="s">
        <v>1393</v>
      </c>
      <c r="AY32" s="95" t="s">
        <v>69</v>
      </c>
      <c r="AZ32" s="95" t="s">
        <v>456</v>
      </c>
      <c r="BA32" s="95" t="s">
        <v>1106</v>
      </c>
      <c r="BB32" s="95" t="s">
        <v>733</v>
      </c>
      <c r="BC32" s="95" t="s">
        <v>1355</v>
      </c>
      <c r="BE32" s="76" t="s">
        <v>1399</v>
      </c>
      <c r="BF32" s="76" t="s">
        <v>79</v>
      </c>
      <c r="BG32" s="76" t="s">
        <v>1410</v>
      </c>
      <c r="BH32" s="76" t="s">
        <v>68</v>
      </c>
      <c r="BI32" s="76" t="s">
        <v>1410</v>
      </c>
    </row>
    <row r="33" spans="1:61" ht="14.25" customHeight="1">
      <c r="A33" t="s">
        <v>84</v>
      </c>
      <c r="B33">
        <v>22</v>
      </c>
      <c r="D33" s="43">
        <v>5430.0419999999995</v>
      </c>
      <c r="G33" t="s">
        <v>1401</v>
      </c>
      <c r="H33">
        <v>2</v>
      </c>
      <c r="J33" s="43">
        <v>0</v>
      </c>
      <c r="L33" s="77" t="s">
        <v>48</v>
      </c>
      <c r="M33" s="79">
        <f>COUNTIFS('MARE MX'!$K:$K,"ENTERPRISE",'MARE MX'!$AW:$AW,"*OK*")</f>
        <v>0</v>
      </c>
      <c r="N33" s="79">
        <f>COUNTIFS('MARE MX'!$K:$K,"SMB",'MARE MX'!$AW:$AW,"*OK*")</f>
        <v>0</v>
      </c>
      <c r="P33" s="83" t="s">
        <v>48</v>
      </c>
      <c r="Q33" s="77">
        <f>COUNTIFS('MARE MX'!$K:$K,"ENTERPRISE",'MARE MX'!$Y:$Y,"Agrícola",'MARE MX'!$AW:$AW,"*OK*")</f>
        <v>0</v>
      </c>
      <c r="R33" s="77">
        <f>COUNTIFS('MARE MX'!$K:$K,"ENTERPRISE",'MARE MX'!$Y:$Y,"Automotriz",'MARE MX'!$AW:$AW,"*OK*")</f>
        <v>0</v>
      </c>
      <c r="S33" s="77">
        <f>COUNTIFS('MARE MX'!$K:$K,"ENTERPRISE",'MARE MX'!$Y:$Y,"Banca y Finanzas",'MARE MX'!$AW:$AW,"*OK*")</f>
        <v>0</v>
      </c>
      <c r="T33" s="77">
        <f>COUNTIFS('MARE MX'!$K:$K,"ENTERPRISE",'MARE MX'!$Y:$Y,"Construcción",'MARE MX'!$AW:$AW,"*OK*")</f>
        <v>0</v>
      </c>
      <c r="U33" s="77">
        <f>COUNTIFS('MARE MX'!$K:$K,"ENTERPRISE",'MARE MX'!$Y:$Y,"Educación",'MARE MX'!$AW:$AW,"*OK*")</f>
        <v>0</v>
      </c>
      <c r="V33" s="77">
        <f>COUNTIFS('MARE MX'!$K:$K,"ENTERPRISE",'MARE MX'!$Y:$Y,"Energía",'MARE MX'!$AW:$AW,"*OK*")</f>
        <v>0</v>
      </c>
      <c r="W33" s="77">
        <f>COUNTIFS('MARE MX'!$K:$K,"ENTERPRISE",'MARE MX'!$Y:$Y,"Gobierno",'MARE MX'!$AW:$AW,"*OK*")</f>
        <v>0</v>
      </c>
      <c r="X33" s="77">
        <f>COUNTIFS('MARE MX'!$K:$K,"ENTERPRISE",'MARE MX'!$Y:$Y,"Logística",'MARE MX'!$AW:$AW,"*OK*")</f>
        <v>0</v>
      </c>
      <c r="Y33" s="77">
        <f>COUNTIFS('MARE MX'!$K:$K,"ENTERPRISE",'MARE MX'!$Y:$Y,"Manufactura",'MARE MX'!$AW:$AW,"*OK*")</f>
        <v>0</v>
      </c>
      <c r="Z33" s="77">
        <f>COUNTIFS('MARE MX'!$K:$K,"ENTERPRISE",'MARE MX'!$Y:$Y,"Outsourcing",'MARE MX'!$AW:$AW,"*OK*")</f>
        <v>0</v>
      </c>
      <c r="AA33" s="77">
        <f>COUNTIFS('MARE MX'!$K:$K,"ENTERPRISE",'MARE MX'!$Y:$Y,"Retail",'MARE MX'!$AW:$AW,"*OK*")</f>
        <v>0</v>
      </c>
      <c r="AB33" s="77">
        <f>COUNTIFS('MARE MX'!$K:$K,"ENTERPRISE",'MARE MX'!$Y:$Y,"Salud",'MARE MX'!$AW:$AW,"*OK*")</f>
        <v>0</v>
      </c>
      <c r="AC33" s="77">
        <f>COUNTIFS('MARE MX'!$K:$K,"ENTERPRISE",'MARE MX'!$Y:$Y,"Seguridad Privada",'MARE MX'!$AW:$AW,"*OK*")</f>
        <v>0</v>
      </c>
      <c r="AD33" s="77">
        <f>COUNTIFS('MARE MX'!$K:$K,"ENTERPRISE",'MARE MX'!$Y:$Y,"Servicios",'MARE MX'!$AW:$AW,"*OK*")</f>
        <v>0</v>
      </c>
      <c r="AE33" s="77">
        <f>COUNTIFS('MARE MX'!$K:$K,"ENTERPRISE",'MARE MX'!$Y:$Y,"Tecnología",'MARE MX'!$AW:$AW,"*OK*")</f>
        <v>0</v>
      </c>
      <c r="AF33" s="77">
        <f>COUNTIFS('MARE MX'!$K:$K,"ENTERPRISE",'MARE MX'!$Y:$Y,"Transporte",'MARE MX'!$AW:$AW,"*OK*")</f>
        <v>0</v>
      </c>
      <c r="AG33" s="77">
        <f>COUNTIFS('MARE MX'!$K:$K,"ENTERPRISE",'MARE MX'!$Y:$Y,"Turismo y Gastronomía",'MARE MX'!$AW:$AW,"*OK*")</f>
        <v>0</v>
      </c>
      <c r="AJ33">
        <v>0</v>
      </c>
      <c r="AK33">
        <f>COUNTIFS('MARE MX'!$K:$K,"ENTERPRISE",'MARE MX'!$CC:$CC,0)</f>
        <v>95</v>
      </c>
      <c r="AL33" s="58">
        <f>AK33/$AK$24</f>
        <v>0.73076923076923073</v>
      </c>
      <c r="AM33">
        <f>COUNTIFS('MARE MX'!$K:$K,"SMB",'MARE MX'!$CC:$CC,0)</f>
        <v>299</v>
      </c>
      <c r="AN33" s="58">
        <f>AM33/$AM$24</f>
        <v>0.89789789789789787</v>
      </c>
      <c r="AP33" s="92">
        <v>0</v>
      </c>
      <c r="AQ33" s="92">
        <f>COUNTIFS('MARE MX'!K:K,"ENTERPRISE",'MARE MX'!L:L,"Dafne de la Rosa",'MARE MX'!CC:CC,0)</f>
        <v>35</v>
      </c>
      <c r="AR33" s="92">
        <f>COUNTIFS('MARE MX'!K:K,"ENTERPRISE",'MARE MX'!L:L,"Karla Patiño",'MARE MX'!CC:CC,0)</f>
        <v>3</v>
      </c>
      <c r="AS33" s="92">
        <f>COUNTIFS('MARE MX'!K:K,"ENTERPRISE",'MARE MX'!L:L,"Raúl Campos",'MARE MX'!CC:CC,0)</f>
        <v>48</v>
      </c>
      <c r="AT33" s="92">
        <f>COUNTIFS('MARE MX'!K:K,"ENTERPRISE",'MARE MX'!L:L,"No Asignado",'MARE MX'!CC:CC,0)</f>
        <v>3</v>
      </c>
      <c r="AU33" s="92">
        <f>COUNTIFS('MARE MX'!K:K,"ENTERPRISE",'MARE MX'!L:L,"Implementando",'MARE MX'!CC:CC,0)</f>
        <v>4</v>
      </c>
      <c r="AV33" s="92">
        <f>SUM(AQ33:AU33)</f>
        <v>93</v>
      </c>
      <c r="AW33" s="90"/>
      <c r="AX33" s="90">
        <v>0</v>
      </c>
      <c r="AY33" s="96">
        <f>COUNTIFS('MARE MX'!$K:$K,"SMB",'MARE MX'!$L:$L,"Dafne de la Rosa",'MARE MX'!$CC:$CC,0)</f>
        <v>46</v>
      </c>
      <c r="AZ33" s="96">
        <f>COUNTIFS('MARE MX'!$K:$K,"SMB",'MARE MX'!$L:$L,"Karla Patiño",'MARE MX'!$CC:$CC,0)</f>
        <v>120</v>
      </c>
      <c r="BA33" s="96">
        <f>COUNTIFS('MARE MX'!$K:$K,"SMB",'MARE MX'!$L:$L,"Raúl Campos",'MARE MX'!$CC:$CC,0)</f>
        <v>8</v>
      </c>
      <c r="BB33" s="96">
        <f>COUNTIFS('MARE MX'!$K:$K,"SMB",'MARE MX'!$L:$L,"No Asignado",'MARE MX'!$CC:$CC,0)</f>
        <v>123</v>
      </c>
      <c r="BC33" s="96">
        <f>SUM(AY33:BB33)</f>
        <v>297</v>
      </c>
      <c r="BE33" s="77" t="s">
        <v>35</v>
      </c>
      <c r="BF33" s="79">
        <f>COUNTIFS('MARE MX'!$K:$K,"ENTERPRISE",'MARE MX'!$AJ:$AJ,"*OP*")</f>
        <v>7</v>
      </c>
      <c r="BG33" s="100">
        <f>BF33/$BF$49</f>
        <v>0.1206896551724138</v>
      </c>
      <c r="BH33" s="79">
        <f>COUNTIFS('MARE MX'!$K:$K,"SMB",'MARE MX'!$AJ:$AJ,"*OP*")</f>
        <v>3</v>
      </c>
      <c r="BI33" s="100">
        <f>BH33/$BH$49</f>
        <v>8.1081081081081086E-2</v>
      </c>
    </row>
    <row r="34" spans="1:61" ht="14.25" customHeight="1">
      <c r="A34" t="s">
        <v>525</v>
      </c>
      <c r="B34">
        <v>1</v>
      </c>
      <c r="D34" s="43">
        <v>142.02889999999999</v>
      </c>
      <c r="G34" t="s">
        <v>1403</v>
      </c>
      <c r="H34">
        <v>6</v>
      </c>
      <c r="J34" s="43">
        <v>1650.1166999999998</v>
      </c>
      <c r="L34" s="77" t="s">
        <v>49</v>
      </c>
      <c r="M34" s="79">
        <f>COUNTIFS('MARE MX'!$K:$K,"ENTERPRISE",'MARE MX'!$AX:$AX,"*OK*")</f>
        <v>0</v>
      </c>
      <c r="N34" s="79">
        <f>COUNTIFS('MARE MX'!$K:$K,"SMB",'MARE MX'!$AX:$AX,"*OK*")</f>
        <v>1</v>
      </c>
      <c r="P34" s="83" t="s">
        <v>49</v>
      </c>
      <c r="Q34" s="77">
        <f>COUNTIFS('MARE MX'!$K:$K,"ENTERPRISE",'MARE MX'!$Y:$Y,"Agrícola",'MARE MX'!$AX:$AX,"*OK*")</f>
        <v>0</v>
      </c>
      <c r="R34" s="77">
        <f>COUNTIFS('MARE MX'!$K:$K,"ENTERPRISE",'MARE MX'!$Y:$Y,"Automotriz",'MARE MX'!$AX:$AX,"*OK*")</f>
        <v>0</v>
      </c>
      <c r="S34" s="77">
        <f>COUNTIFS('MARE MX'!$K:$K,"ENTERPRISE",'MARE MX'!$Y:$Y,"Banca y Finanzas",'MARE MX'!$AX:$AX,"*OK*")</f>
        <v>0</v>
      </c>
      <c r="T34" s="77">
        <f>COUNTIFS('MARE MX'!$K:$K,"ENTERPRISE",'MARE MX'!$Y:$Y,"Construcción",'MARE MX'!$AX:$AX,"*OK*")</f>
        <v>0</v>
      </c>
      <c r="U34" s="77">
        <f>COUNTIFS('MARE MX'!$K:$K,"ENTERPRISE",'MARE MX'!$Y:$Y,"Educación",'MARE MX'!$AX:$AX,"*OK*")</f>
        <v>0</v>
      </c>
      <c r="V34" s="77">
        <f>COUNTIFS('MARE MX'!$K:$K,"ENTERPRISE",'MARE MX'!$Y:$Y,"Energía",'MARE MX'!$AX:$AX,"*OK*")</f>
        <v>0</v>
      </c>
      <c r="W34" s="77">
        <f>COUNTIFS('MARE MX'!$K:$K,"ENTERPRISE",'MARE MX'!$Y:$Y,"Gobierno",'MARE MX'!$AX:$AX,"*OK*")</f>
        <v>0</v>
      </c>
      <c r="X34" s="77">
        <f>COUNTIFS('MARE MX'!$K:$K,"ENTERPRISE",'MARE MX'!$Y:$Y,"Logística",'MARE MX'!$AX:$AX,"*OK*")</f>
        <v>0</v>
      </c>
      <c r="Y34" s="77">
        <f>COUNTIFS('MARE MX'!$K:$K,"ENTERPRISE",'MARE MX'!$Y:$Y,"Manufactura",'MARE MX'!$AX:$AX,"*OK*")</f>
        <v>0</v>
      </c>
      <c r="Z34" s="77">
        <f>COUNTIFS('MARE MX'!$K:$K,"ENTERPRISE",'MARE MX'!$Y:$Y,"Outsourcing",'MARE MX'!$AX:$AX,"*OK*")</f>
        <v>0</v>
      </c>
      <c r="AA34" s="77">
        <f>COUNTIFS('MARE MX'!$K:$K,"ENTERPRISE",'MARE MX'!$Y:$Y,"Retail",'MARE MX'!$AX:$AX,"*OK*")</f>
        <v>0</v>
      </c>
      <c r="AB34" s="77">
        <f>COUNTIFS('MARE MX'!$K:$K,"ENTERPRISE",'MARE MX'!$Y:$Y,"Salud",'MARE MX'!$AX:$AX,"*OK*")</f>
        <v>0</v>
      </c>
      <c r="AC34" s="77">
        <f>COUNTIFS('MARE MX'!$K:$K,"ENTERPRISE",'MARE MX'!$Y:$Y,"Seguridad Privada",'MARE MX'!$AX:$AX,"*OK*")</f>
        <v>0</v>
      </c>
      <c r="AD34" s="77">
        <f>COUNTIFS('MARE MX'!$K:$K,"ENTERPRISE",'MARE MX'!$Y:$Y,"Servicios",'MARE MX'!$AX:$AX,"*OK*")</f>
        <v>0</v>
      </c>
      <c r="AE34" s="77">
        <f>COUNTIFS('MARE MX'!$K:$K,"ENTERPRISE",'MARE MX'!$Y:$Y,"Tecnología",'MARE MX'!$AX:$AX,"*OK*")</f>
        <v>0</v>
      </c>
      <c r="AF34" s="77">
        <f>COUNTIFS('MARE MX'!$K:$K,"ENTERPRISE",'MARE MX'!$Y:$Y,"Transporte",'MARE MX'!$AX:$AX,"*OK*")</f>
        <v>0</v>
      </c>
      <c r="AG34" s="77">
        <f>COUNTIFS('MARE MX'!$K:$K,"ENTERPRISE",'MARE MX'!$Y:$Y,"Turismo y Gastronomía",'MARE MX'!$AX:$AX,"*OK*")</f>
        <v>0</v>
      </c>
      <c r="AJ34">
        <v>1</v>
      </c>
      <c r="AK34">
        <f>COUNTIFS('MARE MX'!$K:$K,"ENTERPRISE",'MARE MX'!$CC:$CC,1)</f>
        <v>15</v>
      </c>
      <c r="AL34" s="58">
        <f t="shared" ref="AL34:AL37" si="11">AK34/$AK$24</f>
        <v>0.11538461538461539</v>
      </c>
      <c r="AM34">
        <f>COUNTIFS('MARE MX'!$K:$K,"SMB",'MARE MX'!$CC:$CC,1)</f>
        <v>23</v>
      </c>
      <c r="AN34" s="58">
        <f t="shared" ref="AN34:AN37" si="12">AM34/$AM$24</f>
        <v>6.9069069069069067E-2</v>
      </c>
      <c r="AP34" s="93">
        <v>1</v>
      </c>
      <c r="AQ34" s="93">
        <f>COUNTIFS('MARE MX'!K:K,"ENTERPRISE",'MARE MX'!L:L,"Dafne de la Rosa",'MARE MX'!CC:CC,1)</f>
        <v>5</v>
      </c>
      <c r="AR34" s="93">
        <f>COUNTIFS('MARE MX'!K:K,"ENTERPRISE",'MARE MX'!L:L,"Karla Patiño",'MARE MX'!CC:CC,1)</f>
        <v>1</v>
      </c>
      <c r="AS34" s="93">
        <f>COUNTIFS('MARE MX'!K:K,"ENTERPRISE",'MARE MX'!L:L,"Raúl Campos",'MARE MX'!CC:CC,1)</f>
        <v>9</v>
      </c>
      <c r="AT34" s="93">
        <f>COUNTIFS('MARE MX'!K:K,"ENTERPRISE",'MARE MX'!L:L,"No Asignado",'MARE MX'!CC:CC,1)</f>
        <v>0</v>
      </c>
      <c r="AU34" s="93">
        <f>COUNTIFS('MARE MX'!K:K,"ENTERPRISE",'MARE MX'!L:L,"Implementando",'MARE MX'!CC:CC,1)</f>
        <v>0</v>
      </c>
      <c r="AV34" s="93">
        <f>SUM(AQ34:AU34)</f>
        <v>15</v>
      </c>
      <c r="AW34" s="90"/>
      <c r="AX34" s="90">
        <v>1</v>
      </c>
      <c r="AY34" s="90">
        <f>COUNTIFS('MARE MX'!$K:$K,"SMB",'MARE MX'!$L:$L,"Dafne de la Rosa",'MARE MX'!$CC:$CC,1)</f>
        <v>1</v>
      </c>
      <c r="AZ34" s="90">
        <f>COUNTIFS('MARE MX'!$K:$K,"SMB",'MARE MX'!$L:$L,"Karla Patiño",'MARE MX'!$CC:$CC,1)</f>
        <v>20</v>
      </c>
      <c r="BA34" s="90">
        <f>COUNTIFS('MARE MX'!$K:$K,"SMB",'MARE MX'!$L:$L,"Raúl Campos",'MARE MX'!$CC:$CC,1)</f>
        <v>1</v>
      </c>
      <c r="BB34" s="90">
        <f>COUNTIFS('MARE MX'!$K:$K,"SMB",'MARE MX'!$L:$L,"No Asignado",'MARE MX'!$CC:$CC,1)</f>
        <v>1</v>
      </c>
      <c r="BC34" s="90">
        <f>SUM(AY34:BB34)</f>
        <v>23</v>
      </c>
      <c r="BE34" s="77" t="s">
        <v>36</v>
      </c>
      <c r="BF34" s="79">
        <f>COUNTIFS('MARE MX'!$K:$K,"ENTERPRISE",'MARE MX'!$AK:$AK,"*OP*")</f>
        <v>9</v>
      </c>
      <c r="BG34" s="100">
        <f t="shared" ref="BG34:BG47" si="13">BF34/$BF$49</f>
        <v>0.15517241379310345</v>
      </c>
      <c r="BH34" s="79">
        <f>COUNTIFS('MARE MX'!$K:$K,"SMB",'MARE MX'!$AK:$AK,"*OP*")</f>
        <v>4</v>
      </c>
      <c r="BI34" s="100">
        <f t="shared" ref="BI34:BI47" si="14">BH34/$BH$49</f>
        <v>0.10810810810810811</v>
      </c>
    </row>
    <row r="35" spans="1:61">
      <c r="A35" t="s">
        <v>97</v>
      </c>
      <c r="B35">
        <v>31</v>
      </c>
      <c r="D35" s="43">
        <v>6174.6441999999988</v>
      </c>
      <c r="G35" t="s">
        <v>139</v>
      </c>
      <c r="H35">
        <v>3</v>
      </c>
      <c r="I35">
        <v>3</v>
      </c>
      <c r="J35" s="43">
        <v>546.95180000000005</v>
      </c>
      <c r="L35" s="78" t="s">
        <v>50</v>
      </c>
      <c r="M35" s="80">
        <f>COUNTIFS('MARE MX'!$K:$K,"ENTERPRISE",'MARE MX'!$AY:$AY,"*OK*")</f>
        <v>2</v>
      </c>
      <c r="N35" s="80">
        <f>COUNTIFS('MARE MX'!$K:$K,"SMB",'MARE MX'!$AY:$AY,"*OK*")</f>
        <v>0</v>
      </c>
      <c r="P35" s="83" t="s">
        <v>50</v>
      </c>
      <c r="Q35" s="77">
        <f>COUNTIFS('MARE MX'!$K:$K,"ENTERPRISE",'MARE MX'!$Y:$Y,"Agrícola",'MARE MX'!$AY:$AY,"*OK*")</f>
        <v>0</v>
      </c>
      <c r="R35" s="77">
        <f>COUNTIFS('MARE MX'!$K:$K,"ENTERPRISE",'MARE MX'!$Y:$Y,"Automotriz",'MARE MX'!$AY:$AY,"*OK*")</f>
        <v>0</v>
      </c>
      <c r="S35" s="77">
        <f>COUNTIFS('MARE MX'!$K:$K,"ENTERPRISE",'MARE MX'!$Y:$Y,"Banca y Finanzas",'MARE MX'!$AY:$AY,"*OK*")</f>
        <v>0</v>
      </c>
      <c r="T35" s="77">
        <f>COUNTIFS('MARE MX'!$K:$K,"ENTERPRISE",'MARE MX'!$Y:$Y,"Construcción",'MARE MX'!$AY:$AY,"*OK*")</f>
        <v>0</v>
      </c>
      <c r="U35" s="77">
        <f>COUNTIFS('MARE MX'!$K:$K,"ENTERPRISE",'MARE MX'!$Y:$Y,"Educación",'MARE MX'!$AY:$AY,"*OK*")</f>
        <v>0</v>
      </c>
      <c r="V35" s="77">
        <f>COUNTIFS('MARE MX'!$K:$K,"ENTERPRISE",'MARE MX'!$Y:$Y,"Energía",'MARE MX'!$AY:$AY,"*OK*")</f>
        <v>0</v>
      </c>
      <c r="W35" s="77">
        <f>COUNTIFS('MARE MX'!$K:$K,"ENTERPRISE",'MARE MX'!$Y:$Y,"Gobierno",'MARE MX'!$AY:$AY,"*OK*")</f>
        <v>0</v>
      </c>
      <c r="X35" s="77">
        <f>COUNTIFS('MARE MX'!$K:$K,"ENTERPRISE",'MARE MX'!$Y:$Y,"Logística",'MARE MX'!$AY:$AY,"*OK*")</f>
        <v>1</v>
      </c>
      <c r="Y35" s="77">
        <f>COUNTIFS('MARE MX'!$K:$K,"ENTERPRISE",'MARE MX'!$Y:$Y,"Manufactura",'MARE MX'!$AY:$AY,"*OK*")</f>
        <v>0</v>
      </c>
      <c r="Z35" s="77">
        <f>COUNTIFS('MARE MX'!$K:$K,"ENTERPRISE",'MARE MX'!$Y:$Y,"Outsourcing",'MARE MX'!$AY:$AY,"*OK*")</f>
        <v>0</v>
      </c>
      <c r="AA35" s="77">
        <f>COUNTIFS('MARE MX'!$K:$K,"ENTERPRISE",'MARE MX'!$Y:$Y,"Retail",'MARE MX'!$AY:$AY,"*OK*")</f>
        <v>1</v>
      </c>
      <c r="AB35" s="77">
        <f>COUNTIFS('MARE MX'!$K:$K,"ENTERPRISE",'MARE MX'!$Y:$Y,"Salud",'MARE MX'!$AY:$AY,"*OK*")</f>
        <v>0</v>
      </c>
      <c r="AC35" s="77">
        <f>COUNTIFS('MARE MX'!$K:$K,"ENTERPRISE",'MARE MX'!$Y:$Y,"Seguridad Privada",'MARE MX'!$AY:$AY,"*OK*")</f>
        <v>0</v>
      </c>
      <c r="AD35" s="77">
        <f>COUNTIFS('MARE MX'!$K:$K,"ENTERPRISE",'MARE MX'!$Y:$Y,"Servicios",'MARE MX'!$AY:$AY,"*OK*")</f>
        <v>0</v>
      </c>
      <c r="AE35" s="77">
        <f>COUNTIFS('MARE MX'!$K:$K,"ENTERPRISE",'MARE MX'!$Y:$Y,"Tecnología",'MARE MX'!$AY:$AY,"*OK*")</f>
        <v>0</v>
      </c>
      <c r="AF35" s="77">
        <f>COUNTIFS('MARE MX'!$K:$K,"ENTERPRISE",'MARE MX'!$Y:$Y,"Transporte",'MARE MX'!$AY:$AY,"*OK*")</f>
        <v>0</v>
      </c>
      <c r="AG35" s="77">
        <f>COUNTIFS('MARE MX'!$K:$K,"ENTERPRISE",'MARE MX'!$Y:$Y,"Turismo y Gastronomía",'MARE MX'!$AY:$AY,"*OK*")</f>
        <v>0</v>
      </c>
      <c r="AJ35">
        <v>2</v>
      </c>
      <c r="AK35">
        <f>COUNTIFS('MARE MX'!$K:$K,"ENTERPRISE",'MARE MX'!$CC:$CC,2)</f>
        <v>13</v>
      </c>
      <c r="AL35" s="58">
        <f t="shared" si="11"/>
        <v>0.1</v>
      </c>
      <c r="AM35">
        <f>COUNTIFS('MARE MX'!$K:$K,"SMB",'MARE MX'!$CC:$CC,2)</f>
        <v>4</v>
      </c>
      <c r="AN35" s="58">
        <f t="shared" si="12"/>
        <v>1.2012012012012012E-2</v>
      </c>
      <c r="AP35" s="92">
        <v>2</v>
      </c>
      <c r="AQ35" s="92">
        <f>COUNTIFS('MARE MX'!K:K,"ENTERPRISE",'MARE MX'!L:L,"Dafne de la Rosa",'MARE MX'!CC:CC,2)</f>
        <v>5</v>
      </c>
      <c r="AR35" s="92">
        <f>COUNTIFS('MARE MX'!K:K,"ENTERPRISE",'MARE MX'!L:L,"Karla Patiño",'MARE MX'!CC:CC,2)</f>
        <v>1</v>
      </c>
      <c r="AS35" s="92">
        <f>COUNTIFS('MARE MX'!K:K,"ENTERPRISE",'MARE MX'!L:L,"Raúl Campos",'MARE MX'!CC:CC,2)</f>
        <v>7</v>
      </c>
      <c r="AT35" s="92">
        <f>COUNTIFS('MARE MX'!K:K,"ENTERPRISE",'MARE MX'!L:L,"No Asignado",'MARE MX'!CC:CC,2)</f>
        <v>0</v>
      </c>
      <c r="AU35" s="92">
        <f>COUNTIFS('MARE MX'!K:K,"ENTERPRISE",'MARE MX'!L:L,"Implementando",'MARE MX'!CC:CC,2)</f>
        <v>0</v>
      </c>
      <c r="AV35" s="92">
        <f>SUM(AQ35:AU35)</f>
        <v>13</v>
      </c>
      <c r="AW35" s="90"/>
      <c r="AX35" s="90">
        <v>2</v>
      </c>
      <c r="AY35" s="90">
        <f>COUNTIFS('MARE MX'!$K:$K,"SMB",'MARE MX'!$L:$L,"Dafne de la Rosa",'MARE MX'!$CC:$CC,2)</f>
        <v>0</v>
      </c>
      <c r="AZ35" s="90">
        <f>COUNTIFS('MARE MX'!$K:$K,"SMB",'MARE MX'!$L:$L,"Karla Patiño",'MARE MX'!$CC:$CC,2)</f>
        <v>4</v>
      </c>
      <c r="BA35" s="90">
        <f>COUNTIFS('MARE MX'!$K:$K,"SMB",'MARE MX'!$L:$L,"Raúl Campos",'MARE MX'!$CC:$CC,2)</f>
        <v>0</v>
      </c>
      <c r="BB35" s="90">
        <f>COUNTIFS('MARE MX'!$K:$K,"SMB",'MARE MX'!$L:$L,"No Asignado",'MARE MX'!$CC:$CC,2)</f>
        <v>0</v>
      </c>
      <c r="BC35" s="90">
        <f>SUM(AY35:BB35)</f>
        <v>4</v>
      </c>
      <c r="BE35" s="77" t="s">
        <v>37</v>
      </c>
      <c r="BF35" s="79">
        <f>COUNTIFS('MARE MX'!$K:$K,"ENTERPRISE",'MARE MX'!$AL:$AL,"*OP*")</f>
        <v>13</v>
      </c>
      <c r="BG35" s="100">
        <f t="shared" si="13"/>
        <v>0.22413793103448276</v>
      </c>
      <c r="BH35" s="79">
        <f>COUNTIFS('MARE MX'!$K:$K,"SMB",'MARE MX'!$AL:$AL,"*OP*")</f>
        <v>15</v>
      </c>
      <c r="BI35" s="100">
        <f t="shared" si="14"/>
        <v>0.40540540540540543</v>
      </c>
    </row>
    <row r="36" spans="1:61" ht="14.25" customHeight="1">
      <c r="A36" t="s">
        <v>572</v>
      </c>
      <c r="B36">
        <v>5</v>
      </c>
      <c r="D36" s="43">
        <v>1210.5227</v>
      </c>
      <c r="F36" t="s">
        <v>1411</v>
      </c>
      <c r="H36">
        <v>84</v>
      </c>
      <c r="I36">
        <v>3</v>
      </c>
      <c r="J36" s="43">
        <v>18493.546800000007</v>
      </c>
      <c r="L36" t="s">
        <v>1355</v>
      </c>
      <c r="M36">
        <f>SUM(M20:M35)</f>
        <v>56</v>
      </c>
      <c r="N36">
        <f>SUM(N20:N35)</f>
        <v>26</v>
      </c>
      <c r="P36" s="84" t="s">
        <v>1355</v>
      </c>
      <c r="Q36" s="84">
        <f t="shared" ref="Q36:AG36" si="15">SUM(Q20:Q35)</f>
        <v>1</v>
      </c>
      <c r="R36" s="84">
        <f t="shared" si="15"/>
        <v>0</v>
      </c>
      <c r="S36" s="84">
        <f t="shared" si="15"/>
        <v>1</v>
      </c>
      <c r="T36" s="84">
        <f t="shared" si="15"/>
        <v>3</v>
      </c>
      <c r="U36" s="84">
        <f t="shared" si="15"/>
        <v>0</v>
      </c>
      <c r="V36" s="84">
        <f t="shared" si="15"/>
        <v>0</v>
      </c>
      <c r="W36" s="84">
        <f t="shared" si="15"/>
        <v>0</v>
      </c>
      <c r="X36" s="84">
        <f t="shared" si="15"/>
        <v>4</v>
      </c>
      <c r="Y36" s="84">
        <f t="shared" si="15"/>
        <v>18</v>
      </c>
      <c r="Z36" s="84">
        <f t="shared" si="15"/>
        <v>4</v>
      </c>
      <c r="AA36" s="84">
        <f t="shared" si="15"/>
        <v>12</v>
      </c>
      <c r="AB36" s="84">
        <f t="shared" si="15"/>
        <v>2</v>
      </c>
      <c r="AC36" s="84">
        <f t="shared" si="15"/>
        <v>1</v>
      </c>
      <c r="AD36" s="84">
        <f t="shared" si="15"/>
        <v>3</v>
      </c>
      <c r="AE36" s="84">
        <f t="shared" si="15"/>
        <v>3</v>
      </c>
      <c r="AF36" s="84">
        <f t="shared" si="15"/>
        <v>2</v>
      </c>
      <c r="AG36" s="84">
        <f t="shared" si="15"/>
        <v>2</v>
      </c>
      <c r="AJ36">
        <v>3</v>
      </c>
      <c r="AK36">
        <f>COUNTIFS('MARE MX'!$K:$K,"ENTERPRISE",'MARE MX'!$CC:$CC,3)</f>
        <v>5</v>
      </c>
      <c r="AL36" s="58">
        <f t="shared" si="11"/>
        <v>3.8461538461538464E-2</v>
      </c>
      <c r="AM36">
        <f>COUNTIFS('MARE MX'!$K:$K,"SMB",'MARE MX'!$CC:$CC,3)</f>
        <v>0</v>
      </c>
      <c r="AN36" s="58">
        <f t="shared" si="12"/>
        <v>0</v>
      </c>
      <c r="AP36" s="93">
        <v>3</v>
      </c>
      <c r="AQ36" s="93">
        <f>COUNTIFS('MARE MX'!K:K,"ENTERPRISE",'MARE MX'!L:L,"Dafne de la Rosa",'MARE MX'!CC:CC,3)</f>
        <v>1</v>
      </c>
      <c r="AR36" s="93">
        <f>COUNTIFS('MARE MX'!K:K,"ENTERPRISE",'MARE MX'!L:L,"Karla Patiño",'MARE MX'!CC:CC,3)</f>
        <v>0</v>
      </c>
      <c r="AS36" s="93">
        <f>COUNTIFS('MARE MX'!K:K,"ENTERPRISE",'MARE MX'!L:L,"Raúl Campos",'MARE MX'!CC:CC,3)</f>
        <v>4</v>
      </c>
      <c r="AT36" s="93">
        <f>COUNTIFS('MARE MX'!K:K,"ENTERPRISE",'MARE MX'!L:L,"No Asignado",'MARE MX'!CC:CC,3)</f>
        <v>0</v>
      </c>
      <c r="AU36" s="93">
        <f>COUNTIFS('MARE MX'!K:K,"ENTERPRISE",'MARE MX'!L:L,"Implementando",'MARE MX'!CC:CC,3)</f>
        <v>0</v>
      </c>
      <c r="AV36" s="93">
        <f>SUM(AQ36:AU36)</f>
        <v>5</v>
      </c>
      <c r="AW36" s="90"/>
      <c r="AX36" s="90">
        <v>3</v>
      </c>
      <c r="AY36" s="90">
        <f>COUNTIFS('MARE MX'!$K:$K,"SMB",'MARE MX'!$L:$L,"Dafne de la Rosa",'MARE MX'!$CC:$CC,3)</f>
        <v>0</v>
      </c>
      <c r="AZ36" s="90">
        <f>COUNTIFS('MARE MX'!$K:$K,"SMB",'MARE MX'!$L:$L,"Karla Patiño",'MARE MX'!$CC:$CC,3)</f>
        <v>0</v>
      </c>
      <c r="BA36" s="90">
        <f>COUNTIFS('MARE MX'!$K:$K,"SMB",'MARE MX'!$L:$L,"Raúl Campos",'MARE MX'!$CC:$CC,3)</f>
        <v>0</v>
      </c>
      <c r="BB36" s="90">
        <f>COUNTIFS('MARE MX'!$K:$K,"SMB",'MARE MX'!$L:$L,"No Asignado",'MARE MX'!$CC:$CC,3)</f>
        <v>0</v>
      </c>
      <c r="BC36" s="90">
        <f>SUM(AY36:BB36)</f>
        <v>0</v>
      </c>
      <c r="BE36" s="77" t="s">
        <v>1402</v>
      </c>
      <c r="BF36" s="79">
        <f>COUNTIFS('MARE MX'!$K:$K,"ENTERPRISE",'MARE MX'!$AM:$AM,"*OP*")</f>
        <v>16</v>
      </c>
      <c r="BG36" s="100">
        <f t="shared" si="13"/>
        <v>0.27586206896551724</v>
      </c>
      <c r="BH36" s="79">
        <f>COUNTIFS('MARE MX'!$K:$K,"SMB",'MARE MX'!$AM:$AM,"*OP*")</f>
        <v>8</v>
      </c>
      <c r="BI36" s="100">
        <f t="shared" si="14"/>
        <v>0.21621621621621623</v>
      </c>
    </row>
    <row r="37" spans="1:61" ht="14.25" customHeight="1">
      <c r="A37" t="s">
        <v>92</v>
      </c>
      <c r="B37">
        <v>52</v>
      </c>
      <c r="D37" s="43">
        <v>10953.939600000002</v>
      </c>
      <c r="F37" t="s">
        <v>730</v>
      </c>
      <c r="G37" t="s">
        <v>1403</v>
      </c>
      <c r="H37">
        <v>1</v>
      </c>
      <c r="J37" s="43">
        <v>319.36290000000002</v>
      </c>
      <c r="P37" s="77" t="s">
        <v>1412</v>
      </c>
      <c r="Q37" s="77">
        <f>COUNTIFS('MARE MX'!$K:$K,"ENTERPRISE",'MARE MX'!$Y:$Y,"Agrícola")</f>
        <v>3</v>
      </c>
      <c r="R37" s="77">
        <f>COUNTIFS('MARE MX'!$K:$K,"ENTERPRISE",'MARE MX'!$Y:$Y,"Automotriz")</f>
        <v>5</v>
      </c>
      <c r="S37" s="77">
        <f>COUNTIFS('MARE MX'!$K:$K,"ENTERPRISE",'MARE MX'!$Y:$Y,"Banca y Finanzas")</f>
        <v>1</v>
      </c>
      <c r="T37" s="77">
        <f>COUNTIFS('MARE MX'!$K:$K,"ENTERPRISE",'MARE MX'!$Y:$Y,"Construcción")</f>
        <v>6</v>
      </c>
      <c r="U37" s="77">
        <f>COUNTIFS('MARE MX'!$K:$K,"ENTERPRISE",'MARE MX'!$Y:$Y,"Educación")</f>
        <v>2</v>
      </c>
      <c r="V37" s="77">
        <f>COUNTIFS('MARE MX'!$K:$K,"ENTERPRISE",'MARE MX'!$Y:$Y,"Energía")</f>
        <v>3</v>
      </c>
      <c r="W37" s="77">
        <f>COUNTIFS('MARE MX'!$K:$K,"ENTERPRISE",'MARE MX'!$Y:$Y,"Gobierno")</f>
        <v>1</v>
      </c>
      <c r="X37" s="77">
        <f>COUNTIFS('MARE MX'!$K:$K,"ENTERPRISE",'MARE MX'!$Y:$Y,"Logística")</f>
        <v>6</v>
      </c>
      <c r="Y37" s="77">
        <f>COUNTIFS('MARE MX'!$K:$K,"ENTERPRISE",'MARE MX'!$Y:$Y,"Manufactura")</f>
        <v>23</v>
      </c>
      <c r="Z37" s="77">
        <f>COUNTIFS('MARE MX'!$K:$K,"ENTERPRISE",'MARE MX'!$Y:$Y,"Outsourcing")</f>
        <v>10</v>
      </c>
      <c r="AA37" s="77">
        <f>COUNTIFS('MARE MX'!$K:$K,"ENTERPRISE",'MARE MX'!$Y:$Y,"Retail")</f>
        <v>14</v>
      </c>
      <c r="AB37" s="77">
        <f>COUNTIFS('MARE MX'!$K:$K,"ENTERPRISE",'MARE MX'!$Y:$Y,"Salud")</f>
        <v>10</v>
      </c>
      <c r="AC37" s="77">
        <f>COUNTIFS('MARE MX'!$K:$K,"ENTERPRISE",'MARE MX'!$Y:$Y,"Seguridad Privada")</f>
        <v>2</v>
      </c>
      <c r="AD37" s="77">
        <f>COUNTIFS('MARE MX'!$K:$K,"ENTERPRISE",'MARE MX'!$Y:$Y,"Servicios")</f>
        <v>13</v>
      </c>
      <c r="AE37" s="77">
        <f>COUNTIFS('MARE MX'!$K:$K,"ENTERPRISE",'MARE MX'!$Y:$Y,"Tecnología")</f>
        <v>6</v>
      </c>
      <c r="AF37" s="77">
        <f>COUNTIFS('MARE MX'!$K:$K,"ENTERPRISE",'MARE MX'!$Y:$Y,"Transporte")</f>
        <v>8</v>
      </c>
      <c r="AG37" s="77">
        <f>COUNTIFS('MARE MX'!$K:$K,"ENTERPRISE",'MARE MX'!$Y:$Y,"Turismo y Gastronomía")</f>
        <v>10</v>
      </c>
      <c r="AJ37">
        <v>4</v>
      </c>
      <c r="AK37">
        <f>COUNTIFS('MARE MX'!$K:$K,"ENTERPRISE",'MARE MX'!$CC:$CC,4)</f>
        <v>0</v>
      </c>
      <c r="AL37" s="58">
        <f t="shared" si="11"/>
        <v>0</v>
      </c>
      <c r="AM37">
        <f>COUNTIFS('MARE MX'!$K:$K,"SMB",'MARE MX'!$CC:$CC,4)</f>
        <v>0</v>
      </c>
      <c r="AN37" s="58">
        <f t="shared" si="12"/>
        <v>0</v>
      </c>
      <c r="AP37" s="92">
        <v>4</v>
      </c>
      <c r="AQ37" s="92">
        <f>COUNTIFS('MARE MX'!K:K,"ENTERPRISE",'MARE MX'!L:L,"Dafne de la Rosa",'MARE MX'!CC:CC,4)</f>
        <v>0</v>
      </c>
      <c r="AR37" s="92">
        <f>COUNTIFS('MARE MX'!K:K,"ENTERPRISE",'MARE MX'!L:L,"Karla Patiño",'MARE MX'!CC:CC,4)</f>
        <v>0</v>
      </c>
      <c r="AS37" s="92">
        <f>COUNTIFS('MARE MX'!K:K,"ENTERPRISE",'MARE MX'!L:L,"Raúl Campos",'MARE MX'!CC:CC,4)</f>
        <v>0</v>
      </c>
      <c r="AT37" s="92">
        <f>COUNTIFS('MARE MX'!K:K,"ENTERPRISE",'MARE MX'!L:L,"No Asignado",'MARE MX'!CC:CC,4)</f>
        <v>0</v>
      </c>
      <c r="AU37" s="92">
        <f>COUNTIFS('MARE MX'!K:K,"ENTERPRISE",'MARE MX'!L:L,"Implementando",'MARE MX'!CC:CC,4)</f>
        <v>0</v>
      </c>
      <c r="AV37" s="92">
        <f>SUM(AQ37:AU37)</f>
        <v>0</v>
      </c>
      <c r="AW37" s="90"/>
      <c r="AX37" s="90">
        <v>4</v>
      </c>
      <c r="AY37" s="90">
        <f>COUNTIFS('MARE MX'!$K:$K,"SMB",'MARE MX'!$L:$L,"Dafne de la Rosa",'MARE MX'!$CC:$CC,4)</f>
        <v>0</v>
      </c>
      <c r="AZ37" s="90">
        <f>COUNTIFS('MARE MX'!$K:$K,"SMB",'MARE MX'!$L:$L,"Karla Patiño",'MARE MX'!$CC:$CC,4)</f>
        <v>0</v>
      </c>
      <c r="BA37" s="90">
        <f>COUNTIFS('MARE MX'!$K:$K,"SMB",'MARE MX'!$L:$L,"Raúl Campos",'MARE MX'!$CC:$CC,4)</f>
        <v>0</v>
      </c>
      <c r="BB37" s="90">
        <f>COUNTIFS('MARE MX'!$K:$K,"SMB",'MARE MX'!$L:$L,"No Asignado",'MARE MX'!$CC:$CC,4)</f>
        <v>0</v>
      </c>
      <c r="BC37" s="90">
        <f>SUM(AY37:BB37)</f>
        <v>0</v>
      </c>
      <c r="BE37" s="77" t="s">
        <v>39</v>
      </c>
      <c r="BF37" s="79">
        <f>COUNTIFS('MARE MX'!$K:$K,"ENTERPRISE",'MARE MX'!$AN:$AN,"*OP*")</f>
        <v>4</v>
      </c>
      <c r="BG37" s="100">
        <f t="shared" si="13"/>
        <v>6.8965517241379309E-2</v>
      </c>
      <c r="BH37" s="79">
        <f>COUNTIFS('MARE MX'!$K:$K,"SMB",'MARE MX'!$AN:$AN,"*OP*")</f>
        <v>0</v>
      </c>
      <c r="BI37" s="100">
        <f t="shared" si="14"/>
        <v>0</v>
      </c>
    </row>
    <row r="38" spans="1:61" ht="14.25" customHeight="1">
      <c r="A38" t="s">
        <v>521</v>
      </c>
      <c r="B38">
        <v>2</v>
      </c>
      <c r="D38" s="43">
        <v>386.09949999999998</v>
      </c>
      <c r="F38" t="s">
        <v>1413</v>
      </c>
      <c r="H38">
        <v>1</v>
      </c>
      <c r="J38" s="43">
        <v>319.36290000000002</v>
      </c>
      <c r="AJ38" s="72" t="s">
        <v>1355</v>
      </c>
      <c r="AK38" s="72">
        <f>SUM(AK33:AK37)</f>
        <v>128</v>
      </c>
      <c r="AL38" s="72"/>
      <c r="AM38" s="72">
        <f>SUM(AM33:AM37)</f>
        <v>326</v>
      </c>
      <c r="AN38" s="72"/>
      <c r="AP38" s="89" t="s">
        <v>1355</v>
      </c>
      <c r="AQ38" s="89">
        <f t="shared" ref="AQ38:AV38" si="16">SUM(AQ33:AQ37)</f>
        <v>46</v>
      </c>
      <c r="AR38" s="89">
        <f t="shared" si="16"/>
        <v>5</v>
      </c>
      <c r="AS38" s="89">
        <f t="shared" si="16"/>
        <v>68</v>
      </c>
      <c r="AT38" s="89">
        <f t="shared" si="16"/>
        <v>3</v>
      </c>
      <c r="AU38" s="89">
        <f t="shared" si="16"/>
        <v>4</v>
      </c>
      <c r="AV38" s="89">
        <f t="shared" si="16"/>
        <v>126</v>
      </c>
      <c r="AW38" s="90"/>
      <c r="AX38" s="97" t="s">
        <v>1355</v>
      </c>
      <c r="AY38" s="97">
        <f>SUM(AY33:AY37)</f>
        <v>47</v>
      </c>
      <c r="AZ38" s="97">
        <f>SUM(AZ33:AZ37)</f>
        <v>144</v>
      </c>
      <c r="BA38" s="97">
        <f>SUM(BA33:BA37)</f>
        <v>9</v>
      </c>
      <c r="BB38" s="97">
        <f>SUM(BB33:BB37)</f>
        <v>124</v>
      </c>
      <c r="BC38" s="97">
        <f>SUM(BC33:BC37)</f>
        <v>324</v>
      </c>
      <c r="BE38" s="77" t="s">
        <v>40</v>
      </c>
      <c r="BF38" s="79">
        <f>COUNTIFS('MARE MX'!$K:$K,"ENTERPRISE",'MARE MX'!$AO:$AO,"*OP*")</f>
        <v>1</v>
      </c>
      <c r="BG38" s="100">
        <f t="shared" si="13"/>
        <v>1.7241379310344827E-2</v>
      </c>
      <c r="BH38" s="79">
        <f>COUNTIFS('MARE MX'!$K:$K,"SMB",'MARE MX'!$AO:$AO,"*OP*")</f>
        <v>1</v>
      </c>
      <c r="BI38" s="100">
        <f t="shared" si="14"/>
        <v>2.7027027027027029E-2</v>
      </c>
    </row>
    <row r="39" spans="1:61" ht="14.25" customHeight="1">
      <c r="A39" t="s">
        <v>1401</v>
      </c>
      <c r="B39">
        <v>7</v>
      </c>
      <c r="D39" s="43">
        <v>537.1629999999999</v>
      </c>
      <c r="F39" t="s">
        <v>733</v>
      </c>
      <c r="G39" t="s">
        <v>1403</v>
      </c>
      <c r="H39">
        <v>185</v>
      </c>
      <c r="J39" s="43">
        <v>18244.459599999998</v>
      </c>
      <c r="AP39" s="90"/>
      <c r="AQ39" s="90"/>
      <c r="AR39" s="90"/>
      <c r="AS39" s="90"/>
      <c r="AT39" s="90"/>
      <c r="AU39" s="90"/>
      <c r="AV39" s="90"/>
      <c r="AW39" s="90"/>
      <c r="AX39" s="90"/>
      <c r="AY39" s="90"/>
      <c r="AZ39" s="90"/>
      <c r="BA39" s="90"/>
      <c r="BB39" s="90"/>
      <c r="BC39" s="90"/>
      <c r="BE39" s="77" t="s">
        <v>41</v>
      </c>
      <c r="BF39" s="79">
        <f>COUNTIFS('MARE MX'!$K:$K,"ENTERPRISE",'MARE MX'!$AP:$AP,"*OP*")</f>
        <v>2</v>
      </c>
      <c r="BG39" s="100">
        <f t="shared" si="13"/>
        <v>3.4482758620689655E-2</v>
      </c>
      <c r="BH39" s="79">
        <f>COUNTIFS('MARE MX'!$K:$K,"SMB",'MARE MX'!$AP:$AP,"*OP*")</f>
        <v>0</v>
      </c>
      <c r="BI39" s="100">
        <f t="shared" si="14"/>
        <v>0</v>
      </c>
    </row>
    <row r="40" spans="1:61">
      <c r="A40" t="s">
        <v>1403</v>
      </c>
      <c r="B40">
        <v>197</v>
      </c>
      <c r="D40" s="43">
        <v>18096.47849999999</v>
      </c>
      <c r="F40" t="s">
        <v>1414</v>
      </c>
      <c r="H40">
        <v>185</v>
      </c>
      <c r="J40" s="43">
        <v>18244.459599999998</v>
      </c>
      <c r="AP40" s="98" t="s">
        <v>1405</v>
      </c>
      <c r="AQ40" s="99">
        <f>SUM(AQ34:AQ37)/AQ38</f>
        <v>0.2391304347826087</v>
      </c>
      <c r="AR40" s="99">
        <f t="shared" ref="AR40:AU40" si="17">SUM(AR34:AR37)/AR38</f>
        <v>0.4</v>
      </c>
      <c r="AS40" s="99">
        <f t="shared" si="17"/>
        <v>0.29411764705882354</v>
      </c>
      <c r="AT40" s="99">
        <f t="shared" si="17"/>
        <v>0</v>
      </c>
      <c r="AU40" s="99">
        <f t="shared" si="17"/>
        <v>0</v>
      </c>
      <c r="AV40" s="90"/>
      <c r="AW40" s="90"/>
      <c r="AX40" s="98" t="s">
        <v>1405</v>
      </c>
      <c r="AY40" s="99">
        <f>SUM(AY34:AY37)/AY38</f>
        <v>2.1276595744680851E-2</v>
      </c>
      <c r="AZ40" s="99">
        <f t="shared" ref="AZ40:BC40" si="18">SUM(AZ34:AZ37)/AZ38</f>
        <v>0.16666666666666666</v>
      </c>
      <c r="BA40" s="99">
        <f t="shared" si="18"/>
        <v>0.1111111111111111</v>
      </c>
      <c r="BB40" s="99">
        <f t="shared" si="18"/>
        <v>8.0645161290322578E-3</v>
      </c>
      <c r="BC40" s="99">
        <f t="shared" si="18"/>
        <v>8.3333333333333329E-2</v>
      </c>
      <c r="BE40" s="77" t="s">
        <v>42</v>
      </c>
      <c r="BF40" s="79">
        <f>COUNTIFS('MARE MX'!$K:$K,"ENTERPRISE",'MARE MX'!$AQ:$AQ,"*OP*")</f>
        <v>2</v>
      </c>
      <c r="BG40" s="100">
        <f t="shared" si="13"/>
        <v>3.4482758620689655E-2</v>
      </c>
      <c r="BH40" s="79">
        <f>COUNTIFS('MARE MX'!$K:$K,"SMB",'MARE MX'!$AQ:$AQ,"*OP*")</f>
        <v>0</v>
      </c>
      <c r="BI40" s="100">
        <f t="shared" si="14"/>
        <v>0</v>
      </c>
    </row>
    <row r="41" spans="1:61">
      <c r="A41" t="s">
        <v>139</v>
      </c>
      <c r="B41">
        <v>10</v>
      </c>
      <c r="C41">
        <v>3</v>
      </c>
      <c r="D41" s="43">
        <v>2004.3418000000001</v>
      </c>
      <c r="F41" t="s">
        <v>1106</v>
      </c>
      <c r="G41" t="s">
        <v>84</v>
      </c>
      <c r="H41">
        <v>8</v>
      </c>
      <c r="J41" s="43">
        <v>7836.8487999999998</v>
      </c>
      <c r="BE41" s="77" t="s">
        <v>43</v>
      </c>
      <c r="BF41" s="79">
        <f>COUNTIFS('MARE MX'!$K:$K,"ENTERPRISE",'MARE MX'!$AR:$AR,"*OP*")</f>
        <v>2</v>
      </c>
      <c r="BG41" s="100">
        <f t="shared" si="13"/>
        <v>3.4482758620689655E-2</v>
      </c>
      <c r="BH41" s="79">
        <f>COUNTIFS('MARE MX'!$K:$K,"SMB",'MARE MX'!$AR:$AR,"*OP*")</f>
        <v>0</v>
      </c>
      <c r="BI41" s="100">
        <f t="shared" si="14"/>
        <v>0</v>
      </c>
    </row>
    <row r="42" spans="1:61">
      <c r="A42" t="s">
        <v>1379</v>
      </c>
      <c r="B42">
        <v>327</v>
      </c>
      <c r="C42">
        <v>3</v>
      </c>
      <c r="D42" s="43">
        <v>44935.260200000019</v>
      </c>
      <c r="G42" t="s">
        <v>97</v>
      </c>
      <c r="H42">
        <v>19</v>
      </c>
      <c r="J42" s="43">
        <v>22257.039900000003</v>
      </c>
      <c r="BE42" s="77" t="s">
        <v>44</v>
      </c>
      <c r="BF42" s="79">
        <f>COUNTIFS('MARE MX'!$K:$K,"ENTERPRISE",'MARE MX'!$AS:$AS,"*OP*")</f>
        <v>0</v>
      </c>
      <c r="BG42" s="100">
        <f t="shared" si="13"/>
        <v>0</v>
      </c>
      <c r="BH42" s="79">
        <f>COUNTIFS('MARE MX'!$K:$K,"SMB",'MARE MX'!$AS:$AS,"*OP*")</f>
        <v>0</v>
      </c>
      <c r="BI42" s="100">
        <f t="shared" si="14"/>
        <v>0</v>
      </c>
    </row>
    <row r="43" spans="1:61">
      <c r="G43" t="s">
        <v>92</v>
      </c>
      <c r="H43">
        <v>45</v>
      </c>
      <c r="J43" s="43">
        <v>37344.778199999986</v>
      </c>
      <c r="BE43" s="77" t="s">
        <v>45</v>
      </c>
      <c r="BF43" s="79">
        <f>COUNTIFS('MARE MX'!$K:$K,"ENTERPRISE",'MARE MX'!$AT:$AT,"*OP*")</f>
        <v>0</v>
      </c>
      <c r="BG43" s="100">
        <f t="shared" si="13"/>
        <v>0</v>
      </c>
      <c r="BH43" s="79">
        <f>COUNTIFS('MARE MX'!$K:$K,"SMB",'MARE MX'!$AT:$AT,"*OP*")</f>
        <v>0</v>
      </c>
      <c r="BI43" s="100">
        <f t="shared" si="14"/>
        <v>0</v>
      </c>
    </row>
    <row r="44" spans="1:61">
      <c r="G44" t="s">
        <v>1403</v>
      </c>
      <c r="H44">
        <v>2</v>
      </c>
      <c r="J44" s="43">
        <v>4103.2622000000001</v>
      </c>
      <c r="BE44" s="77" t="s">
        <v>46</v>
      </c>
      <c r="BF44" s="79">
        <f>COUNTIFS('MARE MX'!$K:$K,"ENTERPRISE",'MARE MX'!$AU:$AU,"*OP*")</f>
        <v>0</v>
      </c>
      <c r="BG44" s="100">
        <f t="shared" si="13"/>
        <v>0</v>
      </c>
      <c r="BH44" s="79">
        <f>COUNTIFS('MARE MX'!$K:$K,"SMB",'MARE MX'!$AU:$AU,"*OP*")</f>
        <v>0</v>
      </c>
      <c r="BI44" s="100">
        <f t="shared" si="14"/>
        <v>0</v>
      </c>
    </row>
    <row r="45" spans="1:61" s="22" customFormat="1">
      <c r="F45"/>
      <c r="G45" t="s">
        <v>139</v>
      </c>
      <c r="H45">
        <v>1</v>
      </c>
      <c r="I45"/>
      <c r="J45" s="43">
        <v>185.7157</v>
      </c>
      <c r="BE45" s="77" t="s">
        <v>47</v>
      </c>
      <c r="BF45" s="79">
        <f>COUNTIFS('MARE MX'!$K:$K,"ENTERPRISE",'MARE MX'!$AV:$AV,"*OP*")</f>
        <v>0</v>
      </c>
      <c r="BG45" s="100">
        <f t="shared" si="13"/>
        <v>0</v>
      </c>
      <c r="BH45" s="79">
        <f>COUNTIFS('MARE MX'!$K:$K,"SMB",'MARE MX'!$AV:$AV,"*OP*")</f>
        <v>0</v>
      </c>
      <c r="BI45" s="100">
        <f t="shared" si="14"/>
        <v>0</v>
      </c>
    </row>
    <row r="46" spans="1:61">
      <c r="F46" t="s">
        <v>1415</v>
      </c>
      <c r="H46">
        <v>75</v>
      </c>
      <c r="J46" s="43">
        <v>71727.64479999998</v>
      </c>
      <c r="AJ46" t="s">
        <v>1416</v>
      </c>
      <c r="BE46" s="77" t="s">
        <v>48</v>
      </c>
      <c r="BF46" s="79">
        <f>COUNTIFS('MARE MX'!$K:$K,"ENTERPRISE",'MARE MX'!$AW:$AW,"*OP*")</f>
        <v>0</v>
      </c>
      <c r="BG46" s="100">
        <f t="shared" si="13"/>
        <v>0</v>
      </c>
      <c r="BH46" s="79">
        <f>COUNTIFS('MARE MX'!$K:$K,"SMB",'MARE MX'!$AW:$AW,"*OP*")</f>
        <v>0</v>
      </c>
      <c r="BI46" s="100">
        <f t="shared" si="14"/>
        <v>0</v>
      </c>
    </row>
    <row r="47" spans="1:61">
      <c r="F47" t="s">
        <v>1403</v>
      </c>
      <c r="G47" t="s">
        <v>1403</v>
      </c>
      <c r="J47" s="43"/>
      <c r="BE47" s="77" t="s">
        <v>49</v>
      </c>
      <c r="BF47" s="79">
        <f>COUNTIFS('MARE MX'!$K:$K,"ENTERPRISE",'MARE MX'!$AX:$AX,"*OP*")</f>
        <v>0</v>
      </c>
      <c r="BG47" s="100">
        <f t="shared" si="13"/>
        <v>0</v>
      </c>
      <c r="BH47" s="79">
        <f>COUNTIFS('MARE MX'!$K:$K,"SMB",'MARE MX'!$AX:$AX,"*OP*")</f>
        <v>0</v>
      </c>
      <c r="BI47" s="100">
        <f t="shared" si="14"/>
        <v>0</v>
      </c>
    </row>
    <row r="48" spans="1:61">
      <c r="F48" t="s">
        <v>1417</v>
      </c>
      <c r="J48" s="43"/>
      <c r="BE48" s="78" t="s">
        <v>50</v>
      </c>
      <c r="BF48" s="80">
        <f>COUNTIFS('MARE MX'!$K:$K,"ENTERPRISE",'MARE MX'!$AY:$AY,"*OK*")</f>
        <v>2</v>
      </c>
      <c r="BG48" s="80"/>
      <c r="BH48" s="80">
        <f>COUNTIFS('MARE MX'!$K:$K,"SMB",'MARE MX'!$AY:$AY,"*OP*")</f>
        <v>6</v>
      </c>
    </row>
    <row r="49" spans="1:60">
      <c r="A49" t="s">
        <v>1418</v>
      </c>
      <c r="F49" t="s">
        <v>449</v>
      </c>
      <c r="G49" t="s">
        <v>1403</v>
      </c>
      <c r="H49">
        <v>5</v>
      </c>
      <c r="J49" s="43">
        <v>5238.9311999999991</v>
      </c>
      <c r="BE49" t="s">
        <v>1355</v>
      </c>
      <c r="BF49" s="90">
        <f>SUM(BF33:BF48)</f>
        <v>58</v>
      </c>
      <c r="BG49" s="90"/>
      <c r="BH49" s="90">
        <f>SUM(BH33:BH48)</f>
        <v>37</v>
      </c>
    </row>
    <row r="50" spans="1:60">
      <c r="A50" s="42" t="s">
        <v>10</v>
      </c>
      <c r="B50" t="s">
        <v>1419</v>
      </c>
      <c r="F50" t="s">
        <v>1420</v>
      </c>
      <c r="H50">
        <v>5</v>
      </c>
      <c r="J50" s="43">
        <v>5238.9311999999991</v>
      </c>
    </row>
    <row r="51" spans="1:60">
      <c r="F51" t="s">
        <v>1379</v>
      </c>
      <c r="H51">
        <v>446</v>
      </c>
      <c r="I51">
        <v>3</v>
      </c>
      <c r="J51" s="43">
        <v>160693.7589999999</v>
      </c>
    </row>
    <row r="52" spans="1:60" ht="45.2">
      <c r="A52" s="45" t="s">
        <v>28</v>
      </c>
      <c r="B52" s="22" t="s">
        <v>1396</v>
      </c>
      <c r="C52" s="22" t="s">
        <v>1397</v>
      </c>
      <c r="D52" s="46" t="s">
        <v>1398</v>
      </c>
    </row>
    <row r="53" spans="1:60">
      <c r="A53" t="s">
        <v>1379</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X134"/>
  <sheetViews>
    <sheetView workbookViewId="0">
      <pane ySplit="1" topLeftCell="A106" activePane="bottomLeft" state="frozen"/>
      <selection pane="bottomLeft" activeCell="C114" sqref="C114"/>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7.5703125" customWidth="1"/>
    <col min="9" max="9" width="23" customWidth="1"/>
    <col min="10" max="10" width="10.140625" customWidth="1"/>
    <col min="11" max="12" width="9.140625" customWidth="1"/>
    <col min="13" max="13" width="12.7109375" customWidth="1"/>
    <col min="14" max="14" width="16.7109375" style="406" customWidth="1"/>
    <col min="15" max="15" width="16.5703125" style="406"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366" customFormat="1">
      <c r="B1" s="365" t="s">
        <v>1421</v>
      </c>
      <c r="C1" s="365" t="s">
        <v>22</v>
      </c>
      <c r="D1" s="365" t="s">
        <v>1330</v>
      </c>
      <c r="E1" s="365" t="s">
        <v>1422</v>
      </c>
      <c r="F1" s="365" t="s">
        <v>11</v>
      </c>
      <c r="G1" s="365" t="s">
        <v>1423</v>
      </c>
      <c r="H1" s="365" t="s">
        <v>1399</v>
      </c>
      <c r="I1" s="365" t="s">
        <v>1424</v>
      </c>
      <c r="J1" s="365"/>
      <c r="K1" s="365" t="s">
        <v>1425</v>
      </c>
      <c r="L1" s="365" t="s">
        <v>1426</v>
      </c>
      <c r="M1" s="365" t="s">
        <v>1427</v>
      </c>
      <c r="N1" s="402" t="s">
        <v>1428</v>
      </c>
      <c r="O1" s="365" t="s">
        <v>1364</v>
      </c>
      <c r="P1" s="365" t="s">
        <v>1429</v>
      </c>
      <c r="Q1" s="365" t="s">
        <v>1430</v>
      </c>
      <c r="R1" s="366" t="s">
        <v>8</v>
      </c>
      <c r="S1" s="366" t="s">
        <v>1431</v>
      </c>
      <c r="U1" s="378" t="s">
        <v>1432</v>
      </c>
      <c r="V1" s="379">
        <v>17.649999999999999</v>
      </c>
    </row>
    <row r="2" spans="1:22" s="120" customFormat="1" hidden="1">
      <c r="A2" s="408" t="b">
        <v>1</v>
      </c>
      <c r="C2" s="120" t="s">
        <v>1433</v>
      </c>
      <c r="D2" s="120" t="s">
        <v>1332</v>
      </c>
      <c r="E2" s="120" t="s">
        <v>14</v>
      </c>
      <c r="F2" s="120" t="s">
        <v>69</v>
      </c>
      <c r="G2" s="120" t="s">
        <v>1378</v>
      </c>
      <c r="H2" s="120" t="s">
        <v>42</v>
      </c>
      <c r="I2" s="120" t="s">
        <v>1434</v>
      </c>
      <c r="K2" s="120">
        <v>197</v>
      </c>
      <c r="L2" s="120">
        <v>10</v>
      </c>
      <c r="M2" s="119">
        <f>L2*K2</f>
        <v>1970</v>
      </c>
      <c r="N2" s="493">
        <f t="shared" ref="N2:N18" si="0">M2/$V$1</f>
        <v>111.61473087818698</v>
      </c>
      <c r="O2" s="120" t="s">
        <v>1435</v>
      </c>
      <c r="Q2" s="120" t="str">
        <f>IFERROR(INDEX('MARE MX'!$K:$K,MATCH("*"&amp;I2&amp;"*",'MARE MX'!$F:$F,0)),"Sin dato")</f>
        <v>ENTERPRISE</v>
      </c>
    </row>
    <row r="3" spans="1:22" s="120" customFormat="1" hidden="1">
      <c r="A3" s="408" t="b">
        <v>1</v>
      </c>
      <c r="C3" s="120" t="s">
        <v>1433</v>
      </c>
      <c r="D3" s="120" t="s">
        <v>1332</v>
      </c>
      <c r="E3" s="120" t="s">
        <v>15</v>
      </c>
      <c r="F3" s="120" t="s">
        <v>69</v>
      </c>
      <c r="G3" s="120" t="s">
        <v>1378</v>
      </c>
      <c r="H3" s="120" t="s">
        <v>1436</v>
      </c>
      <c r="I3" s="120" t="s">
        <v>1437</v>
      </c>
      <c r="K3" s="120">
        <v>197</v>
      </c>
      <c r="L3" s="120">
        <v>10</v>
      </c>
      <c r="M3" s="119">
        <f>L3*K3</f>
        <v>1970</v>
      </c>
      <c r="N3" s="493">
        <f t="shared" si="0"/>
        <v>111.61473087818698</v>
      </c>
      <c r="O3" s="120" t="s">
        <v>1435</v>
      </c>
      <c r="Q3" s="120" t="str">
        <f>IFERROR(INDEX('MARE MX'!$K:$K,MATCH("*"&amp;I3&amp;"*",'MARE MX'!$F:$F,0)),"Sin dato")</f>
        <v>ENTERPRISE</v>
      </c>
      <c r="U3" s="384" t="s">
        <v>1438</v>
      </c>
      <c r="V3" s="385">
        <f>SUMIFS(N:N,G:G,U3,D:D,"Q1")</f>
        <v>2516.5518413597738</v>
      </c>
    </row>
    <row r="4" spans="1:22" s="120" customFormat="1" hidden="1">
      <c r="A4" s="408" t="b">
        <v>1</v>
      </c>
      <c r="C4" s="120" t="s">
        <v>1433</v>
      </c>
      <c r="D4" s="120" t="s">
        <v>1332</v>
      </c>
      <c r="E4" s="120" t="s">
        <v>15</v>
      </c>
      <c r="F4" s="120" t="s">
        <v>69</v>
      </c>
      <c r="G4" s="120" t="s">
        <v>1378</v>
      </c>
      <c r="H4" s="120" t="s">
        <v>1439</v>
      </c>
      <c r="I4" s="120" t="s">
        <v>1440</v>
      </c>
      <c r="M4" s="119">
        <v>5389</v>
      </c>
      <c r="N4" s="493">
        <f t="shared" si="0"/>
        <v>305.32577903682721</v>
      </c>
      <c r="O4" s="120" t="s">
        <v>1435</v>
      </c>
      <c r="Q4" s="120" t="str">
        <f>IFERROR(INDEX('MARE MX'!$K:$K,MATCH("*"&amp;I4&amp;"*",'MARE MX'!$F:$F,0)),"Sin dato")</f>
        <v>ENTERPRISE</v>
      </c>
      <c r="U4" s="386" t="s">
        <v>1378</v>
      </c>
      <c r="V4" s="387">
        <f>SUMIFS(N:N,G:G,U4,D:D,"Q1")</f>
        <v>2099.9787535410769</v>
      </c>
    </row>
    <row r="5" spans="1:22" s="120" customFormat="1" hidden="1">
      <c r="A5" s="408" t="b">
        <v>1</v>
      </c>
      <c r="B5" s="356" t="s">
        <v>1441</v>
      </c>
      <c r="C5" s="120" t="s">
        <v>1433</v>
      </c>
      <c r="D5" s="120" t="s">
        <v>1332</v>
      </c>
      <c r="E5" s="120" t="s">
        <v>15</v>
      </c>
      <c r="F5" s="120" t="s">
        <v>69</v>
      </c>
      <c r="G5" s="120" t="s">
        <v>1377</v>
      </c>
      <c r="H5" s="120" t="s">
        <v>1442</v>
      </c>
      <c r="I5" s="120" t="s">
        <v>1443</v>
      </c>
      <c r="K5" s="120">
        <v>558</v>
      </c>
      <c r="L5" s="120">
        <v>22</v>
      </c>
      <c r="M5" s="119">
        <f t="shared" ref="M5:M20" si="1">L5*K5</f>
        <v>12276</v>
      </c>
      <c r="N5" s="493">
        <f t="shared" si="0"/>
        <v>695.5240793201134</v>
      </c>
      <c r="O5" s="120" t="s">
        <v>1444</v>
      </c>
      <c r="Q5" s="120" t="str">
        <f>IFERROR(INDEX('MARE MX'!$K:$K,MATCH("*"&amp;I5&amp;"*",'MARE MX'!$F:$F,0)),"Sin dato")</f>
        <v>ENTERPRISE</v>
      </c>
      <c r="U5" s="388" t="s">
        <v>1445</v>
      </c>
      <c r="V5" s="389">
        <f>V4+V3</f>
        <v>4616.5305949008507</v>
      </c>
    </row>
    <row r="6" spans="1:22" s="120" customFormat="1" hidden="1">
      <c r="A6" s="408" t="b">
        <v>1</v>
      </c>
      <c r="B6" s="356" t="s">
        <v>1446</v>
      </c>
      <c r="C6" s="120" t="s">
        <v>1433</v>
      </c>
      <c r="D6" s="120" t="s">
        <v>1332</v>
      </c>
      <c r="E6" s="120" t="s">
        <v>16</v>
      </c>
      <c r="F6" s="120" t="s">
        <v>69</v>
      </c>
      <c r="G6" s="120" t="s">
        <v>1378</v>
      </c>
      <c r="H6" s="120" t="s">
        <v>1436</v>
      </c>
      <c r="I6" s="120" t="s">
        <v>1443</v>
      </c>
      <c r="K6" s="120">
        <v>15</v>
      </c>
      <c r="L6" s="120">
        <v>22</v>
      </c>
      <c r="M6" s="119">
        <f t="shared" si="1"/>
        <v>330</v>
      </c>
      <c r="N6" s="493">
        <f t="shared" si="0"/>
        <v>18.696883852691219</v>
      </c>
      <c r="O6" s="120" t="s">
        <v>1435</v>
      </c>
      <c r="Q6" s="120" t="str">
        <f>IFERROR(INDEX('MARE MX'!$K:$K,MATCH("*"&amp;I6&amp;"*",'MARE MX'!$F:$F,0)),"Sin dato")</f>
        <v>ENTERPRISE</v>
      </c>
    </row>
    <row r="7" spans="1:22" s="120" customFormat="1" hidden="1">
      <c r="A7" s="408" t="b">
        <v>1</v>
      </c>
      <c r="B7" s="356" t="s">
        <v>1441</v>
      </c>
      <c r="C7" s="120" t="s">
        <v>1433</v>
      </c>
      <c r="D7" s="120" t="s">
        <v>1332</v>
      </c>
      <c r="E7" s="120" t="s">
        <v>16</v>
      </c>
      <c r="F7" s="120" t="s">
        <v>69</v>
      </c>
      <c r="G7" s="120" t="s">
        <v>1377</v>
      </c>
      <c r="H7" s="120" t="s">
        <v>1447</v>
      </c>
      <c r="I7" s="120" t="s">
        <v>1443</v>
      </c>
      <c r="K7" s="120">
        <v>200</v>
      </c>
      <c r="L7" s="120">
        <v>22</v>
      </c>
      <c r="M7" s="119">
        <f t="shared" si="1"/>
        <v>4400</v>
      </c>
      <c r="N7" s="493">
        <f t="shared" si="0"/>
        <v>249.29178470254959</v>
      </c>
      <c r="O7" s="120" t="s">
        <v>1444</v>
      </c>
      <c r="Q7" s="120" t="str">
        <f>IFERROR(INDEX('MARE MX'!$K:$K,MATCH("*"&amp;I7&amp;"*",'MARE MX'!$F:$F,0)),"Sin dato")</f>
        <v>ENTERPRISE</v>
      </c>
      <c r="V7" s="119"/>
    </row>
    <row r="8" spans="1:22" s="120" customFormat="1" hidden="1">
      <c r="A8" s="408" t="b">
        <v>1</v>
      </c>
      <c r="B8" s="356" t="s">
        <v>1448</v>
      </c>
      <c r="C8" s="120" t="s">
        <v>1433</v>
      </c>
      <c r="D8" s="120" t="s">
        <v>1332</v>
      </c>
      <c r="E8" s="120" t="s">
        <v>16</v>
      </c>
      <c r="F8" s="120" t="s">
        <v>69</v>
      </c>
      <c r="G8" s="120" t="s">
        <v>1378</v>
      </c>
      <c r="H8" s="120" t="s">
        <v>1449</v>
      </c>
      <c r="I8" s="120" t="s">
        <v>1450</v>
      </c>
      <c r="K8" s="120">
        <v>228</v>
      </c>
      <c r="L8" s="120">
        <v>12</v>
      </c>
      <c r="M8" s="119">
        <f t="shared" si="1"/>
        <v>2736</v>
      </c>
      <c r="N8" s="493">
        <f t="shared" si="0"/>
        <v>155.01416430594901</v>
      </c>
      <c r="O8" s="120" t="s">
        <v>1435</v>
      </c>
      <c r="Q8" s="120" t="str">
        <f>IFERROR(INDEX('MARE MX'!$K:$K,MATCH("*"&amp;I8&amp;"*",'MARE MX'!$F:$F,0)),"Sin dato")</f>
        <v>ENTERPRISE</v>
      </c>
      <c r="V8" s="119"/>
    </row>
    <row r="9" spans="1:22" s="120" customFormat="1" hidden="1">
      <c r="A9" s="408" t="b">
        <v>1</v>
      </c>
      <c r="B9" s="356" t="s">
        <v>1451</v>
      </c>
      <c r="C9" s="356" t="s">
        <v>1433</v>
      </c>
      <c r="D9" s="120" t="s">
        <v>1332</v>
      </c>
      <c r="E9" s="120" t="s">
        <v>16</v>
      </c>
      <c r="F9" s="120" t="s">
        <v>69</v>
      </c>
      <c r="G9" s="120" t="s">
        <v>1377</v>
      </c>
      <c r="H9" s="120" t="s">
        <v>1452</v>
      </c>
      <c r="I9" s="120" t="s">
        <v>1450</v>
      </c>
      <c r="K9" s="120">
        <v>228</v>
      </c>
      <c r="L9" s="120">
        <v>32</v>
      </c>
      <c r="M9" s="119">
        <f t="shared" si="1"/>
        <v>7296</v>
      </c>
      <c r="N9" s="493">
        <f t="shared" si="0"/>
        <v>413.37110481586404</v>
      </c>
      <c r="O9" s="120" t="s">
        <v>1444</v>
      </c>
      <c r="Q9" s="120" t="str">
        <f>IFERROR(INDEX('MARE MX'!$K:$K,MATCH("*"&amp;I9&amp;"*",'MARE MX'!$F:$F,0)),"Sin dato")</f>
        <v>ENTERPRISE</v>
      </c>
      <c r="V9" s="119"/>
    </row>
    <row r="10" spans="1:22" s="120" customFormat="1" hidden="1">
      <c r="A10" s="408" t="b">
        <v>1</v>
      </c>
      <c r="B10" s="356" t="s">
        <v>1453</v>
      </c>
      <c r="C10" s="356" t="s">
        <v>1433</v>
      </c>
      <c r="D10" s="120" t="s">
        <v>1332</v>
      </c>
      <c r="E10" s="120" t="s">
        <v>16</v>
      </c>
      <c r="F10" s="120" t="s">
        <v>69</v>
      </c>
      <c r="G10" s="120" t="s">
        <v>1377</v>
      </c>
      <c r="H10" s="120" t="s">
        <v>1454</v>
      </c>
      <c r="I10" s="120" t="s">
        <v>1450</v>
      </c>
      <c r="K10" s="120">
        <v>319</v>
      </c>
      <c r="L10" s="120">
        <v>32</v>
      </c>
      <c r="M10" s="119">
        <f t="shared" si="1"/>
        <v>10208</v>
      </c>
      <c r="N10" s="493">
        <f t="shared" si="0"/>
        <v>578.35694050991503</v>
      </c>
      <c r="O10" s="120" t="s">
        <v>1444</v>
      </c>
      <c r="Q10" s="120" t="str">
        <f>IFERROR(INDEX('MARE MX'!$K:$K,MATCH("*"&amp;I10&amp;"*",'MARE MX'!$F:$F,0)),"Sin dato")</f>
        <v>ENTERPRISE</v>
      </c>
      <c r="V10" s="119"/>
    </row>
    <row r="11" spans="1:22" s="120" customFormat="1" hidden="1">
      <c r="A11" s="408" t="b">
        <v>1</v>
      </c>
      <c r="C11" s="120" t="s">
        <v>1433</v>
      </c>
      <c r="D11" s="120" t="s">
        <v>1332</v>
      </c>
      <c r="E11" s="120" t="s">
        <v>16</v>
      </c>
      <c r="F11" s="120" t="s">
        <v>69</v>
      </c>
      <c r="G11" s="120" t="s">
        <v>1378</v>
      </c>
      <c r="H11" s="120" t="s">
        <v>1455</v>
      </c>
      <c r="I11" s="120" t="s">
        <v>1456</v>
      </c>
      <c r="K11" s="120">
        <v>97</v>
      </c>
      <c r="L11" s="120">
        <v>10</v>
      </c>
      <c r="M11" s="119">
        <f t="shared" si="1"/>
        <v>970</v>
      </c>
      <c r="N11" s="493">
        <f t="shared" si="0"/>
        <v>54.957507082152979</v>
      </c>
      <c r="O11" s="120" t="s">
        <v>1435</v>
      </c>
      <c r="Q11" s="120" t="str">
        <f>IFERROR(INDEX('MARE MX'!$K:$K,MATCH("*"&amp;I11&amp;"*",'MARE MX'!$F:$F,0)),"Sin dato")</f>
        <v>SMB</v>
      </c>
    </row>
    <row r="12" spans="1:22" s="120" customFormat="1" hidden="1">
      <c r="A12" s="408" t="b">
        <v>1</v>
      </c>
      <c r="C12" s="120" t="s">
        <v>1433</v>
      </c>
      <c r="D12" s="120" t="s">
        <v>1332</v>
      </c>
      <c r="E12" s="120" t="s">
        <v>16</v>
      </c>
      <c r="F12" s="120" t="s">
        <v>69</v>
      </c>
      <c r="G12" s="120" t="s">
        <v>1378</v>
      </c>
      <c r="H12" s="120" t="s">
        <v>43</v>
      </c>
      <c r="I12" s="120" t="s">
        <v>1456</v>
      </c>
      <c r="K12" s="120">
        <v>97</v>
      </c>
      <c r="L12" s="120">
        <v>10</v>
      </c>
      <c r="M12" s="119">
        <f t="shared" si="1"/>
        <v>970</v>
      </c>
      <c r="N12" s="493">
        <f t="shared" si="0"/>
        <v>54.957507082152979</v>
      </c>
      <c r="O12" s="120" t="s">
        <v>1435</v>
      </c>
      <c r="Q12" s="120" t="str">
        <f>IFERROR(INDEX('MARE MX'!$K:$K,MATCH("*"&amp;I12&amp;"*",'MARE MX'!$F:$F,0)),"Sin dato")</f>
        <v>SMB</v>
      </c>
      <c r="V12" s="119"/>
    </row>
    <row r="13" spans="1:22" s="358" customFormat="1" hidden="1">
      <c r="A13" s="408" t="b">
        <v>1</v>
      </c>
      <c r="B13" s="357" t="s">
        <v>1457</v>
      </c>
      <c r="C13" s="357" t="s">
        <v>1433</v>
      </c>
      <c r="D13" s="358" t="s">
        <v>1332</v>
      </c>
      <c r="E13" s="358" t="s">
        <v>14</v>
      </c>
      <c r="F13" s="358" t="s">
        <v>456</v>
      </c>
      <c r="G13" s="358" t="s">
        <v>1458</v>
      </c>
      <c r="H13" s="358" t="s">
        <v>1459</v>
      </c>
      <c r="I13" s="358" t="s">
        <v>1460</v>
      </c>
      <c r="K13" s="358">
        <v>7</v>
      </c>
      <c r="L13" s="358">
        <v>287</v>
      </c>
      <c r="M13" s="359">
        <f t="shared" si="1"/>
        <v>2009</v>
      </c>
      <c r="N13" s="360">
        <f t="shared" si="0"/>
        <v>113.8243626062323</v>
      </c>
      <c r="Q13" s="358" t="str">
        <f>IFERROR(INDEX('MARE MX'!$K:$K,MATCH("*"&amp;I13&amp;"*",'MARE MX'!$F:$F,0)),"Sin dato")</f>
        <v>SMB</v>
      </c>
      <c r="V13" s="359"/>
    </row>
    <row r="14" spans="1:22" s="358" customFormat="1" hidden="1">
      <c r="A14" s="408" t="b">
        <v>1</v>
      </c>
      <c r="B14" s="357" t="s">
        <v>1461</v>
      </c>
      <c r="C14" s="357" t="s">
        <v>1433</v>
      </c>
      <c r="D14" s="358" t="s">
        <v>1332</v>
      </c>
      <c r="E14" s="358" t="s">
        <v>15</v>
      </c>
      <c r="F14" s="358" t="s">
        <v>456</v>
      </c>
      <c r="G14" s="358" t="s">
        <v>1378</v>
      </c>
      <c r="H14" s="358" t="s">
        <v>1462</v>
      </c>
      <c r="I14" s="358" t="s">
        <v>1463</v>
      </c>
      <c r="K14" s="358">
        <v>74</v>
      </c>
      <c r="L14" s="358">
        <v>6</v>
      </c>
      <c r="M14" s="358">
        <f t="shared" si="1"/>
        <v>444</v>
      </c>
      <c r="N14" s="359">
        <f t="shared" si="0"/>
        <v>25.155807365439095</v>
      </c>
      <c r="O14" s="358" t="s">
        <v>1464</v>
      </c>
      <c r="Q14" s="358" t="str">
        <f>IFERROR(INDEX('MARE MX'!$K:$K,MATCH("*"&amp;I14&amp;"*",'MARE MX'!$F:$F,0)),"Sin dato")</f>
        <v>SMB</v>
      </c>
      <c r="V14" s="359"/>
    </row>
    <row r="15" spans="1:22" s="358" customFormat="1" hidden="1">
      <c r="A15" s="408" t="b">
        <v>1</v>
      </c>
      <c r="B15" s="357" t="s">
        <v>1465</v>
      </c>
      <c r="C15" s="357" t="s">
        <v>1433</v>
      </c>
      <c r="D15" s="358" t="s">
        <v>1332</v>
      </c>
      <c r="E15" s="358" t="s">
        <v>15</v>
      </c>
      <c r="F15" s="358" t="s">
        <v>456</v>
      </c>
      <c r="G15" s="358" t="s">
        <v>1377</v>
      </c>
      <c r="H15" s="358" t="s">
        <v>1466</v>
      </c>
      <c r="I15" s="358" t="s">
        <v>1467</v>
      </c>
      <c r="K15" s="358">
        <v>100</v>
      </c>
      <c r="L15" s="358">
        <v>29</v>
      </c>
      <c r="M15" s="359">
        <f t="shared" si="1"/>
        <v>2900</v>
      </c>
      <c r="N15" s="360">
        <f t="shared" si="0"/>
        <v>164.3059490084986</v>
      </c>
      <c r="Q15" s="358" t="str">
        <f>IFERROR(INDEX('MARE MX'!$K:$K,MATCH("*"&amp;I15&amp;"*",'MARE MX'!$F:$F,0)),"Sin dato")</f>
        <v>SMB</v>
      </c>
    </row>
    <row r="16" spans="1:22" s="358" customFormat="1" hidden="1">
      <c r="A16" s="408" t="b">
        <v>1</v>
      </c>
      <c r="B16" s="357" t="s">
        <v>1468</v>
      </c>
      <c r="C16" s="357" t="s">
        <v>1433</v>
      </c>
      <c r="D16" s="358" t="s">
        <v>1332</v>
      </c>
      <c r="E16" s="358" t="s">
        <v>16</v>
      </c>
      <c r="F16" s="358" t="s">
        <v>456</v>
      </c>
      <c r="G16" s="358" t="s">
        <v>1377</v>
      </c>
      <c r="H16" s="358" t="s">
        <v>1466</v>
      </c>
      <c r="I16" s="358" t="s">
        <v>1469</v>
      </c>
      <c r="K16" s="358">
        <v>38</v>
      </c>
      <c r="L16" s="358">
        <v>34.04</v>
      </c>
      <c r="M16" s="359">
        <f t="shared" si="1"/>
        <v>1293.52</v>
      </c>
      <c r="N16" s="360">
        <f t="shared" si="0"/>
        <v>73.287252124645903</v>
      </c>
      <c r="Q16" s="358" t="str">
        <f>IFERROR(INDEX('MARE MX'!$K:$K,MATCH("*"&amp;I16&amp;"*",'MARE MX'!$F:$F,0)),"Sin dato")</f>
        <v>SMB</v>
      </c>
    </row>
    <row r="17" spans="1:22" s="358" customFormat="1" hidden="1">
      <c r="A17" s="408" t="b">
        <v>1</v>
      </c>
      <c r="B17" s="357" t="s">
        <v>1470</v>
      </c>
      <c r="C17" s="357" t="s">
        <v>1433</v>
      </c>
      <c r="D17" s="358" t="s">
        <v>1332</v>
      </c>
      <c r="E17" s="358" t="s">
        <v>16</v>
      </c>
      <c r="F17" s="358" t="s">
        <v>456</v>
      </c>
      <c r="G17" s="358" t="s">
        <v>1377</v>
      </c>
      <c r="H17" s="358" t="s">
        <v>1466</v>
      </c>
      <c r="I17" s="358" t="s">
        <v>1471</v>
      </c>
      <c r="K17" s="358">
        <v>57</v>
      </c>
      <c r="L17" s="358">
        <v>46.66</v>
      </c>
      <c r="M17" s="359">
        <f t="shared" si="1"/>
        <v>2659.62</v>
      </c>
      <c r="N17" s="360">
        <f t="shared" si="0"/>
        <v>150.68668555240794</v>
      </c>
      <c r="Q17" s="358" t="str">
        <f>IFERROR(INDEX('MARE MX'!$K:$K,MATCH("*"&amp;I17&amp;"*",'MARE MX'!$F:$F,0)),"Sin dato")</f>
        <v>Sin dato</v>
      </c>
    </row>
    <row r="18" spans="1:22" s="358" customFormat="1" hidden="1">
      <c r="A18" s="408" t="b">
        <v>1</v>
      </c>
      <c r="B18" s="357" t="s">
        <v>1470</v>
      </c>
      <c r="C18" s="357" t="s">
        <v>1433</v>
      </c>
      <c r="D18" s="358" t="s">
        <v>1332</v>
      </c>
      <c r="E18" s="358" t="s">
        <v>16</v>
      </c>
      <c r="F18" s="358" t="s">
        <v>456</v>
      </c>
      <c r="G18" s="358" t="s">
        <v>1378</v>
      </c>
      <c r="H18" s="358" t="s">
        <v>1436</v>
      </c>
      <c r="I18" s="358" t="s">
        <v>1472</v>
      </c>
      <c r="K18" s="358">
        <v>40</v>
      </c>
      <c r="L18" s="358">
        <v>10</v>
      </c>
      <c r="M18" s="359">
        <f t="shared" si="1"/>
        <v>400</v>
      </c>
      <c r="N18" s="359">
        <f t="shared" si="0"/>
        <v>22.6628895184136</v>
      </c>
      <c r="Q18" s="358" t="str">
        <f>IFERROR(INDEX('MARE MX'!$K:$K,MATCH("*"&amp;I18&amp;"*",'MARE MX'!$F:$F,0)),"Sin dato")</f>
        <v>SMB</v>
      </c>
    </row>
    <row r="19" spans="1:22" s="358" customFormat="1" hidden="1">
      <c r="A19" s="408" t="b">
        <v>1</v>
      </c>
      <c r="B19" s="357" t="s">
        <v>1473</v>
      </c>
      <c r="C19" s="358" t="s">
        <v>1433</v>
      </c>
      <c r="D19" s="358" t="s">
        <v>1332</v>
      </c>
      <c r="E19" s="358" t="s">
        <v>16</v>
      </c>
      <c r="F19" s="358" t="s">
        <v>456</v>
      </c>
      <c r="G19" s="358" t="s">
        <v>1378</v>
      </c>
      <c r="H19" s="358" t="s">
        <v>1455</v>
      </c>
      <c r="I19" s="358" t="s">
        <v>1474</v>
      </c>
      <c r="K19" s="358">
        <v>10</v>
      </c>
      <c r="L19" s="358">
        <v>35</v>
      </c>
      <c r="M19" s="359">
        <f t="shared" si="1"/>
        <v>350</v>
      </c>
      <c r="N19" s="359">
        <f>K19*L19/$V$1</f>
        <v>19.830028328611899</v>
      </c>
      <c r="O19" s="358" t="s">
        <v>1475</v>
      </c>
      <c r="Q19" s="358" t="str">
        <f>IFERROR(INDEX('MARE MX'!$K:$K,MATCH("*"&amp;I19&amp;"*",'MARE MX'!$F:$F,0)),"Sin dato")</f>
        <v>Sin dato</v>
      </c>
    </row>
    <row r="20" spans="1:22" s="358" customFormat="1" hidden="1">
      <c r="A20" s="408" t="b">
        <v>1</v>
      </c>
      <c r="B20" s="357" t="s">
        <v>1476</v>
      </c>
      <c r="C20" s="358" t="s">
        <v>1433</v>
      </c>
      <c r="D20" s="358" t="s">
        <v>1332</v>
      </c>
      <c r="E20" s="358" t="s">
        <v>16</v>
      </c>
      <c r="F20" s="358" t="s">
        <v>456</v>
      </c>
      <c r="G20" s="358" t="s">
        <v>1378</v>
      </c>
      <c r="H20" s="358" t="s">
        <v>1455</v>
      </c>
      <c r="I20" s="358" t="s">
        <v>1477</v>
      </c>
      <c r="K20" s="358">
        <v>35</v>
      </c>
      <c r="L20" s="358">
        <v>15</v>
      </c>
      <c r="M20" s="359">
        <f t="shared" si="1"/>
        <v>525</v>
      </c>
      <c r="N20" s="359">
        <f>K20*L20/$V$1</f>
        <v>29.74504249291785</v>
      </c>
      <c r="O20" s="358" t="s">
        <v>1478</v>
      </c>
      <c r="Q20" s="358" t="str">
        <f>IFERROR(INDEX('MARE MX'!$K:$K,MATCH("*"&amp;I20&amp;"*",'MARE MX'!$F:$F,0)),"Sin dato")</f>
        <v>SMB</v>
      </c>
    </row>
    <row r="21" spans="1:22" s="362" customFormat="1" hidden="1">
      <c r="A21" s="408" t="b">
        <v>1</v>
      </c>
      <c r="B21" s="361" t="s">
        <v>1479</v>
      </c>
      <c r="C21" s="362" t="s">
        <v>1433</v>
      </c>
      <c r="D21" s="362" t="s">
        <v>1332</v>
      </c>
      <c r="E21" s="362" t="s">
        <v>14</v>
      </c>
      <c r="F21" s="362" t="s">
        <v>1106</v>
      </c>
      <c r="G21" s="362" t="s">
        <v>1378</v>
      </c>
      <c r="H21" s="362" t="s">
        <v>1480</v>
      </c>
      <c r="I21" s="362" t="s">
        <v>1481</v>
      </c>
      <c r="J21" s="362" t="s">
        <v>1482</v>
      </c>
      <c r="K21" s="362">
        <v>900</v>
      </c>
      <c r="L21" s="362">
        <f>0.25*0.9</f>
        <v>0.22500000000000001</v>
      </c>
      <c r="N21" s="364">
        <f>K21*L21</f>
        <v>202.5</v>
      </c>
      <c r="O21" s="362" t="s">
        <v>1435</v>
      </c>
      <c r="Q21" s="362" t="str">
        <f>IFERROR(INDEX('MARE MX'!$K:$K,MATCH("*"&amp;I21&amp;"*",'MARE MX'!$F:$F,0)),"Sin dato")</f>
        <v>ENTERPRISE</v>
      </c>
    </row>
    <row r="22" spans="1:22" s="362" customFormat="1" hidden="1">
      <c r="A22" s="408" t="b">
        <v>1</v>
      </c>
      <c r="B22" s="361" t="s">
        <v>1483</v>
      </c>
      <c r="C22" s="362" t="s">
        <v>1433</v>
      </c>
      <c r="D22" s="362" t="s">
        <v>1332</v>
      </c>
      <c r="E22" s="362" t="s">
        <v>16</v>
      </c>
      <c r="F22" s="362" t="s">
        <v>1106</v>
      </c>
      <c r="G22" s="362" t="s">
        <v>1378</v>
      </c>
      <c r="H22" s="362" t="s">
        <v>40</v>
      </c>
      <c r="I22" s="362" t="s">
        <v>1310</v>
      </c>
      <c r="J22" s="362" t="s">
        <v>1367</v>
      </c>
      <c r="K22" s="362">
        <v>5071</v>
      </c>
      <c r="L22" s="362">
        <v>2</v>
      </c>
      <c r="M22" s="364">
        <f>L22*K22</f>
        <v>10142</v>
      </c>
      <c r="N22" s="364">
        <f>M22/$V$1</f>
        <v>574.61756373937681</v>
      </c>
      <c r="O22" s="362" t="s">
        <v>1435</v>
      </c>
      <c r="Q22" s="362" t="str">
        <f>IFERROR(INDEX('MARE MX'!$K:$K,MATCH("*"&amp;I22&amp;"*",'MARE MX'!$F:$F,0)),"Sin dato")</f>
        <v>ENTERPRISE</v>
      </c>
    </row>
    <row r="23" spans="1:22" s="362" customFormat="1" hidden="1">
      <c r="A23" s="408" t="b">
        <v>1</v>
      </c>
      <c r="B23" s="361" t="s">
        <v>1484</v>
      </c>
      <c r="C23" s="362" t="s">
        <v>1433</v>
      </c>
      <c r="D23" s="362" t="s">
        <v>1332</v>
      </c>
      <c r="E23" s="362" t="s">
        <v>16</v>
      </c>
      <c r="F23" s="362" t="s">
        <v>1106</v>
      </c>
      <c r="G23" s="362" t="s">
        <v>1378</v>
      </c>
      <c r="H23" s="362" t="s">
        <v>1480</v>
      </c>
      <c r="I23" s="362" t="s">
        <v>1213</v>
      </c>
      <c r="K23" s="362">
        <v>714</v>
      </c>
      <c r="L23" s="362">
        <v>4.5</v>
      </c>
      <c r="M23" s="364">
        <f>L23*K23</f>
        <v>3213</v>
      </c>
      <c r="N23" s="364">
        <f>M23/$V$1</f>
        <v>182.03966005665723</v>
      </c>
      <c r="O23" s="362" t="s">
        <v>1435</v>
      </c>
      <c r="Q23" s="362" t="str">
        <f>IFERROR(INDEX('MARE MX'!$K:$K,MATCH("*"&amp;I23&amp;"*",'MARE MX'!$F:$F,0)),"Sin dato")</f>
        <v>ENTERPRISE</v>
      </c>
    </row>
    <row r="24" spans="1:22" s="362" customFormat="1" hidden="1">
      <c r="A24" s="408" t="b">
        <v>1</v>
      </c>
      <c r="B24" s="361" t="s">
        <v>1485</v>
      </c>
      <c r="C24" s="361" t="s">
        <v>1433</v>
      </c>
      <c r="D24" s="362" t="s">
        <v>1332</v>
      </c>
      <c r="E24" s="362" t="s">
        <v>16</v>
      </c>
      <c r="F24" s="362" t="s">
        <v>1106</v>
      </c>
      <c r="G24" s="362" t="s">
        <v>1377</v>
      </c>
      <c r="H24" s="362" t="s">
        <v>1466</v>
      </c>
      <c r="I24" s="362" t="s">
        <v>1221</v>
      </c>
      <c r="K24" s="362">
        <v>72</v>
      </c>
      <c r="L24" s="362">
        <v>47</v>
      </c>
      <c r="M24" s="364">
        <f>L24*K24</f>
        <v>3384</v>
      </c>
      <c r="N24" s="363">
        <f>M24/$V$1</f>
        <v>191.72804532577905</v>
      </c>
      <c r="Q24" s="362" t="str">
        <f>IFERROR(INDEX('MARE MX'!$K:$K,MATCH("*"&amp;I24&amp;"*",'MARE MX'!$F:$F,0)),"Sin dato")</f>
        <v>ENTERPRISE</v>
      </c>
    </row>
    <row r="25" spans="1:22" s="362" customFormat="1" hidden="1">
      <c r="A25" s="408" t="b">
        <v>1</v>
      </c>
      <c r="B25" s="361" t="s">
        <v>1486</v>
      </c>
      <c r="C25" s="362" t="s">
        <v>1433</v>
      </c>
      <c r="D25" s="362" t="s">
        <v>1332</v>
      </c>
      <c r="E25" s="362" t="s">
        <v>16</v>
      </c>
      <c r="F25" s="362" t="s">
        <v>1106</v>
      </c>
      <c r="G25" s="362" t="s">
        <v>1378</v>
      </c>
      <c r="H25" s="362" t="s">
        <v>1487</v>
      </c>
      <c r="I25" s="362" t="s">
        <v>1488</v>
      </c>
      <c r="N25" s="364">
        <v>30</v>
      </c>
      <c r="O25" s="362" t="s">
        <v>1435</v>
      </c>
      <c r="Q25" s="362" t="str">
        <f>IFERROR(INDEX('MARE MX'!$K:$K,MATCH("*"&amp;I25&amp;"*",'MARE MX'!$F:$F,0)),"Sin dato")</f>
        <v>SMB</v>
      </c>
    </row>
    <row r="26" spans="1:22" s="362" customFormat="1" hidden="1">
      <c r="A26" s="408" t="b">
        <v>1</v>
      </c>
      <c r="B26" s="361" t="s">
        <v>1485</v>
      </c>
      <c r="C26" s="361" t="s">
        <v>1433</v>
      </c>
      <c r="D26" s="362" t="s">
        <v>1332</v>
      </c>
      <c r="E26" s="362" t="s">
        <v>16</v>
      </c>
      <c r="F26" s="362" t="s">
        <v>1106</v>
      </c>
      <c r="G26" s="362" t="s">
        <v>1378</v>
      </c>
      <c r="H26" s="362" t="s">
        <v>42</v>
      </c>
      <c r="I26" s="362" t="s">
        <v>1489</v>
      </c>
      <c r="K26" s="362">
        <v>444</v>
      </c>
      <c r="L26" s="362">
        <v>8</v>
      </c>
      <c r="M26" s="364">
        <f t="shared" ref="M26:M38" si="2">L26*K26</f>
        <v>3552</v>
      </c>
      <c r="N26" s="364">
        <f>M26/$V$1</f>
        <v>201.24645892351276</v>
      </c>
      <c r="O26" s="362" t="s">
        <v>1435</v>
      </c>
      <c r="Q26" s="362" t="str">
        <f>IFERROR(INDEX('MARE MX'!$K:$K,MATCH("*"&amp;I26&amp;"*",'MARE MX'!$F:$F,0)),"Sin dato")</f>
        <v>ENTERPRISE</v>
      </c>
    </row>
    <row r="27" spans="1:22" s="373" customFormat="1" hidden="1">
      <c r="A27" s="411" t="b">
        <v>0</v>
      </c>
      <c r="B27" s="373" t="s">
        <v>1490</v>
      </c>
      <c r="C27" s="374" t="s">
        <v>1491</v>
      </c>
      <c r="D27" s="373" t="s">
        <v>1340</v>
      </c>
      <c r="E27" s="373" t="s">
        <v>17</v>
      </c>
      <c r="F27" s="373" t="s">
        <v>69</v>
      </c>
      <c r="G27" s="373" t="s">
        <v>1378</v>
      </c>
      <c r="H27" s="373" t="s">
        <v>43</v>
      </c>
      <c r="I27" s="373" t="s">
        <v>1492</v>
      </c>
      <c r="K27" s="373">
        <v>0</v>
      </c>
      <c r="L27" s="373">
        <v>0</v>
      </c>
      <c r="M27" s="375">
        <f t="shared" si="2"/>
        <v>0</v>
      </c>
      <c r="N27" s="403">
        <f t="shared" ref="N27:N51" si="3">M27/$V$27</f>
        <v>0</v>
      </c>
      <c r="O27" s="522"/>
      <c r="P27" s="373" t="s">
        <v>1493</v>
      </c>
      <c r="Q27" s="373" t="str">
        <f>IFERROR(INDEX('MARE MX'!$K:$K,MATCH("*"&amp;I27&amp;"*",'MARE MX'!$F:$F,0)),"Sin dato")</f>
        <v>SMB</v>
      </c>
      <c r="U27" s="376" t="s">
        <v>1494</v>
      </c>
      <c r="V27" s="377">
        <v>17.5</v>
      </c>
    </row>
    <row r="28" spans="1:22" s="373" customFormat="1" hidden="1">
      <c r="A28" s="411" t="b">
        <v>1</v>
      </c>
      <c r="B28" s="374" t="s">
        <v>1495</v>
      </c>
      <c r="C28" s="374" t="s">
        <v>1433</v>
      </c>
      <c r="D28" s="373" t="s">
        <v>1340</v>
      </c>
      <c r="E28" s="373" t="s">
        <v>19</v>
      </c>
      <c r="F28" s="373" t="s">
        <v>69</v>
      </c>
      <c r="G28" s="373" t="s">
        <v>1378</v>
      </c>
      <c r="H28" s="373" t="s">
        <v>39</v>
      </c>
      <c r="I28" s="373" t="s">
        <v>1443</v>
      </c>
      <c r="K28" s="373">
        <v>2200</v>
      </c>
      <c r="L28" s="373">
        <v>8</v>
      </c>
      <c r="M28" s="375">
        <f t="shared" si="2"/>
        <v>17600</v>
      </c>
      <c r="N28" s="407">
        <f>M28/$V$27</f>
        <v>1005.7142857142857</v>
      </c>
      <c r="O28" s="522" t="s">
        <v>1496</v>
      </c>
      <c r="P28" s="375" t="s">
        <v>1497</v>
      </c>
      <c r="Q28" s="373" t="str">
        <f>IFERROR(INDEX('MARE MX'!$K:$K,MATCH("*"&amp;I28&amp;"*",'MARE MX'!$F:$F,0)),"Sin dato")</f>
        <v>ENTERPRISE</v>
      </c>
      <c r="S28" s="373" t="s">
        <v>127</v>
      </c>
      <c r="U28" s="380" t="s">
        <v>1378</v>
      </c>
      <c r="V28" s="381">
        <f>SUMIFS(N:N,G:G,U28,D:D,"Q2")</f>
        <v>3914.5342857142864</v>
      </c>
    </row>
    <row r="29" spans="1:22" s="373" customFormat="1" hidden="1">
      <c r="A29" s="411" t="b">
        <v>0</v>
      </c>
      <c r="B29" s="374" t="s">
        <v>1498</v>
      </c>
      <c r="C29" s="374" t="s">
        <v>1433</v>
      </c>
      <c r="D29" s="373" t="s">
        <v>1340</v>
      </c>
      <c r="E29" s="373" t="s">
        <v>19</v>
      </c>
      <c r="F29" s="373" t="s">
        <v>69</v>
      </c>
      <c r="G29" s="373" t="s">
        <v>1377</v>
      </c>
      <c r="H29" s="373" t="s">
        <v>1499</v>
      </c>
      <c r="I29" s="373" t="s">
        <v>1450</v>
      </c>
      <c r="K29" s="373">
        <v>224</v>
      </c>
      <c r="L29" s="373">
        <v>28</v>
      </c>
      <c r="M29" s="375">
        <f t="shared" si="2"/>
        <v>6272</v>
      </c>
      <c r="N29" s="403">
        <f t="shared" si="3"/>
        <v>358.4</v>
      </c>
      <c r="O29" s="522" t="s">
        <v>1500</v>
      </c>
      <c r="P29" s="373" t="s">
        <v>1501</v>
      </c>
      <c r="Q29" s="373" t="str">
        <f>IFERROR(INDEX('MARE MX'!$K:$K,MATCH("*"&amp;I29&amp;"*",'MARE MX'!$F:$F,0)),"Sin dato")</f>
        <v>ENTERPRISE</v>
      </c>
      <c r="S29" s="373" t="s">
        <v>127</v>
      </c>
      <c r="U29" s="380" t="s">
        <v>1438</v>
      </c>
      <c r="V29" s="381">
        <f>SUMIFS(N:N,G:G,U29,D:D,"Q2")</f>
        <v>3782.411428571429</v>
      </c>
    </row>
    <row r="30" spans="1:22" s="373" customFormat="1" hidden="1">
      <c r="A30" s="411" t="b">
        <v>0</v>
      </c>
      <c r="B30" s="374" t="s">
        <v>1502</v>
      </c>
      <c r="C30" s="374"/>
      <c r="D30" s="373" t="s">
        <v>1340</v>
      </c>
      <c r="E30" s="373" t="s">
        <v>19</v>
      </c>
      <c r="F30" s="373" t="s">
        <v>69</v>
      </c>
      <c r="G30" s="373" t="s">
        <v>1378</v>
      </c>
      <c r="H30" s="373" t="s">
        <v>1503</v>
      </c>
      <c r="I30" s="373" t="s">
        <v>1450</v>
      </c>
      <c r="K30" s="373">
        <v>130</v>
      </c>
      <c r="L30" s="373">
        <v>8</v>
      </c>
      <c r="M30" s="375">
        <f t="shared" si="2"/>
        <v>1040</v>
      </c>
      <c r="N30" s="407">
        <f t="shared" si="3"/>
        <v>59.428571428571431</v>
      </c>
      <c r="O30" s="522" t="s">
        <v>1504</v>
      </c>
      <c r="P30" s="373" t="s">
        <v>1505</v>
      </c>
      <c r="Q30" s="373" t="str">
        <f>IFERROR(INDEX('MARE MX'!$K:$K,MATCH("*"&amp;I30&amp;"*",'MARE MX'!$F:$F,0)),"Sin dato")</f>
        <v>ENTERPRISE</v>
      </c>
      <c r="S30" s="373" t="s">
        <v>127</v>
      </c>
      <c r="U30" s="382" t="s">
        <v>1445</v>
      </c>
      <c r="V30" s="383">
        <f>V28+V29</f>
        <v>7696.9457142857154</v>
      </c>
    </row>
    <row r="31" spans="1:22" s="373" customFormat="1" hidden="1">
      <c r="A31" s="411" t="b">
        <v>0</v>
      </c>
      <c r="B31" s="374" t="s">
        <v>1506</v>
      </c>
      <c r="C31" s="374" t="s">
        <v>1433</v>
      </c>
      <c r="D31" s="373" t="s">
        <v>1340</v>
      </c>
      <c r="E31" s="373" t="s">
        <v>19</v>
      </c>
      <c r="F31" s="373" t="s">
        <v>69</v>
      </c>
      <c r="G31" s="373" t="s">
        <v>1377</v>
      </c>
      <c r="H31" s="373" t="s">
        <v>1507</v>
      </c>
      <c r="I31" s="373" t="s">
        <v>1450</v>
      </c>
      <c r="K31" s="373">
        <v>575</v>
      </c>
      <c r="L31" s="373">
        <v>28</v>
      </c>
      <c r="M31" s="375">
        <f t="shared" si="2"/>
        <v>16100</v>
      </c>
      <c r="N31" s="403">
        <f t="shared" si="3"/>
        <v>920</v>
      </c>
      <c r="O31" s="522" t="s">
        <v>1508</v>
      </c>
      <c r="P31" s="373" t="s">
        <v>1501</v>
      </c>
      <c r="Q31" s="373" t="str">
        <f>IFERROR(INDEX('MARE MX'!$K:$K,MATCH("*"&amp;I31&amp;"*",'MARE MX'!$F:$F,0)),"Sin dato")</f>
        <v>ENTERPRISE</v>
      </c>
      <c r="S31" s="373" t="s">
        <v>127</v>
      </c>
    </row>
    <row r="32" spans="1:22" s="373" customFormat="1" hidden="1">
      <c r="A32" s="411" t="b">
        <v>0</v>
      </c>
      <c r="B32" s="494" t="s">
        <v>1509</v>
      </c>
      <c r="C32" s="374" t="s">
        <v>1433</v>
      </c>
      <c r="D32" s="373" t="s">
        <v>1340</v>
      </c>
      <c r="E32" s="373" t="s">
        <v>19</v>
      </c>
      <c r="F32" s="373" t="s">
        <v>69</v>
      </c>
      <c r="G32" s="373" t="s">
        <v>1378</v>
      </c>
      <c r="H32" s="373" t="s">
        <v>1510</v>
      </c>
      <c r="I32" s="373" t="s">
        <v>1450</v>
      </c>
      <c r="K32" s="373">
        <v>575</v>
      </c>
      <c r="L32" s="373">
        <v>8</v>
      </c>
      <c r="M32" s="375">
        <f t="shared" si="2"/>
        <v>4600</v>
      </c>
      <c r="N32" s="407">
        <f t="shared" si="3"/>
        <v>262.85714285714283</v>
      </c>
      <c r="O32" s="522" t="s">
        <v>1508</v>
      </c>
      <c r="P32" s="373" t="s">
        <v>1511</v>
      </c>
      <c r="Q32" s="373" t="str">
        <f>IFERROR(INDEX('MARE MX'!$K:$K,MATCH("*"&amp;I32&amp;"*",'MARE MX'!$F:$F,0)),"Sin dato")</f>
        <v>ENTERPRISE</v>
      </c>
      <c r="S32" s="373" t="s">
        <v>127</v>
      </c>
    </row>
    <row r="33" spans="1:19" s="373" customFormat="1" hidden="1">
      <c r="A33" s="411" t="b">
        <v>0</v>
      </c>
      <c r="B33" s="374" t="s">
        <v>1512</v>
      </c>
      <c r="C33" s="374" t="s">
        <v>1433</v>
      </c>
      <c r="D33" s="373" t="s">
        <v>1340</v>
      </c>
      <c r="E33" s="373" t="s">
        <v>19</v>
      </c>
      <c r="F33" s="373" t="s">
        <v>69</v>
      </c>
      <c r="G33" s="373" t="s">
        <v>1378</v>
      </c>
      <c r="H33" s="373" t="s">
        <v>1513</v>
      </c>
      <c r="I33" s="373" t="s">
        <v>1450</v>
      </c>
      <c r="K33" s="373">
        <v>575</v>
      </c>
      <c r="L33" s="373">
        <v>8</v>
      </c>
      <c r="M33" s="375">
        <f t="shared" si="2"/>
        <v>4600</v>
      </c>
      <c r="N33" s="407">
        <f t="shared" si="3"/>
        <v>262.85714285714283</v>
      </c>
      <c r="O33" s="522" t="s">
        <v>1508</v>
      </c>
      <c r="P33" s="373" t="s">
        <v>1514</v>
      </c>
      <c r="Q33" s="373" t="str">
        <f>IFERROR(INDEX('MARE MX'!$K:$K,MATCH("*"&amp;I33&amp;"*",'MARE MX'!$F:$F,0)),"Sin dato")</f>
        <v>ENTERPRISE</v>
      </c>
      <c r="S33" s="373" t="s">
        <v>127</v>
      </c>
    </row>
    <row r="34" spans="1:19" s="373" customFormat="1" hidden="1">
      <c r="A34" s="411" t="b">
        <v>0</v>
      </c>
      <c r="B34" s="374" t="s">
        <v>1515</v>
      </c>
      <c r="C34" s="374" t="s">
        <v>1433</v>
      </c>
      <c r="D34" s="373" t="s">
        <v>1340</v>
      </c>
      <c r="E34" s="373" t="s">
        <v>19</v>
      </c>
      <c r="F34" s="373" t="s">
        <v>69</v>
      </c>
      <c r="G34" s="373" t="s">
        <v>1377</v>
      </c>
      <c r="H34" s="373" t="s">
        <v>1516</v>
      </c>
      <c r="I34" s="373" t="s">
        <v>1450</v>
      </c>
      <c r="K34" s="373">
        <v>125</v>
      </c>
      <c r="L34" s="373">
        <v>28</v>
      </c>
      <c r="M34" s="375">
        <f t="shared" si="2"/>
        <v>3500</v>
      </c>
      <c r="N34" s="403">
        <f t="shared" si="3"/>
        <v>200</v>
      </c>
      <c r="O34" s="522" t="s">
        <v>1517</v>
      </c>
      <c r="P34" s="373" t="s">
        <v>1501</v>
      </c>
      <c r="Q34" s="373" t="str">
        <f>IFERROR(INDEX('MARE MX'!$K:$K,MATCH("*"&amp;I34&amp;"*",'MARE MX'!$F:$F,0)),"Sin dato")</f>
        <v>ENTERPRISE</v>
      </c>
      <c r="S34" s="373" t="s">
        <v>127</v>
      </c>
    </row>
    <row r="35" spans="1:19" s="373" customFormat="1" hidden="1">
      <c r="A35" s="411" t="b">
        <v>0</v>
      </c>
      <c r="B35" s="494" t="s">
        <v>1518</v>
      </c>
      <c r="C35" s="374" t="s">
        <v>1433</v>
      </c>
      <c r="D35" s="373" t="s">
        <v>1340</v>
      </c>
      <c r="E35" s="373" t="s">
        <v>19</v>
      </c>
      <c r="F35" s="373" t="s">
        <v>69</v>
      </c>
      <c r="G35" s="373" t="s">
        <v>1378</v>
      </c>
      <c r="H35" s="373" t="s">
        <v>1519</v>
      </c>
      <c r="I35" s="373" t="s">
        <v>1450</v>
      </c>
      <c r="K35" s="373">
        <v>125</v>
      </c>
      <c r="L35" s="373">
        <v>8</v>
      </c>
      <c r="M35" s="375">
        <f t="shared" si="2"/>
        <v>1000</v>
      </c>
      <c r="N35" s="407">
        <f t="shared" si="3"/>
        <v>57.142857142857146</v>
      </c>
      <c r="O35" s="522" t="s">
        <v>1517</v>
      </c>
      <c r="P35" s="373" t="s">
        <v>1520</v>
      </c>
      <c r="Q35" s="373" t="str">
        <f>IFERROR(INDEX('MARE MX'!$K:$K,MATCH("*"&amp;I35&amp;"*",'MARE MX'!$F:$F,0)),"Sin dato")</f>
        <v>ENTERPRISE</v>
      </c>
      <c r="S35" s="373" t="s">
        <v>127</v>
      </c>
    </row>
    <row r="36" spans="1:19" s="120" customFormat="1" hidden="1">
      <c r="A36" s="408" t="b">
        <v>0</v>
      </c>
      <c r="B36" s="356" t="s">
        <v>1521</v>
      </c>
      <c r="C36" s="374" t="s">
        <v>1433</v>
      </c>
      <c r="D36" s="373" t="s">
        <v>1340</v>
      </c>
      <c r="E36" s="373" t="s">
        <v>19</v>
      </c>
      <c r="F36" s="120" t="s">
        <v>69</v>
      </c>
      <c r="G36" s="120" t="s">
        <v>1377</v>
      </c>
      <c r="H36" s="120" t="s">
        <v>1466</v>
      </c>
      <c r="I36" s="120" t="s">
        <v>1522</v>
      </c>
      <c r="K36" s="120">
        <v>262</v>
      </c>
      <c r="L36" s="120">
        <v>28</v>
      </c>
      <c r="M36" s="119">
        <f>L36*K36</f>
        <v>7336</v>
      </c>
      <c r="N36" s="493">
        <f>M36/$V$27</f>
        <v>419.2</v>
      </c>
      <c r="O36" s="522" t="s">
        <v>1523</v>
      </c>
      <c r="P36" s="120" t="s">
        <v>1524</v>
      </c>
      <c r="Q36" s="120" t="str">
        <f>IFERROR(INDEX('MARE MX'!$K:$K,MATCH("*"&amp;I36&amp;"*",'MARE MX'!$F:$F,0)),"Sin dato")</f>
        <v>Sin dato</v>
      </c>
    </row>
    <row r="37" spans="1:19" s="371" customFormat="1" hidden="1">
      <c r="A37" s="412" t="b">
        <v>1</v>
      </c>
      <c r="B37" s="370" t="s">
        <v>1525</v>
      </c>
      <c r="C37" s="370" t="s">
        <v>1433</v>
      </c>
      <c r="D37" s="371" t="s">
        <v>1340</v>
      </c>
      <c r="E37" s="371" t="s">
        <v>17</v>
      </c>
      <c r="F37" s="371" t="s">
        <v>456</v>
      </c>
      <c r="G37" s="371" t="s">
        <v>1377</v>
      </c>
      <c r="H37" s="371" t="s">
        <v>1466</v>
      </c>
      <c r="I37" s="371" t="s">
        <v>1526</v>
      </c>
      <c r="K37" s="371">
        <v>216</v>
      </c>
      <c r="L37" s="371">
        <v>57</v>
      </c>
      <c r="M37" s="372">
        <f t="shared" si="2"/>
        <v>12312</v>
      </c>
      <c r="N37" s="404">
        <f t="shared" si="3"/>
        <v>703.54285714285709</v>
      </c>
      <c r="O37" s="372"/>
      <c r="Q37" s="371" t="str">
        <f>IFERROR(INDEX('MARE MX'!$K:$K,MATCH("*"&amp;I37&amp;"*",'MARE MX'!$F:$F,0)),"Sin dato")</f>
        <v>ENTERPRISE</v>
      </c>
    </row>
    <row r="38" spans="1:19" s="371" customFormat="1" hidden="1">
      <c r="A38" s="412" t="b">
        <v>1</v>
      </c>
      <c r="B38" s="370" t="s">
        <v>1527</v>
      </c>
      <c r="C38" s="371" t="s">
        <v>1433</v>
      </c>
      <c r="D38" s="371" t="s">
        <v>1340</v>
      </c>
      <c r="E38" s="371" t="s">
        <v>17</v>
      </c>
      <c r="F38" s="371" t="s">
        <v>456</v>
      </c>
      <c r="G38" s="371" t="s">
        <v>1377</v>
      </c>
      <c r="H38" s="371" t="s">
        <v>1466</v>
      </c>
      <c r="I38" s="371" t="s">
        <v>699</v>
      </c>
      <c r="J38" s="371" t="s">
        <v>1528</v>
      </c>
      <c r="K38" s="371">
        <v>160</v>
      </c>
      <c r="L38" s="371">
        <v>43.77</v>
      </c>
      <c r="M38" s="372">
        <f t="shared" si="2"/>
        <v>7003.2000000000007</v>
      </c>
      <c r="N38" s="404">
        <f t="shared" si="3"/>
        <v>400.18285714285719</v>
      </c>
      <c r="O38" s="372" t="s">
        <v>1529</v>
      </c>
      <c r="Q38" s="371" t="str">
        <f>IFERROR(INDEX('MARE MX'!$K:$K,MATCH("*"&amp;I38&amp;"*",'MARE MX'!$F:$F,0)),"Sin dato")</f>
        <v>ENTERPRISE</v>
      </c>
    </row>
    <row r="39" spans="1:19" s="371" customFormat="1" hidden="1">
      <c r="A39" s="412" t="b">
        <v>1</v>
      </c>
      <c r="B39" s="370" t="s">
        <v>1530</v>
      </c>
      <c r="C39" s="371" t="s">
        <v>1433</v>
      </c>
      <c r="D39" s="371" t="s">
        <v>1340</v>
      </c>
      <c r="E39" s="371" t="s">
        <v>17</v>
      </c>
      <c r="F39" s="371" t="s">
        <v>456</v>
      </c>
      <c r="G39" s="371" t="s">
        <v>1378</v>
      </c>
      <c r="H39" s="371" t="s">
        <v>35</v>
      </c>
      <c r="I39" s="371" t="s">
        <v>699</v>
      </c>
      <c r="J39" s="371" t="s">
        <v>1531</v>
      </c>
      <c r="K39" s="371">
        <v>160</v>
      </c>
      <c r="L39" s="371">
        <v>10</v>
      </c>
      <c r="M39" s="372">
        <f>K39*L39</f>
        <v>1600</v>
      </c>
      <c r="N39" s="491">
        <f t="shared" si="3"/>
        <v>91.428571428571431</v>
      </c>
      <c r="O39" s="372" t="s">
        <v>1529</v>
      </c>
      <c r="P39" s="371" t="s">
        <v>1532</v>
      </c>
      <c r="Q39" s="371" t="str">
        <f>IFERROR(INDEX('MARE MX'!$K:$K,MATCH("*"&amp;I39&amp;"*",'MARE MX'!$F:$F,0)),"Sin dato")</f>
        <v>ENTERPRISE</v>
      </c>
      <c r="S39" s="371" t="s">
        <v>127</v>
      </c>
    </row>
    <row r="40" spans="1:19" s="371" customFormat="1" hidden="1">
      <c r="A40" s="412" t="b">
        <v>1</v>
      </c>
      <c r="B40" s="370" t="s">
        <v>1533</v>
      </c>
      <c r="C40" s="371" t="s">
        <v>1433</v>
      </c>
      <c r="D40" s="371" t="s">
        <v>1340</v>
      </c>
      <c r="E40" s="371" t="s">
        <v>17</v>
      </c>
      <c r="F40" s="371" t="s">
        <v>456</v>
      </c>
      <c r="G40" s="371" t="s">
        <v>1378</v>
      </c>
      <c r="H40" s="371" t="s">
        <v>1455</v>
      </c>
      <c r="I40" s="371" t="s">
        <v>699</v>
      </c>
      <c r="J40" s="371" t="s">
        <v>1531</v>
      </c>
      <c r="K40" s="371">
        <v>160</v>
      </c>
      <c r="L40" s="371">
        <v>10</v>
      </c>
      <c r="M40" s="372">
        <f>L40*K40</f>
        <v>1600</v>
      </c>
      <c r="N40" s="491">
        <f t="shared" si="3"/>
        <v>91.428571428571431</v>
      </c>
      <c r="O40" s="372" t="s">
        <v>1529</v>
      </c>
      <c r="P40" s="371" t="s">
        <v>1532</v>
      </c>
      <c r="Q40" s="371" t="str">
        <f>IFERROR(INDEX('MARE MX'!$K:$K,MATCH("*"&amp;I40&amp;"*",'MARE MX'!$F:$F,0)),"Sin dato")</f>
        <v>ENTERPRISE</v>
      </c>
      <c r="S40" s="371" t="s">
        <v>127</v>
      </c>
    </row>
    <row r="41" spans="1:19" s="371" customFormat="1" hidden="1">
      <c r="A41" s="412" t="b">
        <v>1</v>
      </c>
      <c r="B41" s="370" t="s">
        <v>1534</v>
      </c>
      <c r="C41" s="371" t="s">
        <v>1433</v>
      </c>
      <c r="D41" s="371" t="s">
        <v>1340</v>
      </c>
      <c r="E41" s="371" t="s">
        <v>17</v>
      </c>
      <c r="F41" s="371" t="s">
        <v>456</v>
      </c>
      <c r="G41" s="371" t="s">
        <v>1458</v>
      </c>
      <c r="H41" s="371" t="s">
        <v>1535</v>
      </c>
      <c r="I41" s="371" t="s">
        <v>699</v>
      </c>
      <c r="J41" s="371" t="s">
        <v>1531</v>
      </c>
      <c r="M41" s="372">
        <v>1925</v>
      </c>
      <c r="N41" s="404">
        <f t="shared" si="3"/>
        <v>110</v>
      </c>
      <c r="O41" s="372" t="s">
        <v>1529</v>
      </c>
      <c r="P41" s="371" t="s">
        <v>1536</v>
      </c>
      <c r="Q41" s="371" t="str">
        <f>IFERROR(INDEX('MARE MX'!$K:$K,MATCH("*"&amp;I41&amp;"*",'MARE MX'!$F:$F,0)),"Sin dato")</f>
        <v>ENTERPRISE</v>
      </c>
    </row>
    <row r="42" spans="1:19" s="371" customFormat="1" hidden="1">
      <c r="A42" s="412" t="b">
        <v>0</v>
      </c>
      <c r="B42" s="370" t="s">
        <v>1537</v>
      </c>
      <c r="C42" s="371" t="s">
        <v>1433</v>
      </c>
      <c r="D42" s="371" t="s">
        <v>1340</v>
      </c>
      <c r="E42" s="371" t="s">
        <v>19</v>
      </c>
      <c r="F42" s="371" t="s">
        <v>456</v>
      </c>
      <c r="G42" s="371" t="s">
        <v>1378</v>
      </c>
      <c r="H42" s="371" t="s">
        <v>39</v>
      </c>
      <c r="I42" s="371" t="s">
        <v>699</v>
      </c>
      <c r="K42" s="371">
        <v>150</v>
      </c>
      <c r="L42" s="371">
        <v>8</v>
      </c>
      <c r="M42" s="372">
        <f>L42*K42</f>
        <v>1200</v>
      </c>
      <c r="N42" s="491">
        <f t="shared" ref="N42" si="4">M42/$V$27</f>
        <v>68.571428571428569</v>
      </c>
      <c r="O42" s="372" t="s">
        <v>1538</v>
      </c>
    </row>
    <row r="43" spans="1:19" s="371" customFormat="1" hidden="1">
      <c r="A43" s="412" t="b">
        <v>1</v>
      </c>
      <c r="B43" s="370" t="s">
        <v>1539</v>
      </c>
      <c r="C43" s="371" t="s">
        <v>1433</v>
      </c>
      <c r="D43" s="371" t="s">
        <v>1340</v>
      </c>
      <c r="E43" s="371" t="s">
        <v>18</v>
      </c>
      <c r="F43" s="371" t="s">
        <v>456</v>
      </c>
      <c r="G43" s="371" t="s">
        <v>1378</v>
      </c>
      <c r="H43" s="371" t="s">
        <v>1540</v>
      </c>
      <c r="I43" s="371" t="s">
        <v>1541</v>
      </c>
      <c r="K43" s="371">
        <v>10</v>
      </c>
      <c r="L43" s="371">
        <v>10</v>
      </c>
      <c r="M43" s="372">
        <f>L43*K43</f>
        <v>100</v>
      </c>
      <c r="N43" s="491">
        <f t="shared" si="3"/>
        <v>5.7142857142857144</v>
      </c>
      <c r="O43" s="372" t="s">
        <v>1542</v>
      </c>
      <c r="P43" s="371" t="s">
        <v>1543</v>
      </c>
      <c r="Q43" s="371" t="str">
        <f>IFERROR(INDEX('MARE MX'!$K:$K,MATCH("*"&amp;I43&amp;"*",'MARE MX'!$F:$F,0)),"Sin dato")</f>
        <v>Sin dato</v>
      </c>
      <c r="S43" s="371" t="s">
        <v>127</v>
      </c>
    </row>
    <row r="44" spans="1:19" s="371" customFormat="1" hidden="1">
      <c r="A44" s="412" t="b">
        <v>1</v>
      </c>
      <c r="B44" s="370" t="s">
        <v>1544</v>
      </c>
      <c r="C44" s="371" t="s">
        <v>1433</v>
      </c>
      <c r="D44" s="371" t="s">
        <v>1340</v>
      </c>
      <c r="E44" s="371" t="s">
        <v>18</v>
      </c>
      <c r="F44" s="371" t="s">
        <v>456</v>
      </c>
      <c r="G44" s="371" t="s">
        <v>1377</v>
      </c>
      <c r="H44" s="371" t="s">
        <v>1466</v>
      </c>
      <c r="I44" s="371" t="s">
        <v>1545</v>
      </c>
      <c r="K44" s="371">
        <v>170</v>
      </c>
      <c r="L44" s="371">
        <v>31</v>
      </c>
      <c r="M44" s="372">
        <f>K44*L44</f>
        <v>5270</v>
      </c>
      <c r="N44" s="404">
        <f t="shared" si="3"/>
        <v>301.14285714285717</v>
      </c>
      <c r="O44" s="431" t="s">
        <v>1546</v>
      </c>
      <c r="P44" s="371" t="s">
        <v>1547</v>
      </c>
      <c r="Q44" s="371" t="str">
        <f>IFERROR(INDEX('MARE MX'!$K:$K,MATCH("*"&amp;I44&amp;"*",'MARE MX'!$F:$F,0)),"Sin dato")</f>
        <v>SMB</v>
      </c>
    </row>
    <row r="45" spans="1:19" s="371" customFormat="1" hidden="1">
      <c r="A45" s="412" t="b">
        <v>1</v>
      </c>
      <c r="B45" s="370" t="s">
        <v>1548</v>
      </c>
      <c r="C45" s="371" t="s">
        <v>1433</v>
      </c>
      <c r="D45" s="371" t="s">
        <v>1340</v>
      </c>
      <c r="E45" s="371" t="s">
        <v>18</v>
      </c>
      <c r="F45" s="371" t="s">
        <v>456</v>
      </c>
      <c r="G45" s="371" t="s">
        <v>1458</v>
      </c>
      <c r="H45" s="371" t="s">
        <v>1535</v>
      </c>
      <c r="I45" s="371" t="s">
        <v>1549</v>
      </c>
      <c r="K45" s="371">
        <v>15</v>
      </c>
      <c r="M45" s="372">
        <v>300</v>
      </c>
      <c r="N45" s="404">
        <f t="shared" si="3"/>
        <v>17.142857142857142</v>
      </c>
      <c r="Q45" s="371" t="str">
        <f>IFERROR(INDEX('MARE MX'!$K:$K,MATCH("*"&amp;I45&amp;"*",'MARE MX'!$F:$F,0)),"Sin dato")</f>
        <v>SMB</v>
      </c>
    </row>
    <row r="46" spans="1:19" s="371" customFormat="1" hidden="1">
      <c r="A46" s="412" t="b">
        <v>1</v>
      </c>
      <c r="B46" s="370" t="s">
        <v>1550</v>
      </c>
      <c r="C46" s="371" t="s">
        <v>1433</v>
      </c>
      <c r="D46" s="371" t="s">
        <v>1340</v>
      </c>
      <c r="E46" s="371" t="s">
        <v>18</v>
      </c>
      <c r="F46" s="371" t="s">
        <v>456</v>
      </c>
      <c r="G46" s="371" t="s">
        <v>1377</v>
      </c>
      <c r="H46" s="371" t="s">
        <v>1377</v>
      </c>
      <c r="I46" s="371" t="s">
        <v>1549</v>
      </c>
      <c r="K46" s="371">
        <v>15</v>
      </c>
      <c r="L46" s="371">
        <v>65</v>
      </c>
      <c r="M46" s="372">
        <f>K46*L46</f>
        <v>975</v>
      </c>
      <c r="N46" s="404">
        <f t="shared" si="3"/>
        <v>55.714285714285715</v>
      </c>
      <c r="Q46" s="371" t="str">
        <f>IFERROR(INDEX('MARE MX'!$K:$K,MATCH("*"&amp;I46&amp;"*",'MARE MX'!$F:$F,0)),"Sin dato")</f>
        <v>SMB</v>
      </c>
    </row>
    <row r="47" spans="1:19" s="371" customFormat="1" hidden="1">
      <c r="A47" s="412" t="b">
        <v>0</v>
      </c>
      <c r="B47" s="370" t="s">
        <v>1551</v>
      </c>
      <c r="C47" s="371" t="s">
        <v>1433</v>
      </c>
      <c r="D47" s="371" t="s">
        <v>1340</v>
      </c>
      <c r="E47" s="371" t="s">
        <v>19</v>
      </c>
      <c r="F47" s="371" t="s">
        <v>456</v>
      </c>
      <c r="G47" s="371" t="s">
        <v>1378</v>
      </c>
      <c r="H47" s="371" t="s">
        <v>1436</v>
      </c>
      <c r="I47" s="371" t="s">
        <v>1552</v>
      </c>
      <c r="K47" s="371">
        <v>25</v>
      </c>
      <c r="L47" s="371">
        <v>20</v>
      </c>
      <c r="M47" s="372">
        <f>L47*K47</f>
        <v>500</v>
      </c>
      <c r="N47" s="491">
        <f t="shared" si="3"/>
        <v>28.571428571428573</v>
      </c>
      <c r="O47" s="371" t="s">
        <v>1553</v>
      </c>
      <c r="P47" s="371" t="s">
        <v>1554</v>
      </c>
      <c r="Q47" s="371" t="str">
        <f>IFERROR(INDEX('MARE MX'!$K:$K,MATCH("*"&amp;I47&amp;"*",'MARE MX'!$F:$F,0)),"Sin dato")</f>
        <v>SMB</v>
      </c>
      <c r="S47" s="371" t="s">
        <v>127</v>
      </c>
    </row>
    <row r="48" spans="1:19" s="371" customFormat="1" hidden="1">
      <c r="A48" s="412" t="b">
        <v>0</v>
      </c>
      <c r="B48" s="370" t="s">
        <v>1555</v>
      </c>
      <c r="C48" s="371" t="s">
        <v>1433</v>
      </c>
      <c r="D48" s="371" t="s">
        <v>1340</v>
      </c>
      <c r="E48" s="371" t="s">
        <v>19</v>
      </c>
      <c r="F48" s="371" t="s">
        <v>456</v>
      </c>
      <c r="G48" s="371" t="s">
        <v>1378</v>
      </c>
      <c r="H48" s="371" t="s">
        <v>1540</v>
      </c>
      <c r="I48" s="371" t="s">
        <v>1556</v>
      </c>
      <c r="K48" s="371">
        <v>150</v>
      </c>
      <c r="L48" s="371">
        <v>12</v>
      </c>
      <c r="M48" s="372">
        <f>L48*K48</f>
        <v>1800</v>
      </c>
      <c r="N48" s="491">
        <f t="shared" si="3"/>
        <v>102.85714285714286</v>
      </c>
      <c r="O48" s="372" t="s">
        <v>1557</v>
      </c>
      <c r="P48" s="371" t="s">
        <v>1558</v>
      </c>
      <c r="Q48" s="371" t="str">
        <f>IFERROR(INDEX('MARE MX'!$K:$K,MATCH("*"&amp;I48&amp;"*",'MARE MX'!$F:$F,0)),"Sin dato")</f>
        <v>Sin dato</v>
      </c>
      <c r="S48" s="371" t="s">
        <v>127</v>
      </c>
    </row>
    <row r="49" spans="1:24" s="371" customFormat="1" hidden="1">
      <c r="A49" s="412" t="b">
        <v>0</v>
      </c>
      <c r="B49" s="370" t="s">
        <v>1559</v>
      </c>
      <c r="C49" s="371" t="s">
        <v>1433</v>
      </c>
      <c r="D49" s="371" t="s">
        <v>1340</v>
      </c>
      <c r="E49" s="371" t="s">
        <v>19</v>
      </c>
      <c r="F49" s="371" t="s">
        <v>456</v>
      </c>
      <c r="G49" s="371" t="s">
        <v>1378</v>
      </c>
      <c r="H49" s="371" t="s">
        <v>35</v>
      </c>
      <c r="I49" s="371" t="s">
        <v>1560</v>
      </c>
      <c r="K49" s="371">
        <v>300</v>
      </c>
      <c r="L49" s="371">
        <v>8</v>
      </c>
      <c r="M49" s="372">
        <f>L49*K49</f>
        <v>2400</v>
      </c>
      <c r="N49" s="491">
        <f t="shared" si="3"/>
        <v>137.14285714285714</v>
      </c>
      <c r="O49" s="372" t="s">
        <v>1561</v>
      </c>
      <c r="P49" s="371" t="s">
        <v>1562</v>
      </c>
      <c r="Q49" s="371" t="str">
        <f>IFERROR(INDEX('MARE MX'!$K:$K,MATCH("*"&amp;I49&amp;"*",'MARE MX'!$F:$F,0)),"Sin dato")</f>
        <v>Sin dato</v>
      </c>
      <c r="S49" s="371" t="s">
        <v>127</v>
      </c>
    </row>
    <row r="50" spans="1:24" s="371" customFormat="1" hidden="1">
      <c r="A50" s="412" t="b">
        <v>0</v>
      </c>
      <c r="B50" s="370" t="s">
        <v>1563</v>
      </c>
      <c r="C50" s="371" t="s">
        <v>1433</v>
      </c>
      <c r="D50" s="371" t="s">
        <v>1340</v>
      </c>
      <c r="E50" s="371" t="s">
        <v>19</v>
      </c>
      <c r="F50" s="371" t="s">
        <v>456</v>
      </c>
      <c r="G50" s="371" t="s">
        <v>1378</v>
      </c>
      <c r="H50" s="371" t="s">
        <v>1455</v>
      </c>
      <c r="I50" s="371" t="s">
        <v>1560</v>
      </c>
      <c r="K50" s="371">
        <v>300</v>
      </c>
      <c r="L50" s="371">
        <v>6</v>
      </c>
      <c r="M50" s="372">
        <f>L50*K50</f>
        <v>1800</v>
      </c>
      <c r="N50" s="491">
        <f t="shared" si="3"/>
        <v>102.85714285714286</v>
      </c>
      <c r="O50" s="372" t="s">
        <v>1564</v>
      </c>
      <c r="P50" s="371" t="s">
        <v>1562</v>
      </c>
      <c r="Q50" s="371" t="str">
        <f>IFERROR(INDEX('MARE MX'!$K:$K,MATCH("*"&amp;I50&amp;"*",'MARE MX'!$F:$F,0)),"Sin dato")</f>
        <v>Sin dato</v>
      </c>
      <c r="S50" s="371" t="s">
        <v>127</v>
      </c>
    </row>
    <row r="51" spans="1:24" s="371" customFormat="1" hidden="1">
      <c r="A51" s="412" t="b">
        <v>0</v>
      </c>
      <c r="B51" s="370" t="s">
        <v>1565</v>
      </c>
      <c r="C51" s="371" t="s">
        <v>1433</v>
      </c>
      <c r="D51" s="371" t="s">
        <v>1340</v>
      </c>
      <c r="E51" s="371" t="s">
        <v>19</v>
      </c>
      <c r="F51" s="371" t="s">
        <v>456</v>
      </c>
      <c r="G51" s="371" t="s">
        <v>1378</v>
      </c>
      <c r="H51" s="371" t="s">
        <v>42</v>
      </c>
      <c r="I51" s="371" t="s">
        <v>1545</v>
      </c>
      <c r="K51" s="371">
        <v>220</v>
      </c>
      <c r="L51" s="371">
        <v>12</v>
      </c>
      <c r="M51" s="372">
        <f>K51*L51</f>
        <v>2640</v>
      </c>
      <c r="N51" s="491">
        <f t="shared" si="3"/>
        <v>150.85714285714286</v>
      </c>
      <c r="O51" s="371" t="s">
        <v>1566</v>
      </c>
      <c r="P51" s="371" t="s">
        <v>1567</v>
      </c>
      <c r="Q51" s="371" t="str">
        <f>IFERROR(INDEX('MARE MX'!$K:$K,MATCH("*"&amp;I51&amp;"*",'MARE MX'!$F:$F,0)),"Sin dato")</f>
        <v>SMB</v>
      </c>
      <c r="S51" s="371" t="s">
        <v>127</v>
      </c>
    </row>
    <row r="52" spans="1:24" s="371" customFormat="1" hidden="1">
      <c r="A52" s="412" t="b">
        <v>0</v>
      </c>
      <c r="B52" s="370"/>
      <c r="D52" s="371" t="s">
        <v>1340</v>
      </c>
      <c r="E52" s="371" t="s">
        <v>19</v>
      </c>
      <c r="F52" s="371" t="s">
        <v>456</v>
      </c>
      <c r="G52" s="371" t="s">
        <v>1378</v>
      </c>
      <c r="H52" s="371" t="s">
        <v>40</v>
      </c>
      <c r="I52" s="371" t="s">
        <v>1545</v>
      </c>
      <c r="M52" s="372"/>
      <c r="N52" s="491">
        <v>0</v>
      </c>
      <c r="P52" s="371" t="s">
        <v>1568</v>
      </c>
    </row>
    <row r="53" spans="1:24" s="371" customFormat="1" hidden="1">
      <c r="A53" s="412" t="b">
        <v>0</v>
      </c>
      <c r="B53" s="370" t="s">
        <v>1569</v>
      </c>
      <c r="C53" s="371" t="s">
        <v>1433</v>
      </c>
      <c r="D53" s="371" t="s">
        <v>1340</v>
      </c>
      <c r="E53" s="371" t="s">
        <v>19</v>
      </c>
      <c r="F53" s="371" t="s">
        <v>456</v>
      </c>
      <c r="G53" s="371" t="s">
        <v>1378</v>
      </c>
      <c r="H53" s="371" t="s">
        <v>1570</v>
      </c>
      <c r="I53" s="371" t="s">
        <v>1545</v>
      </c>
      <c r="K53" s="371">
        <v>220</v>
      </c>
      <c r="L53" s="371">
        <v>9</v>
      </c>
      <c r="M53" s="372">
        <f>K53*L53</f>
        <v>1980</v>
      </c>
      <c r="N53" s="491">
        <f t="shared" ref="N53:N60" si="5">M53/$V$27</f>
        <v>113.14285714285714</v>
      </c>
      <c r="O53" s="371" t="s">
        <v>1566</v>
      </c>
      <c r="P53" s="371" t="s">
        <v>1567</v>
      </c>
      <c r="Q53" s="371" t="str">
        <f>IFERROR(INDEX('MARE MX'!$K:$K,MATCH("*"&amp;I53&amp;"*",'MARE MX'!$F:$F,0)),"Sin dato")</f>
        <v>SMB</v>
      </c>
      <c r="S53" s="371" t="s">
        <v>127</v>
      </c>
    </row>
    <row r="54" spans="1:24" s="371" customFormat="1" hidden="1">
      <c r="A54" s="412" t="b">
        <v>0</v>
      </c>
      <c r="B54" s="370" t="s">
        <v>1571</v>
      </c>
      <c r="D54" s="371" t="s">
        <v>1340</v>
      </c>
      <c r="E54" s="371" t="s">
        <v>1349</v>
      </c>
      <c r="F54" s="371" t="s">
        <v>456</v>
      </c>
      <c r="G54" s="371" t="s">
        <v>1378</v>
      </c>
      <c r="H54" s="371" t="s">
        <v>40</v>
      </c>
      <c r="I54" s="371" t="s">
        <v>1572</v>
      </c>
      <c r="K54" s="371">
        <v>200</v>
      </c>
      <c r="L54" s="371">
        <v>5</v>
      </c>
      <c r="M54" s="372">
        <f>L54*K54</f>
        <v>1000</v>
      </c>
      <c r="N54" s="372">
        <f t="shared" si="5"/>
        <v>57.142857142857146</v>
      </c>
      <c r="O54" s="372"/>
      <c r="P54" s="371" t="s">
        <v>1573</v>
      </c>
      <c r="Q54" s="371" t="str">
        <f>IFERROR(INDEX('MARE MX'!$K:$K,MATCH("*"&amp;I54&amp;"*",'MARE MX'!$F:$F,0)),"Sin dato")</f>
        <v>SMB</v>
      </c>
      <c r="R54" s="371" t="s">
        <v>1574</v>
      </c>
      <c r="S54" s="371" t="s">
        <v>127</v>
      </c>
    </row>
    <row r="55" spans="1:24" s="371" customFormat="1" hidden="1">
      <c r="A55" s="412" t="b">
        <v>0</v>
      </c>
      <c r="B55" s="370" t="s">
        <v>1575</v>
      </c>
      <c r="C55" s="371" t="s">
        <v>1433</v>
      </c>
      <c r="D55" s="371" t="s">
        <v>1340</v>
      </c>
      <c r="E55" s="371" t="s">
        <v>19</v>
      </c>
      <c r="F55" s="371" t="s">
        <v>456</v>
      </c>
      <c r="G55" s="371" t="s">
        <v>1378</v>
      </c>
      <c r="H55" s="371" t="s">
        <v>40</v>
      </c>
      <c r="I55" s="371" t="s">
        <v>1576</v>
      </c>
      <c r="M55" s="372">
        <v>720</v>
      </c>
      <c r="N55" s="491">
        <f t="shared" si="5"/>
        <v>41.142857142857146</v>
      </c>
      <c r="O55" s="372" t="s">
        <v>1577</v>
      </c>
      <c r="P55" s="371" t="s">
        <v>1578</v>
      </c>
      <c r="Q55" s="371" t="str">
        <f>IFERROR(INDEX('MARE MX'!$K:$K,MATCH("*"&amp;I55&amp;"*",'MARE MX'!$F:$F,0)),"Sin dato")</f>
        <v>SMB</v>
      </c>
      <c r="S55" s="371" t="s">
        <v>127</v>
      </c>
    </row>
    <row r="56" spans="1:24" s="371" customFormat="1" hidden="1">
      <c r="A56" s="412" t="b">
        <v>0</v>
      </c>
      <c r="B56" s="439" t="s">
        <v>1579</v>
      </c>
      <c r="D56" s="371" t="s">
        <v>1340</v>
      </c>
      <c r="E56" s="371" t="s">
        <v>19</v>
      </c>
      <c r="F56" s="371" t="s">
        <v>456</v>
      </c>
      <c r="G56" s="371" t="s">
        <v>1378</v>
      </c>
      <c r="H56" s="371" t="s">
        <v>1580</v>
      </c>
      <c r="I56" s="371" t="s">
        <v>1581</v>
      </c>
      <c r="K56" s="371">
        <v>89</v>
      </c>
      <c r="L56" s="371">
        <v>12</v>
      </c>
      <c r="M56" s="372">
        <f>K56*L56</f>
        <v>1068</v>
      </c>
      <c r="N56" s="372">
        <f t="shared" si="5"/>
        <v>61.028571428571432</v>
      </c>
      <c r="O56" s="372"/>
      <c r="P56" s="371" t="s">
        <v>1582</v>
      </c>
      <c r="Q56" s="371" t="s">
        <v>1583</v>
      </c>
      <c r="S56" s="371" t="s">
        <v>127</v>
      </c>
    </row>
    <row r="57" spans="1:24" s="358" customFormat="1" hidden="1">
      <c r="A57" s="409"/>
      <c r="B57" s="357" t="s">
        <v>1548</v>
      </c>
      <c r="D57" s="358" t="s">
        <v>1340</v>
      </c>
      <c r="E57" s="358" t="s">
        <v>19</v>
      </c>
      <c r="F57" s="358" t="s">
        <v>456</v>
      </c>
      <c r="G57" s="358" t="s">
        <v>1458</v>
      </c>
      <c r="H57" s="358" t="s">
        <v>1535</v>
      </c>
      <c r="I57" s="358" t="s">
        <v>1584</v>
      </c>
      <c r="L57" s="358">
        <v>300</v>
      </c>
      <c r="M57" s="359">
        <v>300</v>
      </c>
      <c r="N57" s="506">
        <f t="shared" ref="N57:N58" si="6">M57/$V$27</f>
        <v>17.142857142857142</v>
      </c>
      <c r="P57" s="358" t="s">
        <v>1582</v>
      </c>
      <c r="S57" s="358" t="s">
        <v>127</v>
      </c>
      <c r="T57" s="120"/>
      <c r="U57" s="120"/>
      <c r="V57" s="120"/>
      <c r="W57" s="120"/>
      <c r="X57" s="120"/>
    </row>
    <row r="58" spans="1:24" s="358" customFormat="1" hidden="1">
      <c r="A58" s="409"/>
      <c r="B58" s="357"/>
      <c r="D58" s="358" t="s">
        <v>1340</v>
      </c>
      <c r="E58" s="358" t="s">
        <v>19</v>
      </c>
      <c r="F58" s="358" t="s">
        <v>456</v>
      </c>
      <c r="G58" s="358" t="s">
        <v>1377</v>
      </c>
      <c r="H58" s="358" t="s">
        <v>1377</v>
      </c>
      <c r="I58" s="358" t="s">
        <v>1585</v>
      </c>
      <c r="K58" s="358">
        <v>10</v>
      </c>
      <c r="L58" s="358">
        <v>47</v>
      </c>
      <c r="M58" s="359">
        <f>K58*L58</f>
        <v>470</v>
      </c>
      <c r="N58" s="506">
        <f t="shared" si="6"/>
        <v>26.857142857142858</v>
      </c>
      <c r="P58" s="358" t="s">
        <v>1582</v>
      </c>
      <c r="S58" s="358" t="s">
        <v>127</v>
      </c>
      <c r="T58" s="120"/>
      <c r="U58" s="120"/>
      <c r="V58" s="120"/>
      <c r="W58" s="120"/>
      <c r="X58" s="120"/>
    </row>
    <row r="59" spans="1:24" s="368" customFormat="1" hidden="1">
      <c r="A59" s="413" t="b">
        <v>0</v>
      </c>
      <c r="B59" s="367" t="s">
        <v>1586</v>
      </c>
      <c r="C59" s="368" t="s">
        <v>1433</v>
      </c>
      <c r="D59" s="368" t="s">
        <v>1340</v>
      </c>
      <c r="E59" s="368" t="s">
        <v>19</v>
      </c>
      <c r="F59" s="368" t="s">
        <v>1106</v>
      </c>
      <c r="G59" s="368" t="s">
        <v>1378</v>
      </c>
      <c r="H59" s="368" t="s">
        <v>1480</v>
      </c>
      <c r="I59" s="368" t="s">
        <v>1587</v>
      </c>
      <c r="K59" s="368">
        <v>1255</v>
      </c>
      <c r="L59" s="368">
        <v>2</v>
      </c>
      <c r="M59" s="369">
        <f>L59*K59</f>
        <v>2510</v>
      </c>
      <c r="N59" s="492">
        <f t="shared" si="5"/>
        <v>143.42857142857142</v>
      </c>
      <c r="O59" s="368" t="s">
        <v>1588</v>
      </c>
      <c r="Q59" s="368" t="str">
        <f>IFERROR(INDEX('MARE MX'!$K:$K,MATCH("*"&amp;I59&amp;"*",'MARE MX'!$F:$F,0)),"Sin dato")</f>
        <v>ENTERPRISE</v>
      </c>
    </row>
    <row r="60" spans="1:24" s="368" customFormat="1" hidden="1">
      <c r="A60" s="413" t="b">
        <v>0</v>
      </c>
      <c r="B60" s="367" t="s">
        <v>1589</v>
      </c>
      <c r="C60" s="368" t="s">
        <v>1433</v>
      </c>
      <c r="D60" s="368" t="s">
        <v>1340</v>
      </c>
      <c r="E60" s="368" t="s">
        <v>19</v>
      </c>
      <c r="F60" s="368" t="s">
        <v>1106</v>
      </c>
      <c r="G60" s="368" t="s">
        <v>1378</v>
      </c>
      <c r="H60" s="368" t="s">
        <v>35</v>
      </c>
      <c r="I60" s="368" t="s">
        <v>1587</v>
      </c>
      <c r="K60" s="368">
        <v>1255</v>
      </c>
      <c r="L60" s="368">
        <v>2</v>
      </c>
      <c r="M60" s="369">
        <f>L60*K60</f>
        <v>2510</v>
      </c>
      <c r="N60" s="492">
        <f t="shared" si="5"/>
        <v>143.42857142857142</v>
      </c>
      <c r="O60" s="368" t="s">
        <v>1588</v>
      </c>
      <c r="Q60" s="368" t="str">
        <f>IFERROR(INDEX('MARE MX'!$K:$K,MATCH("*"&amp;I60&amp;"*",'MARE MX'!$F:$F,0)),"Sin dato")</f>
        <v>ENTERPRISE</v>
      </c>
    </row>
    <row r="61" spans="1:24" s="368" customFormat="1" hidden="1">
      <c r="A61" s="413" t="b">
        <v>0</v>
      </c>
      <c r="B61" s="367" t="s">
        <v>1590</v>
      </c>
      <c r="C61" s="368" t="s">
        <v>1433</v>
      </c>
      <c r="D61" s="368" t="s">
        <v>1340</v>
      </c>
      <c r="E61" s="368" t="s">
        <v>18</v>
      </c>
      <c r="F61" s="368" t="s">
        <v>1106</v>
      </c>
      <c r="G61" s="368" t="s">
        <v>1377</v>
      </c>
      <c r="H61" s="368" t="s">
        <v>1466</v>
      </c>
      <c r="I61" s="368" t="s">
        <v>1591</v>
      </c>
      <c r="K61" s="368">
        <v>366</v>
      </c>
      <c r="L61" s="368">
        <v>19</v>
      </c>
      <c r="M61" s="369">
        <f>K61*L61</f>
        <v>6954</v>
      </c>
      <c r="N61" s="405">
        <f>M61/$V$27</f>
        <v>397.37142857142857</v>
      </c>
      <c r="P61" s="368" t="s">
        <v>1592</v>
      </c>
      <c r="Q61" s="368" t="str">
        <f>IFERROR(INDEX('MARE MX'!$K:$K,MATCH("*"&amp;I61&amp;"*",'MARE MX'!$F:$F,0)),"Sin dato")</f>
        <v>ENTERPRISE</v>
      </c>
    </row>
    <row r="62" spans="1:24" s="368" customFormat="1" hidden="1">
      <c r="A62" s="413" t="b">
        <v>0</v>
      </c>
      <c r="B62" s="367" t="s">
        <v>1593</v>
      </c>
      <c r="C62" s="368" t="s">
        <v>1433</v>
      </c>
      <c r="D62" s="368" t="s">
        <v>1340</v>
      </c>
      <c r="E62" s="368" t="s">
        <v>19</v>
      </c>
      <c r="F62" s="368" t="s">
        <v>1106</v>
      </c>
      <c r="G62" s="368" t="s">
        <v>1378</v>
      </c>
      <c r="H62" s="368" t="s">
        <v>1594</v>
      </c>
      <c r="I62" s="368" t="s">
        <v>1595</v>
      </c>
      <c r="M62" s="369"/>
      <c r="N62" s="492">
        <v>200</v>
      </c>
      <c r="O62" s="369" t="s">
        <v>1596</v>
      </c>
      <c r="P62" s="368" t="s">
        <v>1597</v>
      </c>
      <c r="Q62" s="368" t="str">
        <f>IFERROR(INDEX('MARE MX'!$K:$K,MATCH("*"&amp;I62&amp;"*",'MARE MX'!$F:$F,0)),"Sin dato")</f>
        <v>Sin dato</v>
      </c>
      <c r="S62" s="371" t="s">
        <v>127</v>
      </c>
    </row>
    <row r="63" spans="1:24" s="368" customFormat="1" hidden="1">
      <c r="A63" s="413" t="b">
        <v>1</v>
      </c>
      <c r="B63" s="367" t="s">
        <v>1598</v>
      </c>
      <c r="C63" s="368" t="s">
        <v>1433</v>
      </c>
      <c r="D63" s="368" t="s">
        <v>1340</v>
      </c>
      <c r="E63" s="368" t="s">
        <v>18</v>
      </c>
      <c r="F63" s="368" t="s">
        <v>1106</v>
      </c>
      <c r="G63" s="368" t="s">
        <v>1378</v>
      </c>
      <c r="H63" s="368" t="s">
        <v>1480</v>
      </c>
      <c r="I63" s="368" t="s">
        <v>1599</v>
      </c>
      <c r="K63" s="368">
        <v>363</v>
      </c>
      <c r="L63" s="368">
        <v>4</v>
      </c>
      <c r="M63" s="369">
        <f>L63*K63</f>
        <v>1452</v>
      </c>
      <c r="N63" s="492">
        <f>M63/$V$27</f>
        <v>82.971428571428575</v>
      </c>
      <c r="O63" s="369" t="s">
        <v>1600</v>
      </c>
      <c r="P63" s="369" t="s">
        <v>1601</v>
      </c>
      <c r="Q63" s="368" t="str">
        <f>IFERROR(INDEX('MARE MX'!$K:$K,MATCH("*"&amp;I63&amp;"*",'MARE MX'!$F:$F,0)),"Sin dato")</f>
        <v>ENTERPRISE</v>
      </c>
    </row>
    <row r="64" spans="1:24" s="368" customFormat="1" hidden="1">
      <c r="A64" s="413" t="b">
        <v>1</v>
      </c>
      <c r="B64" s="367" t="s">
        <v>1602</v>
      </c>
      <c r="C64" s="368" t="s">
        <v>1433</v>
      </c>
      <c r="D64" s="368" t="s">
        <v>1340</v>
      </c>
      <c r="E64" s="368" t="s">
        <v>18</v>
      </c>
      <c r="F64" s="368" t="s">
        <v>1106</v>
      </c>
      <c r="G64" s="368" t="s">
        <v>1378</v>
      </c>
      <c r="H64" s="368" t="s">
        <v>1436</v>
      </c>
      <c r="I64" s="368" t="s">
        <v>1595</v>
      </c>
      <c r="K64" s="368">
        <v>1954</v>
      </c>
      <c r="L64" s="368">
        <v>0.33</v>
      </c>
      <c r="N64" s="492">
        <f>L64*K64</f>
        <v>644.82000000000005</v>
      </c>
      <c r="O64" s="369" t="s">
        <v>1603</v>
      </c>
      <c r="P64" s="368" t="s">
        <v>1604</v>
      </c>
      <c r="Q64" s="368" t="str">
        <f>IFERROR(INDEX('MARE MX'!$K:$K,MATCH("*"&amp;I64&amp;"*",'MARE MX'!$F:$F,0)),"Sin dato")</f>
        <v>Sin dato</v>
      </c>
    </row>
    <row r="65" spans="1:24" s="373" customFormat="1" hidden="1">
      <c r="A65" s="408" t="b">
        <v>0</v>
      </c>
      <c r="B65" s="120" t="s">
        <v>1605</v>
      </c>
      <c r="C65" s="356" t="s">
        <v>1491</v>
      </c>
      <c r="D65" s="120" t="s">
        <v>1343</v>
      </c>
      <c r="E65" s="120" t="s">
        <v>1349</v>
      </c>
      <c r="F65" s="120" t="s">
        <v>69</v>
      </c>
      <c r="G65" s="120" t="s">
        <v>1378</v>
      </c>
      <c r="H65" s="120" t="s">
        <v>37</v>
      </c>
      <c r="I65" s="120" t="s">
        <v>1606</v>
      </c>
      <c r="J65" s="120"/>
      <c r="K65" s="120">
        <v>500</v>
      </c>
      <c r="L65" s="120">
        <v>9</v>
      </c>
      <c r="M65" s="119">
        <f>L65*K65</f>
        <v>4500</v>
      </c>
      <c r="N65" s="493">
        <f t="shared" ref="N65:N70" si="7">M65/$V$27</f>
        <v>257.14285714285717</v>
      </c>
      <c r="O65" s="120"/>
      <c r="P65" s="120" t="s">
        <v>1607</v>
      </c>
      <c r="Q65" s="120" t="str">
        <f>IFERROR(INDEX('MARE MX'!$K:$K,MATCH("*"&amp;I65&amp;"*",'MARE MX'!$F:$F,0)),"Sin dato")</f>
        <v>ENTERPRISE</v>
      </c>
      <c r="R65" s="120"/>
      <c r="S65" s="120"/>
      <c r="T65" s="120"/>
      <c r="U65" s="120"/>
      <c r="V65" s="120"/>
      <c r="W65" s="120"/>
      <c r="X65" s="120"/>
    </row>
    <row r="66" spans="1:24" s="373" customFormat="1" hidden="1">
      <c r="A66" s="408" t="b">
        <v>0</v>
      </c>
      <c r="B66" s="356" t="s">
        <v>1608</v>
      </c>
      <c r="C66" s="356" t="s">
        <v>1491</v>
      </c>
      <c r="D66" s="120" t="s">
        <v>1343</v>
      </c>
      <c r="E66" s="120" t="s">
        <v>1349</v>
      </c>
      <c r="F66" s="120" t="s">
        <v>69</v>
      </c>
      <c r="G66" s="120" t="s">
        <v>1378</v>
      </c>
      <c r="H66" s="120" t="s">
        <v>1480</v>
      </c>
      <c r="I66" s="120" t="s">
        <v>1609</v>
      </c>
      <c r="J66" s="120"/>
      <c r="K66" s="120">
        <v>182</v>
      </c>
      <c r="L66" s="120">
        <v>15</v>
      </c>
      <c r="M66" s="119">
        <f>L66*K66</f>
        <v>2730</v>
      </c>
      <c r="N66" s="493">
        <f t="shared" si="7"/>
        <v>156</v>
      </c>
      <c r="O66" s="355"/>
      <c r="P66" s="119" t="s">
        <v>1610</v>
      </c>
      <c r="Q66" s="120" t="str">
        <f>IFERROR(INDEX('MARE MX'!$K:$K,MATCH("*"&amp;I66&amp;"*",'MARE MX'!$F:$F,0)),"Sin dato")</f>
        <v>Sin dato</v>
      </c>
      <c r="R66" s="120"/>
      <c r="S66" s="120"/>
      <c r="T66" s="120"/>
      <c r="U66" s="120"/>
      <c r="V66" s="120"/>
      <c r="W66" s="120"/>
      <c r="X66" s="120"/>
    </row>
    <row r="67" spans="1:24" s="373" customFormat="1" hidden="1">
      <c r="A67" s="408" t="b">
        <v>0</v>
      </c>
      <c r="B67" s="120" t="s">
        <v>1611</v>
      </c>
      <c r="C67" s="356" t="s">
        <v>1491</v>
      </c>
      <c r="D67" s="120" t="s">
        <v>1343</v>
      </c>
      <c r="E67" s="120" t="s">
        <v>1349</v>
      </c>
      <c r="F67" s="120" t="s">
        <v>69</v>
      </c>
      <c r="G67" s="120" t="s">
        <v>1378</v>
      </c>
      <c r="H67" s="120" t="s">
        <v>1455</v>
      </c>
      <c r="I67" s="120" t="s">
        <v>1612</v>
      </c>
      <c r="J67" s="120"/>
      <c r="K67" s="120">
        <v>400</v>
      </c>
      <c r="L67" s="120">
        <v>10</v>
      </c>
      <c r="M67" s="119">
        <f>L67*K67</f>
        <v>4000</v>
      </c>
      <c r="N67" s="493">
        <f t="shared" si="7"/>
        <v>228.57142857142858</v>
      </c>
      <c r="O67" s="120"/>
      <c r="P67" s="120" t="s">
        <v>1613</v>
      </c>
      <c r="Q67" s="120" t="str">
        <f>IFERROR(INDEX('MARE MX'!$K:$K,MATCH("*"&amp;I67&amp;"*",'MARE MX'!$F:$F,0)),"Sin dato")</f>
        <v>ENTERPRISE</v>
      </c>
      <c r="R67" s="120" t="s">
        <v>1574</v>
      </c>
      <c r="S67" s="120"/>
      <c r="T67" s="120"/>
      <c r="U67" s="120"/>
      <c r="V67" s="120"/>
      <c r="W67" s="120"/>
      <c r="X67" s="120"/>
    </row>
    <row r="68" spans="1:24" s="120" customFormat="1" hidden="1">
      <c r="A68" s="408" t="b">
        <v>0</v>
      </c>
      <c r="B68" s="120" t="s">
        <v>1614</v>
      </c>
      <c r="C68" s="356" t="s">
        <v>1491</v>
      </c>
      <c r="D68" s="120" t="s">
        <v>1343</v>
      </c>
      <c r="E68" s="120" t="s">
        <v>1349</v>
      </c>
      <c r="F68" s="120" t="s">
        <v>69</v>
      </c>
      <c r="G68" s="120" t="s">
        <v>1377</v>
      </c>
      <c r="H68" s="120" t="s">
        <v>1466</v>
      </c>
      <c r="I68" s="120" t="s">
        <v>1615</v>
      </c>
      <c r="K68" s="120">
        <v>135</v>
      </c>
      <c r="L68" s="120">
        <v>40</v>
      </c>
      <c r="M68" s="119">
        <f>L68*K68</f>
        <v>5400</v>
      </c>
      <c r="N68" s="493">
        <f t="shared" si="7"/>
        <v>308.57142857142856</v>
      </c>
      <c r="P68" s="120" t="s">
        <v>1616</v>
      </c>
      <c r="Q68" s="120" t="str">
        <f>IFERROR(INDEX('MARE MX'!$K:$K,MATCH("*"&amp;I68&amp;"*",'MARE MX'!$F:$F,0)),"Sin dato")</f>
        <v>ENTERPRISE</v>
      </c>
      <c r="U68" s="120" t="s">
        <v>1617</v>
      </c>
      <c r="V68" s="120">
        <v>18</v>
      </c>
    </row>
    <row r="69" spans="1:24" s="120" customFormat="1" hidden="1">
      <c r="A69" s="408" t="b">
        <v>0</v>
      </c>
      <c r="B69" s="120" t="s">
        <v>1614</v>
      </c>
      <c r="C69" s="356" t="s">
        <v>1491</v>
      </c>
      <c r="D69" s="120" t="s">
        <v>1343</v>
      </c>
      <c r="E69" s="120" t="s">
        <v>1349</v>
      </c>
      <c r="F69" s="120" t="s">
        <v>69</v>
      </c>
      <c r="G69" s="120" t="s">
        <v>1618</v>
      </c>
      <c r="H69" s="120" t="s">
        <v>41</v>
      </c>
      <c r="I69" s="120" t="s">
        <v>1615</v>
      </c>
      <c r="K69" s="120">
        <v>135</v>
      </c>
      <c r="L69" s="120">
        <v>10</v>
      </c>
      <c r="M69" s="119">
        <f>L69*K69</f>
        <v>1350</v>
      </c>
      <c r="N69" s="493">
        <f t="shared" si="7"/>
        <v>77.142857142857139</v>
      </c>
      <c r="P69" s="120" t="s">
        <v>1619</v>
      </c>
      <c r="Q69" s="120" t="str">
        <f>IFERROR(INDEX('MARE MX'!$K:$K,MATCH("*"&amp;I69&amp;"*",'MARE MX'!$F:$F,0)),"Sin dato")</f>
        <v>ENTERPRISE</v>
      </c>
      <c r="U69" s="120" t="s">
        <v>1378</v>
      </c>
      <c r="V69" s="119">
        <f>SUMIFS(N:N,G:G,U69,D:D,"Q3")</f>
        <v>10701.144285714285</v>
      </c>
    </row>
    <row r="70" spans="1:24" s="120" customFormat="1" hidden="1">
      <c r="A70" s="408" t="b">
        <v>0</v>
      </c>
      <c r="C70" s="356" t="s">
        <v>1491</v>
      </c>
      <c r="D70" s="120" t="s">
        <v>1343</v>
      </c>
      <c r="E70" s="120" t="s">
        <v>1349</v>
      </c>
      <c r="F70" s="120" t="s">
        <v>69</v>
      </c>
      <c r="G70" s="120" t="s">
        <v>1377</v>
      </c>
      <c r="H70" s="120" t="s">
        <v>1466</v>
      </c>
      <c r="I70" s="120" t="s">
        <v>1620</v>
      </c>
      <c r="K70" s="120">
        <v>700</v>
      </c>
      <c r="M70" s="119"/>
      <c r="N70" s="493">
        <f t="shared" si="7"/>
        <v>0</v>
      </c>
      <c r="P70" s="120" t="s">
        <v>1621</v>
      </c>
      <c r="Q70" s="120" t="str">
        <f>IFERROR(INDEX('MARE MX'!$K:$K,MATCH("*"&amp;I70&amp;"*",'MARE MX'!$F:$F,0)),"Sin dato")</f>
        <v>Sin dato</v>
      </c>
      <c r="U70" s="120" t="s">
        <v>1438</v>
      </c>
      <c r="V70" s="119">
        <f>SUMIFS(N:N,G:G,U70,D:D,"Q3")</f>
        <v>25166.114285714284</v>
      </c>
    </row>
    <row r="71" spans="1:24" s="373" customFormat="1" hidden="1">
      <c r="A71" s="408" t="b">
        <v>0</v>
      </c>
      <c r="B71" s="356" t="s">
        <v>1622</v>
      </c>
      <c r="C71" s="356" t="s">
        <v>1491</v>
      </c>
      <c r="D71" s="120" t="s">
        <v>1343</v>
      </c>
      <c r="E71" s="120" t="s">
        <v>1349</v>
      </c>
      <c r="F71" s="120" t="s">
        <v>69</v>
      </c>
      <c r="G71" s="120" t="s">
        <v>1378</v>
      </c>
      <c r="H71" s="120" t="s">
        <v>1623</v>
      </c>
      <c r="I71" s="120" t="s">
        <v>1450</v>
      </c>
      <c r="J71" s="120"/>
      <c r="K71" s="120">
        <v>210</v>
      </c>
      <c r="L71" s="120">
        <v>12</v>
      </c>
      <c r="M71" s="119">
        <f>L71*K71</f>
        <v>2520</v>
      </c>
      <c r="N71" s="493">
        <f>M71/$V$27</f>
        <v>144</v>
      </c>
      <c r="O71" s="355"/>
      <c r="P71" s="120" t="s">
        <v>1624</v>
      </c>
      <c r="Q71" s="120" t="str">
        <f>IFERROR(INDEX('MARE MX'!$K:$K,MATCH("*"&amp;I71&amp;"*",'MARE MX'!$F:$F,0)),"Sin dato")</f>
        <v>ENTERPRISE</v>
      </c>
      <c r="R71" s="120"/>
      <c r="S71" s="120"/>
      <c r="T71" s="120"/>
      <c r="U71" s="120"/>
      <c r="V71" s="120"/>
      <c r="W71" s="120"/>
      <c r="X71" s="120"/>
    </row>
    <row r="72" spans="1:24" s="373" customFormat="1" hidden="1">
      <c r="A72" s="408" t="b">
        <v>0</v>
      </c>
      <c r="B72" s="356" t="s">
        <v>1625</v>
      </c>
      <c r="C72" s="356" t="s">
        <v>1491</v>
      </c>
      <c r="D72" s="120" t="s">
        <v>1343</v>
      </c>
      <c r="E72" s="120" t="s">
        <v>1349</v>
      </c>
      <c r="F72" s="120" t="s">
        <v>69</v>
      </c>
      <c r="G72" s="120" t="s">
        <v>1378</v>
      </c>
      <c r="H72" s="120" t="s">
        <v>1455</v>
      </c>
      <c r="I72" s="120" t="s">
        <v>380</v>
      </c>
      <c r="J72" s="120" t="s">
        <v>1626</v>
      </c>
      <c r="K72" s="120">
        <v>282</v>
      </c>
      <c r="L72" s="120">
        <v>10</v>
      </c>
      <c r="M72" s="119">
        <f>L72*K72</f>
        <v>2820</v>
      </c>
      <c r="N72" s="493">
        <f>M72/$V$27</f>
        <v>161.14285714285714</v>
      </c>
      <c r="O72" s="355"/>
      <c r="P72" s="120" t="s">
        <v>1627</v>
      </c>
      <c r="Q72" s="120" t="str">
        <f>IFERROR(INDEX('MARE MX'!$K:$K,MATCH("*"&amp;I72&amp;"*",'MARE MX'!$F:$F,0)),"Sin dato")</f>
        <v>ENTERPRISE</v>
      </c>
      <c r="R72" s="120" t="s">
        <v>1574</v>
      </c>
      <c r="S72" s="120"/>
      <c r="T72" s="120"/>
      <c r="U72" s="120"/>
      <c r="V72" s="120"/>
      <c r="W72" s="120"/>
      <c r="X72" s="120"/>
    </row>
    <row r="73" spans="1:24" s="373" customFormat="1" hidden="1">
      <c r="A73" s="408" t="b">
        <v>0</v>
      </c>
      <c r="B73" s="356" t="s">
        <v>1628</v>
      </c>
      <c r="C73" s="356" t="s">
        <v>1491</v>
      </c>
      <c r="D73" s="120" t="s">
        <v>1343</v>
      </c>
      <c r="E73" s="120" t="s">
        <v>1349</v>
      </c>
      <c r="F73" s="120" t="s">
        <v>69</v>
      </c>
      <c r="G73" s="120" t="s">
        <v>1378</v>
      </c>
      <c r="H73" s="120" t="s">
        <v>1480</v>
      </c>
      <c r="I73" s="120" t="s">
        <v>380</v>
      </c>
      <c r="J73" s="120" t="s">
        <v>1626</v>
      </c>
      <c r="K73" s="120">
        <v>282</v>
      </c>
      <c r="L73" s="120">
        <v>10</v>
      </c>
      <c r="M73" s="119">
        <f>L73*K73</f>
        <v>2820</v>
      </c>
      <c r="N73" s="493">
        <f>M73/$V$27</f>
        <v>161.14285714285714</v>
      </c>
      <c r="O73" s="355"/>
      <c r="P73" s="119" t="s">
        <v>1629</v>
      </c>
      <c r="Q73" s="120" t="str">
        <f>IFERROR(INDEX('MARE MX'!$K:$K,MATCH("*"&amp;I73&amp;"*",'MARE MX'!$F:$F,0)),"Sin dato")</f>
        <v>ENTERPRISE</v>
      </c>
      <c r="R73" s="120" t="s">
        <v>1574</v>
      </c>
      <c r="S73" s="120"/>
      <c r="T73" s="120"/>
      <c r="U73" s="120"/>
      <c r="V73" s="120"/>
      <c r="W73" s="120"/>
      <c r="X73" s="120"/>
    </row>
    <row r="74" spans="1:24" s="373" customFormat="1" hidden="1">
      <c r="A74" s="408" t="b">
        <v>0</v>
      </c>
      <c r="B74" s="356"/>
      <c r="C74" s="356"/>
      <c r="D74" s="120" t="s">
        <v>1343</v>
      </c>
      <c r="E74" s="120" t="s">
        <v>1349</v>
      </c>
      <c r="F74" s="120" t="s">
        <v>69</v>
      </c>
      <c r="G74" s="120" t="s">
        <v>1378</v>
      </c>
      <c r="H74" s="120" t="s">
        <v>1455</v>
      </c>
      <c r="I74" s="120" t="s">
        <v>355</v>
      </c>
      <c r="J74" s="120"/>
      <c r="K74" s="120"/>
      <c r="L74" s="120"/>
      <c r="M74" s="119"/>
      <c r="N74" s="493"/>
      <c r="O74" s="355"/>
      <c r="P74" s="119"/>
      <c r="Q74" s="120"/>
      <c r="R74" s="120"/>
      <c r="S74" s="120"/>
      <c r="T74" s="120"/>
      <c r="U74" s="120"/>
      <c r="V74" s="120"/>
      <c r="W74" s="120"/>
      <c r="X74" s="120"/>
    </row>
    <row r="75" spans="1:24" s="373" customFormat="1" hidden="1">
      <c r="A75" s="408" t="b">
        <v>0</v>
      </c>
      <c r="B75" s="356" t="s">
        <v>1630</v>
      </c>
      <c r="C75" s="356" t="s">
        <v>1491</v>
      </c>
      <c r="D75" s="120" t="s">
        <v>1343</v>
      </c>
      <c r="E75" s="120" t="s">
        <v>1351</v>
      </c>
      <c r="F75" s="120" t="s">
        <v>69</v>
      </c>
      <c r="G75" s="120" t="s">
        <v>1378</v>
      </c>
      <c r="H75" s="120" t="s">
        <v>41</v>
      </c>
      <c r="I75" s="120" t="s">
        <v>1631</v>
      </c>
      <c r="J75" s="120"/>
      <c r="K75" s="120">
        <v>0</v>
      </c>
      <c r="L75" s="120">
        <v>0</v>
      </c>
      <c r="M75" s="119">
        <f>L75*K75</f>
        <v>0</v>
      </c>
      <c r="N75" s="493">
        <f>M75/$V$27</f>
        <v>0</v>
      </c>
      <c r="O75" s="120"/>
      <c r="P75" s="120" t="s">
        <v>1632</v>
      </c>
      <c r="Q75" s="120" t="str">
        <f>IFERROR(INDEX('MARE MX'!$K:$K,MATCH("*"&amp;I75&amp;"*",'MARE MX'!$F:$F,0)),"Sin dato")</f>
        <v>ENTERPRISE</v>
      </c>
      <c r="R75" s="120" t="s">
        <v>1583</v>
      </c>
      <c r="S75" s="120"/>
      <c r="T75" s="120"/>
      <c r="U75" s="120"/>
      <c r="V75" s="120"/>
      <c r="W75" s="120"/>
      <c r="X75" s="120"/>
    </row>
    <row r="76" spans="1:24" s="527" customFormat="1" hidden="1">
      <c r="A76" s="523" t="b">
        <v>0</v>
      </c>
      <c r="B76" s="524" t="s">
        <v>1633</v>
      </c>
      <c r="C76" s="525" t="s">
        <v>1491</v>
      </c>
      <c r="D76" s="525" t="s">
        <v>1343</v>
      </c>
      <c r="E76" s="525"/>
      <c r="F76" s="525" t="s">
        <v>456</v>
      </c>
      <c r="G76" s="525" t="s">
        <v>1378</v>
      </c>
      <c r="H76" s="525" t="s">
        <v>1455</v>
      </c>
      <c r="I76" s="525" t="s">
        <v>1634</v>
      </c>
      <c r="J76" s="525"/>
      <c r="K76" s="525">
        <v>70</v>
      </c>
      <c r="L76" s="525">
        <v>15</v>
      </c>
      <c r="M76" s="526">
        <f>L76*K76</f>
        <v>1050</v>
      </c>
      <c r="N76" s="526">
        <f t="shared" ref="N76:N99" si="8">M76/$V$27</f>
        <v>60</v>
      </c>
      <c r="O76" s="526"/>
      <c r="P76" s="525" t="s">
        <v>1635</v>
      </c>
      <c r="Q76" s="525" t="str">
        <f>IFERROR(INDEX('MARE MX'!$K:$K,MATCH("*"&amp;I76&amp;"*",'MARE MX'!$F:$F,0)),"Sin dato")</f>
        <v>SMB</v>
      </c>
      <c r="R76" s="525"/>
      <c r="S76" s="525" t="s">
        <v>127</v>
      </c>
      <c r="T76" s="521"/>
      <c r="U76" s="521"/>
      <c r="V76" s="521"/>
      <c r="W76" s="521"/>
      <c r="X76" s="521"/>
    </row>
    <row r="77" spans="1:24" s="371" customFormat="1" hidden="1">
      <c r="A77" s="409" t="b">
        <v>0</v>
      </c>
      <c r="B77" s="357" t="s">
        <v>1636</v>
      </c>
      <c r="C77" s="358" t="s">
        <v>1491</v>
      </c>
      <c r="D77" s="358" t="s">
        <v>1343</v>
      </c>
      <c r="E77" s="358" t="s">
        <v>1349</v>
      </c>
      <c r="F77" s="358" t="s">
        <v>456</v>
      </c>
      <c r="G77" s="358" t="s">
        <v>1378</v>
      </c>
      <c r="H77" s="358" t="s">
        <v>35</v>
      </c>
      <c r="I77" s="358" t="s">
        <v>826</v>
      </c>
      <c r="J77" s="358"/>
      <c r="K77" s="358">
        <v>20</v>
      </c>
      <c r="L77" s="358">
        <v>10</v>
      </c>
      <c r="M77" s="359">
        <f>L77*K77</f>
        <v>200</v>
      </c>
      <c r="N77" s="359">
        <f t="shared" si="8"/>
        <v>11.428571428571429</v>
      </c>
      <c r="O77" s="359"/>
      <c r="P77" s="358" t="s">
        <v>1637</v>
      </c>
      <c r="Q77" s="358" t="str">
        <f>IFERROR(INDEX('MARE MX'!$K:$K,MATCH("*"&amp;I77&amp;"*",'MARE MX'!$F:$F,0)),"Sin dato")</f>
        <v>SMB</v>
      </c>
      <c r="R77" s="358"/>
      <c r="S77" s="358"/>
      <c r="T77" s="120"/>
      <c r="U77" s="120"/>
      <c r="V77" s="120"/>
      <c r="W77" s="120"/>
      <c r="X77" s="120"/>
    </row>
    <row r="78" spans="1:24" s="371" customFormat="1" hidden="1">
      <c r="A78" s="409" t="b">
        <v>0</v>
      </c>
      <c r="B78" s="357" t="s">
        <v>1638</v>
      </c>
      <c r="C78" s="358" t="s">
        <v>1491</v>
      </c>
      <c r="D78" s="358" t="s">
        <v>1343</v>
      </c>
      <c r="E78" s="358" t="s">
        <v>1349</v>
      </c>
      <c r="F78" s="358" t="s">
        <v>456</v>
      </c>
      <c r="G78" s="358" t="s">
        <v>1378</v>
      </c>
      <c r="H78" s="358" t="s">
        <v>40</v>
      </c>
      <c r="I78" s="358" t="s">
        <v>1639</v>
      </c>
      <c r="J78" s="358"/>
      <c r="K78" s="358"/>
      <c r="L78" s="358"/>
      <c r="M78" s="359">
        <v>560</v>
      </c>
      <c r="N78" s="359">
        <f t="shared" si="8"/>
        <v>32</v>
      </c>
      <c r="O78" s="359"/>
      <c r="P78" s="358" t="s">
        <v>1640</v>
      </c>
      <c r="Q78" s="358" t="str">
        <f>IFERROR(INDEX('MARE MX'!$K:$K,MATCH("*"&amp;I78&amp;"*",'MARE MX'!$F:$F,0)),"Sin dato")</f>
        <v>Sin dato</v>
      </c>
      <c r="R78" s="358"/>
      <c r="S78" s="358"/>
      <c r="T78" s="120"/>
      <c r="U78" s="120"/>
      <c r="V78" s="120"/>
      <c r="W78" s="120"/>
      <c r="X78" s="120"/>
    </row>
    <row r="79" spans="1:24" s="358" customFormat="1" hidden="1">
      <c r="A79" s="409" t="b">
        <v>0</v>
      </c>
      <c r="B79" s="357" t="s">
        <v>1641</v>
      </c>
      <c r="C79" s="358" t="s">
        <v>1491</v>
      </c>
      <c r="D79" s="358" t="s">
        <v>1343</v>
      </c>
      <c r="E79" s="358" t="s">
        <v>1349</v>
      </c>
      <c r="F79" s="358" t="s">
        <v>456</v>
      </c>
      <c r="G79" s="358" t="s">
        <v>1378</v>
      </c>
      <c r="H79" s="358" t="s">
        <v>1480</v>
      </c>
      <c r="I79" s="358" t="s">
        <v>1572</v>
      </c>
      <c r="K79" s="358">
        <v>139</v>
      </c>
      <c r="L79" s="358">
        <v>9</v>
      </c>
      <c r="M79" s="359">
        <f>L79*K79</f>
        <v>1251</v>
      </c>
      <c r="N79" s="359">
        <f t="shared" si="8"/>
        <v>71.48571428571428</v>
      </c>
      <c r="O79" s="359"/>
      <c r="P79" s="358" t="s">
        <v>1642</v>
      </c>
      <c r="Q79" s="358" t="str">
        <f>IFERROR(INDEX('MARE MX'!$K:$K,MATCH("*"&amp;I79&amp;"*",'MARE MX'!$F:$F,0)),"Sin dato")</f>
        <v>SMB</v>
      </c>
      <c r="R79" s="358" t="s">
        <v>1574</v>
      </c>
      <c r="T79" s="120"/>
      <c r="U79" s="120" t="s">
        <v>1445</v>
      </c>
      <c r="V79" s="120">
        <f>V69+V70</f>
        <v>35867.258571428567</v>
      </c>
      <c r="W79" s="120"/>
      <c r="X79" s="120"/>
    </row>
    <row r="80" spans="1:24" hidden="1">
      <c r="A80" s="409" t="b">
        <v>0</v>
      </c>
      <c r="B80" s="357" t="s">
        <v>1643</v>
      </c>
      <c r="C80" s="358" t="s">
        <v>1491</v>
      </c>
      <c r="D80" s="358" t="s">
        <v>1343</v>
      </c>
      <c r="E80" s="358" t="s">
        <v>1349</v>
      </c>
      <c r="F80" s="358" t="s">
        <v>456</v>
      </c>
      <c r="G80" s="358" t="s">
        <v>1378</v>
      </c>
      <c r="H80" s="358" t="s">
        <v>1455</v>
      </c>
      <c r="I80" s="358" t="s">
        <v>1644</v>
      </c>
      <c r="J80" s="358"/>
      <c r="K80" s="358">
        <v>270</v>
      </c>
      <c r="L80" s="358">
        <v>13</v>
      </c>
      <c r="M80" s="359">
        <f>K80*L80</f>
        <v>3510</v>
      </c>
      <c r="N80" s="359">
        <f t="shared" si="8"/>
        <v>200.57142857142858</v>
      </c>
      <c r="O80" s="358"/>
      <c r="P80" s="358" t="s">
        <v>1645</v>
      </c>
      <c r="Q80" s="358"/>
      <c r="R80" s="358" t="s">
        <v>1583</v>
      </c>
      <c r="S80" s="358"/>
      <c r="T80" s="120"/>
      <c r="U80" s="120"/>
      <c r="V80" s="120"/>
      <c r="W80" s="120"/>
      <c r="X80" s="120"/>
    </row>
    <row r="81" spans="1:24" s="358" customFormat="1" hidden="1">
      <c r="A81" s="409" t="b">
        <v>0</v>
      </c>
      <c r="B81" s="357" t="s">
        <v>1646</v>
      </c>
      <c r="C81" s="358" t="s">
        <v>1491</v>
      </c>
      <c r="D81" s="358" t="s">
        <v>1343</v>
      </c>
      <c r="E81" s="358" t="s">
        <v>1349</v>
      </c>
      <c r="F81" s="358" t="s">
        <v>456</v>
      </c>
      <c r="G81" s="358" t="s">
        <v>1378</v>
      </c>
      <c r="H81" s="358" t="s">
        <v>1480</v>
      </c>
      <c r="I81" s="358" t="s">
        <v>1647</v>
      </c>
      <c r="K81" s="358">
        <v>65</v>
      </c>
      <c r="L81" s="358">
        <v>10</v>
      </c>
      <c r="M81" s="359">
        <f>L81*K81</f>
        <v>650</v>
      </c>
      <c r="N81" s="359">
        <f t="shared" si="8"/>
        <v>37.142857142857146</v>
      </c>
      <c r="O81" s="359"/>
      <c r="P81" s="358" t="s">
        <v>1648</v>
      </c>
      <c r="Q81" s="358" t="str">
        <f>IFERROR(INDEX('MARE MX'!$K:$K,MATCH("*"&amp;I81&amp;"*",'MARE MX'!$F:$F,0)),"Sin dato")</f>
        <v>SMB</v>
      </c>
      <c r="R81" s="358" t="s">
        <v>1574</v>
      </c>
      <c r="T81" s="120"/>
      <c r="U81" s="120"/>
      <c r="V81" s="120"/>
      <c r="W81" s="120"/>
      <c r="X81" s="120"/>
    </row>
    <row r="82" spans="1:24" s="358" customFormat="1" hidden="1">
      <c r="A82" s="409" t="b">
        <v>0</v>
      </c>
      <c r="B82" s="357"/>
      <c r="C82" s="358" t="s">
        <v>1491</v>
      </c>
      <c r="D82" s="358" t="s">
        <v>1343</v>
      </c>
      <c r="E82" s="358" t="s">
        <v>1349</v>
      </c>
      <c r="F82" s="358" t="s">
        <v>456</v>
      </c>
      <c r="G82" s="358" t="s">
        <v>1377</v>
      </c>
      <c r="H82" s="358" t="s">
        <v>1466</v>
      </c>
      <c r="I82" s="358" t="s">
        <v>1649</v>
      </c>
      <c r="K82" s="358">
        <v>15</v>
      </c>
      <c r="L82" s="358">
        <v>75</v>
      </c>
      <c r="M82" s="359">
        <f>K82*L82</f>
        <v>1125</v>
      </c>
      <c r="N82" s="360">
        <f t="shared" si="8"/>
        <v>64.285714285714292</v>
      </c>
      <c r="O82" s="359"/>
      <c r="P82" s="358" t="s">
        <v>1650</v>
      </c>
      <c r="Q82" s="358" t="str">
        <f>IFERROR(INDEX('MARE MX'!$K:$K,MATCH("*"&amp;I82&amp;"*",'MARE MX'!$F:$F,0)),"Sin dato")</f>
        <v> </v>
      </c>
      <c r="R82" s="358" t="s">
        <v>1583</v>
      </c>
      <c r="T82" s="120"/>
      <c r="U82" s="120"/>
      <c r="V82" s="120"/>
      <c r="W82" s="120"/>
      <c r="X82" s="120"/>
    </row>
    <row r="83" spans="1:24" s="371" customFormat="1" hidden="1">
      <c r="A83" s="412" t="b">
        <v>0</v>
      </c>
      <c r="B83" s="370" t="s">
        <v>1651</v>
      </c>
      <c r="C83" s="371" t="s">
        <v>1491</v>
      </c>
      <c r="D83" s="371" t="s">
        <v>1343</v>
      </c>
      <c r="E83" s="358" t="s">
        <v>1349</v>
      </c>
      <c r="F83" s="371" t="s">
        <v>456</v>
      </c>
      <c r="G83" s="371" t="s">
        <v>1378</v>
      </c>
      <c r="H83" s="371" t="s">
        <v>1580</v>
      </c>
      <c r="I83" s="371" t="s">
        <v>1649</v>
      </c>
      <c r="K83" s="371">
        <v>15</v>
      </c>
      <c r="L83" s="371">
        <v>20</v>
      </c>
      <c r="M83" s="372">
        <f>L83*K83</f>
        <v>300</v>
      </c>
      <c r="N83" s="372">
        <f>M83/$V$27</f>
        <v>17.142857142857142</v>
      </c>
      <c r="P83" s="371" t="s">
        <v>1652</v>
      </c>
      <c r="R83" s="371" t="s">
        <v>1583</v>
      </c>
    </row>
    <row r="84" spans="1:24" s="358" customFormat="1" hidden="1">
      <c r="A84" s="409" t="b">
        <v>0</v>
      </c>
      <c r="B84" s="357" t="s">
        <v>1653</v>
      </c>
      <c r="C84" s="358" t="s">
        <v>1491</v>
      </c>
      <c r="D84" s="358" t="s">
        <v>1343</v>
      </c>
      <c r="E84" s="358" t="s">
        <v>1349</v>
      </c>
      <c r="F84" s="358" t="s">
        <v>456</v>
      </c>
      <c r="G84" s="358" t="s">
        <v>1378</v>
      </c>
      <c r="H84" s="358" t="s">
        <v>1455</v>
      </c>
      <c r="I84" s="358" t="s">
        <v>1654</v>
      </c>
      <c r="K84" s="358">
        <v>47</v>
      </c>
      <c r="L84" s="358">
        <v>13</v>
      </c>
      <c r="M84" s="359">
        <f>K84*L84</f>
        <v>611</v>
      </c>
      <c r="N84" s="359">
        <f>M84/$V$27</f>
        <v>34.914285714285711</v>
      </c>
      <c r="O84" s="359"/>
      <c r="P84" s="358" t="s">
        <v>1655</v>
      </c>
      <c r="T84" s="120"/>
      <c r="U84" s="120"/>
      <c r="V84" s="120"/>
      <c r="W84" s="120"/>
      <c r="X84" s="120"/>
    </row>
    <row r="85" spans="1:24" hidden="1">
      <c r="A85" s="358"/>
      <c r="B85" s="358"/>
      <c r="C85" s="358"/>
      <c r="D85" s="358" t="s">
        <v>1343</v>
      </c>
      <c r="E85" s="358" t="s">
        <v>1349</v>
      </c>
      <c r="F85" s="358" t="s">
        <v>456</v>
      </c>
      <c r="G85" s="358" t="s">
        <v>1378</v>
      </c>
      <c r="H85" s="358" t="s">
        <v>1656</v>
      </c>
      <c r="I85" s="358" t="s">
        <v>1657</v>
      </c>
      <c r="J85" s="358"/>
      <c r="K85" s="358"/>
      <c r="L85" s="358"/>
      <c r="M85" s="358">
        <v>450</v>
      </c>
      <c r="N85" s="360">
        <f t="shared" ref="N85:N86" si="9">M85/$V$27</f>
        <v>25.714285714285715</v>
      </c>
      <c r="O85" s="358"/>
      <c r="P85" s="358" t="s">
        <v>1658</v>
      </c>
      <c r="Q85" s="358"/>
      <c r="R85" s="358"/>
      <c r="S85" s="358"/>
    </row>
    <row r="86" spans="1:24" hidden="1">
      <c r="A86" s="358"/>
      <c r="B86" s="358"/>
      <c r="C86" s="358"/>
      <c r="D86" s="358" t="s">
        <v>1343</v>
      </c>
      <c r="E86" s="358" t="s">
        <v>1349</v>
      </c>
      <c r="F86" s="358" t="s">
        <v>456</v>
      </c>
      <c r="G86" s="358" t="s">
        <v>1378</v>
      </c>
      <c r="H86" s="358" t="s">
        <v>1540</v>
      </c>
      <c r="I86" s="358" t="s">
        <v>1657</v>
      </c>
      <c r="J86" s="358"/>
      <c r="K86" s="358"/>
      <c r="L86" s="358"/>
      <c r="M86" s="358">
        <v>350</v>
      </c>
      <c r="N86" s="360">
        <f t="shared" si="9"/>
        <v>20</v>
      </c>
      <c r="O86" s="358"/>
      <c r="P86" s="358" t="s">
        <v>1655</v>
      </c>
      <c r="Q86" s="358"/>
      <c r="R86" s="358"/>
      <c r="S86" s="358"/>
    </row>
    <row r="87" spans="1:24" hidden="1">
      <c r="A87" s="358"/>
      <c r="B87" s="358"/>
      <c r="C87" s="358"/>
      <c r="D87" s="358" t="s">
        <v>1343</v>
      </c>
      <c r="E87" s="358" t="s">
        <v>1349</v>
      </c>
      <c r="F87" s="358" t="s">
        <v>456</v>
      </c>
      <c r="G87" s="358" t="s">
        <v>1378</v>
      </c>
      <c r="H87" s="358" t="s">
        <v>1540</v>
      </c>
      <c r="I87" s="358" t="s">
        <v>1659</v>
      </c>
      <c r="J87" s="358"/>
      <c r="K87" s="358"/>
      <c r="L87" s="358"/>
      <c r="M87" s="358"/>
      <c r="N87" s="360"/>
      <c r="O87" s="358"/>
      <c r="P87" s="358"/>
      <c r="Q87" s="358"/>
      <c r="R87" s="358"/>
      <c r="S87" s="358"/>
    </row>
    <row r="88" spans="1:24" hidden="1">
      <c r="A88" s="358"/>
      <c r="B88" s="358"/>
      <c r="C88" s="358"/>
      <c r="D88" s="358" t="s">
        <v>1343</v>
      </c>
      <c r="E88" s="358" t="s">
        <v>1351</v>
      </c>
      <c r="F88" s="358" t="s">
        <v>456</v>
      </c>
      <c r="G88" s="358" t="s">
        <v>1377</v>
      </c>
      <c r="H88" s="358" t="s">
        <v>1466</v>
      </c>
      <c r="I88" s="358" t="s">
        <v>1659</v>
      </c>
      <c r="J88" s="358"/>
      <c r="K88" s="358">
        <v>11</v>
      </c>
      <c r="L88" s="358"/>
      <c r="M88" s="358"/>
      <c r="N88" s="360"/>
      <c r="O88" s="358"/>
      <c r="P88" s="358" t="s">
        <v>1660</v>
      </c>
      <c r="Q88" s="358"/>
      <c r="R88" s="358"/>
      <c r="S88" s="358"/>
    </row>
    <row r="89" spans="1:24" hidden="1">
      <c r="A89" s="358"/>
      <c r="B89" s="358"/>
      <c r="C89" s="358"/>
      <c r="D89" s="358" t="s">
        <v>1343</v>
      </c>
      <c r="E89" s="358" t="s">
        <v>1349</v>
      </c>
      <c r="F89" s="358" t="s">
        <v>456</v>
      </c>
      <c r="G89" s="358" t="s">
        <v>1377</v>
      </c>
      <c r="H89" s="358" t="s">
        <v>1466</v>
      </c>
      <c r="I89" s="358" t="s">
        <v>1661</v>
      </c>
      <c r="J89" s="358"/>
      <c r="K89" s="358"/>
      <c r="L89" s="358"/>
      <c r="M89" s="358"/>
      <c r="N89" s="360"/>
      <c r="O89" s="358"/>
      <c r="P89" s="358"/>
      <c r="Q89" s="358"/>
      <c r="R89" s="358"/>
      <c r="S89" s="358"/>
    </row>
    <row r="90" spans="1:24" hidden="1">
      <c r="A90" s="358"/>
      <c r="B90" s="358"/>
      <c r="C90" s="358"/>
      <c r="D90" s="358" t="s">
        <v>1343</v>
      </c>
      <c r="E90" s="358" t="s">
        <v>1349</v>
      </c>
      <c r="F90" s="358" t="s">
        <v>456</v>
      </c>
      <c r="G90" s="358" t="s">
        <v>1377</v>
      </c>
      <c r="H90" s="358" t="s">
        <v>1466</v>
      </c>
      <c r="I90" s="358" t="s">
        <v>1662</v>
      </c>
      <c r="J90" s="358"/>
      <c r="K90" s="358">
        <v>20</v>
      </c>
      <c r="L90" s="358"/>
      <c r="M90" s="358"/>
      <c r="N90" s="360"/>
      <c r="O90" s="358"/>
      <c r="P90" s="358"/>
      <c r="Q90" s="358"/>
      <c r="R90" s="358"/>
      <c r="S90" s="358"/>
    </row>
    <row r="91" spans="1:24" hidden="1">
      <c r="A91" s="358"/>
      <c r="B91" s="358"/>
      <c r="C91" s="358"/>
      <c r="D91" s="358" t="s">
        <v>1343</v>
      </c>
      <c r="E91" s="358" t="s">
        <v>1349</v>
      </c>
      <c r="F91" s="358" t="s">
        <v>456</v>
      </c>
      <c r="G91" s="358" t="s">
        <v>1377</v>
      </c>
      <c r="H91" s="358" t="s">
        <v>1466</v>
      </c>
      <c r="I91" s="358" t="s">
        <v>1663</v>
      </c>
      <c r="J91" s="358"/>
      <c r="K91" s="358"/>
      <c r="L91" s="358"/>
      <c r="M91" s="358"/>
      <c r="N91" s="360"/>
      <c r="O91" s="358"/>
      <c r="P91" s="358"/>
      <c r="Q91" s="358"/>
      <c r="R91" s="358"/>
      <c r="S91" s="358"/>
    </row>
    <row r="92" spans="1:24" s="371" customFormat="1" hidden="1">
      <c r="A92" s="412" t="b">
        <v>0</v>
      </c>
      <c r="B92" s="370" t="s">
        <v>1664</v>
      </c>
      <c r="C92" s="371" t="s">
        <v>1491</v>
      </c>
      <c r="D92" s="371" t="s">
        <v>1343</v>
      </c>
      <c r="E92" s="358" t="s">
        <v>1349</v>
      </c>
      <c r="F92" s="371" t="s">
        <v>456</v>
      </c>
      <c r="G92" s="371" t="s">
        <v>1378</v>
      </c>
      <c r="H92" s="371" t="s">
        <v>1480</v>
      </c>
      <c r="I92" s="371" t="s">
        <v>1665</v>
      </c>
      <c r="K92" s="371">
        <v>100</v>
      </c>
      <c r="L92" s="371">
        <v>10</v>
      </c>
      <c r="M92" s="372">
        <f>L92*K92</f>
        <v>1000</v>
      </c>
      <c r="N92" s="372">
        <f>M92/$V$27</f>
        <v>57.142857142857146</v>
      </c>
      <c r="P92" s="371" t="s">
        <v>1666</v>
      </c>
      <c r="Q92" s="371" t="str">
        <f>IFERROR(INDEX('MARE MX'!$K:$K,MATCH("*"&amp;I92&amp;"*",'MARE MX'!$F:$F,0)),"Sin dato")</f>
        <v>ENTERPRISE</v>
      </c>
      <c r="R92" s="371" t="s">
        <v>1574</v>
      </c>
    </row>
    <row r="93" spans="1:24" s="368" customFormat="1">
      <c r="A93" s="413" t="b">
        <v>0</v>
      </c>
      <c r="B93" s="367" t="s">
        <v>1667</v>
      </c>
      <c r="C93" s="368" t="s">
        <v>1491</v>
      </c>
      <c r="D93" s="368" t="s">
        <v>1343</v>
      </c>
      <c r="E93" s="368" t="s">
        <v>1349</v>
      </c>
      <c r="F93" s="368" t="s">
        <v>1106</v>
      </c>
      <c r="G93" s="368" t="s">
        <v>1378</v>
      </c>
      <c r="H93" s="368" t="s">
        <v>37</v>
      </c>
      <c r="I93" s="368" t="s">
        <v>1668</v>
      </c>
      <c r="K93" s="368">
        <v>2000</v>
      </c>
      <c r="L93" s="368">
        <v>4</v>
      </c>
      <c r="M93" s="369">
        <f>L93*K93</f>
        <v>8000</v>
      </c>
      <c r="N93" s="369">
        <f>M93/$V$27</f>
        <v>457.14285714285717</v>
      </c>
      <c r="P93" s="596"/>
      <c r="Q93" s="368" t="str">
        <f>IFERROR(INDEX('MARE MX'!$K:$K,MATCH("*"&amp;I93&amp;"*",'MARE MX'!$F:$F,0)),"Sin dato")</f>
        <v>Sin dato</v>
      </c>
    </row>
    <row r="94" spans="1:24" s="368" customFormat="1">
      <c r="A94" s="413" t="b">
        <v>0</v>
      </c>
      <c r="B94" s="367" t="s">
        <v>1669</v>
      </c>
      <c r="C94" s="368" t="s">
        <v>1491</v>
      </c>
      <c r="D94" s="368" t="s">
        <v>1343</v>
      </c>
      <c r="E94" s="368" t="s">
        <v>1349</v>
      </c>
      <c r="F94" s="368" t="s">
        <v>1106</v>
      </c>
      <c r="G94" s="368" t="s">
        <v>1377</v>
      </c>
      <c r="H94" s="368" t="s">
        <v>1466</v>
      </c>
      <c r="I94" s="368" t="s">
        <v>1668</v>
      </c>
      <c r="K94" s="368">
        <v>11622</v>
      </c>
      <c r="L94" s="368">
        <v>31</v>
      </c>
      <c r="M94" s="369">
        <f>L94*K94</f>
        <v>360282</v>
      </c>
      <c r="N94" s="405">
        <f>M94/$V$27</f>
        <v>20587.542857142857</v>
      </c>
      <c r="P94" s="596"/>
      <c r="Q94" s="368" t="str">
        <f>IFERROR(INDEX('MARE MX'!$K:$K,MATCH("*"&amp;I94&amp;"*",'MARE MX'!$F:$F,0)),"Sin dato")</f>
        <v>Sin dato</v>
      </c>
    </row>
    <row r="95" spans="1:24" s="368" customFormat="1">
      <c r="A95" s="413" t="b">
        <v>0</v>
      </c>
      <c r="B95" s="367" t="s">
        <v>1670</v>
      </c>
      <c r="C95" s="368" t="s">
        <v>1491</v>
      </c>
      <c r="D95" s="368" t="s">
        <v>1343</v>
      </c>
      <c r="E95" s="368" t="s">
        <v>1349</v>
      </c>
      <c r="F95" s="368" t="s">
        <v>1106</v>
      </c>
      <c r="G95" s="368" t="s">
        <v>1377</v>
      </c>
      <c r="H95" s="368" t="s">
        <v>1466</v>
      </c>
      <c r="I95" s="368" t="s">
        <v>1587</v>
      </c>
      <c r="K95" s="368">
        <v>5000</v>
      </c>
      <c r="L95" s="368">
        <v>14</v>
      </c>
      <c r="M95" s="369">
        <f>L95*K95</f>
        <v>70000</v>
      </c>
      <c r="N95" s="405">
        <f>M95/$V$27</f>
        <v>4000</v>
      </c>
      <c r="Q95" s="368" t="str">
        <f>IFERROR(INDEX('MARE MX'!$K:$K,MATCH("*"&amp;I95&amp;"*",'MARE MX'!$F:$F,0)),"Sin dato")</f>
        <v>ENTERPRISE</v>
      </c>
    </row>
    <row r="96" spans="1:24" s="368" customFormat="1">
      <c r="A96" s="413" t="b">
        <v>0</v>
      </c>
      <c r="B96" s="367" t="s">
        <v>1671</v>
      </c>
      <c r="C96" s="368" t="s">
        <v>1491</v>
      </c>
      <c r="D96" s="368" t="s">
        <v>1343</v>
      </c>
      <c r="E96" s="368" t="s">
        <v>1672</v>
      </c>
      <c r="F96" s="368" t="s">
        <v>1106</v>
      </c>
      <c r="G96" s="368" t="s">
        <v>1378</v>
      </c>
      <c r="H96" s="368" t="s">
        <v>37</v>
      </c>
      <c r="I96" s="368" t="s">
        <v>1673</v>
      </c>
      <c r="L96" s="368">
        <v>0</v>
      </c>
      <c r="M96" s="369"/>
      <c r="N96" s="369"/>
      <c r="P96" s="368" t="s">
        <v>1674</v>
      </c>
      <c r="Q96" s="368" t="str">
        <f>IFERROR(INDEX('MARE MX'!$K:$K,MATCH("*"&amp;I96&amp;"*",'MARE MX'!$F:$F,0)),"Sin dato")</f>
        <v>ENTERPRISE</v>
      </c>
      <c r="R96" s="368" t="s">
        <v>1583</v>
      </c>
    </row>
    <row r="97" spans="1:24" s="368" customFormat="1">
      <c r="A97" s="413" t="b">
        <v>0</v>
      </c>
      <c r="B97" s="367" t="s">
        <v>1675</v>
      </c>
      <c r="C97" s="368" t="s">
        <v>1491</v>
      </c>
      <c r="D97" s="368" t="s">
        <v>1343</v>
      </c>
      <c r="E97" s="358" t="s">
        <v>1349</v>
      </c>
      <c r="F97" s="368" t="s">
        <v>1106</v>
      </c>
      <c r="G97" s="368" t="s">
        <v>1378</v>
      </c>
      <c r="H97" s="368" t="s">
        <v>1436</v>
      </c>
      <c r="I97" s="368" t="s">
        <v>1591</v>
      </c>
      <c r="M97" s="369">
        <v>5500</v>
      </c>
      <c r="N97" s="369">
        <f>M97/$V$27</f>
        <v>314.28571428571428</v>
      </c>
      <c r="O97" s="369"/>
      <c r="P97" s="368" t="s">
        <v>1676</v>
      </c>
      <c r="Q97" s="368" t="str">
        <f>IFERROR(INDEX('MARE MX'!$K:$K,MATCH("*"&amp;I97&amp;"*",'MARE MX'!$F:$F,0)),"Sin dato")</f>
        <v>ENTERPRISE</v>
      </c>
    </row>
    <row r="98" spans="1:24" s="368" customFormat="1">
      <c r="A98" s="410" t="b">
        <v>0</v>
      </c>
      <c r="B98" s="361" t="s">
        <v>1677</v>
      </c>
      <c r="C98" s="362" t="s">
        <v>1491</v>
      </c>
      <c r="D98" s="362" t="s">
        <v>1343</v>
      </c>
      <c r="E98" s="362" t="s">
        <v>1349</v>
      </c>
      <c r="F98" s="362" t="s">
        <v>1106</v>
      </c>
      <c r="G98" s="362" t="s">
        <v>1378</v>
      </c>
      <c r="H98" s="362" t="s">
        <v>1480</v>
      </c>
      <c r="I98" s="362" t="s">
        <v>1173</v>
      </c>
      <c r="J98" s="362"/>
      <c r="K98" s="362">
        <v>1027</v>
      </c>
      <c r="L98" s="362">
        <v>6</v>
      </c>
      <c r="M98" s="364">
        <f>L98*K98</f>
        <v>6162</v>
      </c>
      <c r="N98" s="364">
        <f t="shared" si="8"/>
        <v>352.1142857142857</v>
      </c>
      <c r="O98" s="362"/>
      <c r="P98" s="362" t="s">
        <v>1678</v>
      </c>
      <c r="Q98" s="362" t="str">
        <f>IFERROR(INDEX('MARE MX'!$K:$K,MATCH("*"&amp;I98&amp;"*",'MARE MX'!$F:$F,0)),"Sin dato")</f>
        <v>ENTERPRISE</v>
      </c>
      <c r="R98" s="362"/>
      <c r="S98" s="362"/>
      <c r="T98" s="120"/>
      <c r="U98" s="120"/>
      <c r="V98" s="120"/>
      <c r="W98" s="120"/>
      <c r="X98" s="120"/>
    </row>
    <row r="99" spans="1:24" s="368" customFormat="1">
      <c r="A99" s="410" t="b">
        <v>0</v>
      </c>
      <c r="B99" s="361" t="s">
        <v>1679</v>
      </c>
      <c r="C99" s="362" t="s">
        <v>1491</v>
      </c>
      <c r="D99" s="362" t="s">
        <v>1343</v>
      </c>
      <c r="E99" s="362" t="s">
        <v>1350</v>
      </c>
      <c r="F99" s="362" t="s">
        <v>1106</v>
      </c>
      <c r="G99" s="362" t="s">
        <v>1378</v>
      </c>
      <c r="H99" s="362" t="s">
        <v>37</v>
      </c>
      <c r="I99" s="362" t="s">
        <v>1680</v>
      </c>
      <c r="J99" s="362"/>
      <c r="K99" s="362"/>
      <c r="L99" s="362">
        <v>0</v>
      </c>
      <c r="M99" s="362"/>
      <c r="N99" s="364">
        <f t="shared" si="8"/>
        <v>0</v>
      </c>
      <c r="O99" s="362"/>
      <c r="P99" s="362" t="s">
        <v>1681</v>
      </c>
      <c r="Q99" s="362" t="str">
        <f>IFERROR(INDEX('MARE MX'!$K:$K,MATCH("*"&amp;I99&amp;"*",'MARE MX'!$F:$F,0)),"Sin dato")</f>
        <v>Enterprise</v>
      </c>
      <c r="R99" s="362" t="s">
        <v>1583</v>
      </c>
      <c r="S99" s="362"/>
      <c r="T99" s="120"/>
      <c r="U99" s="120"/>
      <c r="V99" s="120"/>
      <c r="W99" s="120"/>
      <c r="X99" s="120"/>
    </row>
    <row r="100" spans="1:24" s="362" customFormat="1">
      <c r="A100" s="410" t="b">
        <v>0</v>
      </c>
      <c r="B100" s="361" t="s">
        <v>1682</v>
      </c>
      <c r="C100" s="362" t="s">
        <v>1491</v>
      </c>
      <c r="D100" s="362" t="s">
        <v>1343</v>
      </c>
      <c r="E100" s="362" t="s">
        <v>1350</v>
      </c>
      <c r="F100" s="362" t="s">
        <v>1106</v>
      </c>
      <c r="G100" s="362" t="s">
        <v>1378</v>
      </c>
      <c r="H100" s="362" t="s">
        <v>1683</v>
      </c>
      <c r="I100" s="362" t="s">
        <v>1684</v>
      </c>
      <c r="K100" s="362">
        <v>3000</v>
      </c>
      <c r="L100" s="362">
        <v>2</v>
      </c>
      <c r="M100" s="364">
        <f>K100*L100</f>
        <v>6000</v>
      </c>
      <c r="N100" s="364">
        <v>200</v>
      </c>
      <c r="P100" s="362" t="s">
        <v>1685</v>
      </c>
      <c r="Q100" s="362" t="str">
        <f>IFERROR(INDEX('MARE MX'!$K:$K,MATCH("*"&amp;I100&amp;"*",'MARE MX'!$F:$F,0)),"Sin dato")</f>
        <v>ENTERPRISE</v>
      </c>
      <c r="T100" s="120"/>
      <c r="U100" s="120"/>
      <c r="V100" s="120"/>
      <c r="W100" s="120"/>
      <c r="X100" s="120"/>
    </row>
    <row r="101" spans="1:24" s="368" customFormat="1">
      <c r="A101" s="410" t="b">
        <v>0</v>
      </c>
      <c r="B101" s="361" t="s">
        <v>1686</v>
      </c>
      <c r="C101" s="362" t="s">
        <v>1491</v>
      </c>
      <c r="D101" s="362" t="s">
        <v>1343</v>
      </c>
      <c r="E101" s="362" t="s">
        <v>1349</v>
      </c>
      <c r="F101" s="362" t="s">
        <v>1106</v>
      </c>
      <c r="G101" s="362" t="s">
        <v>1378</v>
      </c>
      <c r="H101" s="362" t="s">
        <v>1656</v>
      </c>
      <c r="I101" s="362" t="s">
        <v>1687</v>
      </c>
      <c r="J101" s="362"/>
      <c r="K101" s="362">
        <v>1030</v>
      </c>
      <c r="L101" s="362">
        <v>8</v>
      </c>
      <c r="M101" s="362">
        <f>L101*K101</f>
        <v>8240</v>
      </c>
      <c r="N101" s="364">
        <f>M101/$V$27</f>
        <v>470.85714285714283</v>
      </c>
      <c r="O101" s="364"/>
      <c r="P101" s="362" t="s">
        <v>1688</v>
      </c>
      <c r="Q101" s="362" t="str">
        <f>IFERROR(INDEX('MARE MX'!$K:$K,MATCH("*"&amp;I101&amp;"*",'MARE MX'!$F:$F,0)),"Sin dato")</f>
        <v>ENTERPRISE</v>
      </c>
      <c r="R101" s="362"/>
      <c r="S101" s="362"/>
      <c r="T101" s="120"/>
      <c r="U101" s="120"/>
      <c r="V101" s="120"/>
      <c r="W101" s="120"/>
      <c r="X101" s="120"/>
    </row>
    <row r="102" spans="1:24" s="362" customFormat="1">
      <c r="A102" s="410" t="b">
        <v>0</v>
      </c>
      <c r="B102" s="361" t="s">
        <v>1689</v>
      </c>
      <c r="C102" s="362" t="s">
        <v>1491</v>
      </c>
      <c r="D102" s="362" t="s">
        <v>1343</v>
      </c>
      <c r="E102" s="362" t="s">
        <v>1350</v>
      </c>
      <c r="F102" s="362" t="s">
        <v>1106</v>
      </c>
      <c r="G102" s="362" t="s">
        <v>1378</v>
      </c>
      <c r="H102" s="362" t="s">
        <v>42</v>
      </c>
      <c r="I102" s="362" t="s">
        <v>1690</v>
      </c>
      <c r="K102" s="362">
        <v>800</v>
      </c>
      <c r="L102" s="362">
        <v>10</v>
      </c>
      <c r="M102" s="364">
        <f>K102*L102</f>
        <v>8000</v>
      </c>
      <c r="N102" s="364">
        <v>200</v>
      </c>
      <c r="P102" s="362" t="s">
        <v>1691</v>
      </c>
      <c r="Q102" s="362" t="str">
        <f>IFERROR(INDEX('MARE MX'!$K:$K,MATCH("*"&amp;I102&amp;"*",'MARE MX'!$F:$F,0)),"Sin dato")</f>
        <v>ENTERPRISE</v>
      </c>
      <c r="R102" s="362" t="s">
        <v>1574</v>
      </c>
      <c r="T102" s="120"/>
      <c r="U102" s="120"/>
      <c r="V102" s="120"/>
      <c r="W102" s="120"/>
      <c r="X102" s="120"/>
    </row>
    <row r="103" spans="1:24" s="362" customFormat="1">
      <c r="A103" s="410" t="b">
        <v>0</v>
      </c>
      <c r="B103" s="361" t="s">
        <v>1692</v>
      </c>
      <c r="C103" s="362" t="s">
        <v>1491</v>
      </c>
      <c r="D103" s="362" t="s">
        <v>1343</v>
      </c>
      <c r="E103" s="362" t="s">
        <v>1350</v>
      </c>
      <c r="F103" s="362" t="s">
        <v>1106</v>
      </c>
      <c r="G103" s="362" t="s">
        <v>1378</v>
      </c>
      <c r="H103" s="362" t="s">
        <v>1480</v>
      </c>
      <c r="I103" s="362" t="s">
        <v>1690</v>
      </c>
      <c r="K103" s="362">
        <v>1156</v>
      </c>
      <c r="L103" s="362">
        <v>0.25</v>
      </c>
      <c r="M103" s="364"/>
      <c r="N103" s="364">
        <f>L103*K103</f>
        <v>289</v>
      </c>
      <c r="P103" s="362" t="s">
        <v>1693</v>
      </c>
      <c r="Q103" s="362" t="str">
        <f>IFERROR(INDEX('MARE MX'!$K:$K,MATCH("*"&amp;I103&amp;"*",'MARE MX'!$F:$F,0)),"Sin dato")</f>
        <v>ENTERPRISE</v>
      </c>
      <c r="R103" s="362" t="s">
        <v>1574</v>
      </c>
      <c r="T103" s="120"/>
      <c r="U103" s="120"/>
      <c r="V103" s="120"/>
      <c r="W103" s="120"/>
      <c r="X103" s="120"/>
    </row>
    <row r="104" spans="1:24" s="362" customFormat="1">
      <c r="A104" s="410" t="b">
        <v>0</v>
      </c>
      <c r="B104" s="361" t="s">
        <v>1694</v>
      </c>
      <c r="C104" s="362" t="s">
        <v>1491</v>
      </c>
      <c r="D104" s="362" t="s">
        <v>1343</v>
      </c>
      <c r="E104" s="362" t="s">
        <v>1350</v>
      </c>
      <c r="F104" s="362" t="s">
        <v>1106</v>
      </c>
      <c r="G104" s="362" t="s">
        <v>1378</v>
      </c>
      <c r="H104" s="362" t="s">
        <v>1455</v>
      </c>
      <c r="I104" s="362" t="s">
        <v>1690</v>
      </c>
      <c r="K104" s="362">
        <v>1156</v>
      </c>
      <c r="L104" s="362">
        <v>0.35</v>
      </c>
      <c r="M104" s="364"/>
      <c r="N104" s="364">
        <f>L104*K104</f>
        <v>404.59999999999997</v>
      </c>
      <c r="P104" s="362" t="s">
        <v>1693</v>
      </c>
      <c r="Q104" s="362" t="str">
        <f>IFERROR(INDEX('MARE MX'!$K:$K,MATCH("*"&amp;I104&amp;"*",'MARE MX'!$F:$F,0)),"Sin dato")</f>
        <v>ENTERPRISE</v>
      </c>
      <c r="R104" s="362" t="s">
        <v>1574</v>
      </c>
      <c r="T104" s="120"/>
      <c r="U104" s="120"/>
      <c r="V104" s="120"/>
      <c r="W104" s="120"/>
      <c r="X104" s="120"/>
    </row>
    <row r="105" spans="1:24" s="362" customFormat="1">
      <c r="A105" s="514" t="b">
        <v>0</v>
      </c>
      <c r="B105" s="515" t="s">
        <v>1695</v>
      </c>
      <c r="C105" s="513" t="s">
        <v>1491</v>
      </c>
      <c r="D105" s="513" t="s">
        <v>1343</v>
      </c>
      <c r="E105" s="513"/>
      <c r="F105" s="513" t="s">
        <v>1106</v>
      </c>
      <c r="G105" s="513" t="s">
        <v>1378</v>
      </c>
      <c r="H105" s="513" t="s">
        <v>1480</v>
      </c>
      <c r="I105" s="513" t="s">
        <v>1696</v>
      </c>
      <c r="J105" s="513"/>
      <c r="K105" s="513">
        <v>900</v>
      </c>
      <c r="L105" s="513">
        <v>5</v>
      </c>
      <c r="M105" s="513">
        <f>L105*K105</f>
        <v>4500</v>
      </c>
      <c r="N105" s="516">
        <f>M105/$V$27</f>
        <v>257.14285714285717</v>
      </c>
      <c r="O105" s="516"/>
      <c r="P105" s="513" t="s">
        <v>1697</v>
      </c>
      <c r="Q105" s="513" t="str">
        <f>IFERROR(INDEX('MARE MX'!$K:$K,MATCH("*"&amp;I105&amp;"*",'MARE MX'!$F:$F,0)),"Sin dato")</f>
        <v>ENTERPRISE</v>
      </c>
      <c r="R105" s="513"/>
      <c r="S105" s="513"/>
      <c r="T105" s="513"/>
      <c r="U105" s="513"/>
      <c r="V105" s="513"/>
      <c r="W105" s="513"/>
      <c r="X105" s="513"/>
    </row>
    <row r="106" spans="1:24" s="362" customFormat="1">
      <c r="A106" s="517" t="b">
        <v>0</v>
      </c>
      <c r="B106" s="518" t="s">
        <v>1698</v>
      </c>
      <c r="C106" s="519" t="s">
        <v>1491</v>
      </c>
      <c r="D106" s="519" t="s">
        <v>1343</v>
      </c>
      <c r="E106" s="519"/>
      <c r="F106" s="519" t="s">
        <v>1106</v>
      </c>
      <c r="G106" s="519" t="s">
        <v>1378</v>
      </c>
      <c r="H106" s="519" t="s">
        <v>1480</v>
      </c>
      <c r="I106" s="519" t="s">
        <v>1699</v>
      </c>
      <c r="J106" s="519"/>
      <c r="K106" s="519">
        <v>300</v>
      </c>
      <c r="L106" s="519">
        <v>5</v>
      </c>
      <c r="M106" s="520">
        <f t="shared" ref="M106:M113" si="10">L106*K106</f>
        <v>1500</v>
      </c>
      <c r="N106" s="520">
        <f t="shared" ref="N106:N113" si="11">M106/$V$27</f>
        <v>85.714285714285708</v>
      </c>
      <c r="O106" s="519"/>
      <c r="P106" s="519" t="s">
        <v>1700</v>
      </c>
      <c r="Q106" s="519" t="str">
        <f>IFERROR(INDEX('MARE MX'!$K:$K,MATCH("*"&amp;I106&amp;"*",'MARE MX'!$F:$F,0)),"Sin dato")</f>
        <v>ENTERPRISE</v>
      </c>
      <c r="R106" s="519"/>
      <c r="S106" s="519"/>
      <c r="T106" s="521"/>
      <c r="U106" s="521"/>
      <c r="V106" s="521"/>
      <c r="W106" s="521"/>
      <c r="X106" s="521"/>
    </row>
    <row r="107" spans="1:24" s="362" customFormat="1">
      <c r="A107" s="410" t="b">
        <v>0</v>
      </c>
      <c r="B107" s="361" t="s">
        <v>1701</v>
      </c>
      <c r="C107" s="362" t="s">
        <v>1491</v>
      </c>
      <c r="D107" s="362" t="s">
        <v>1343</v>
      </c>
      <c r="E107" s="362" t="s">
        <v>1350</v>
      </c>
      <c r="F107" s="362" t="s">
        <v>1106</v>
      </c>
      <c r="G107" s="362" t="s">
        <v>1378</v>
      </c>
      <c r="H107" s="362" t="s">
        <v>1436</v>
      </c>
      <c r="I107" s="362" t="s">
        <v>1702</v>
      </c>
      <c r="K107" s="362">
        <v>291</v>
      </c>
      <c r="L107" s="362">
        <v>8</v>
      </c>
      <c r="M107" s="364">
        <f t="shared" si="10"/>
        <v>2328</v>
      </c>
      <c r="N107" s="364">
        <f t="shared" si="11"/>
        <v>133.02857142857144</v>
      </c>
      <c r="P107" s="362" t="s">
        <v>1688</v>
      </c>
      <c r="Q107" s="362" t="str">
        <f>IFERROR(INDEX('MARE MX'!$K:$K,MATCH("*"&amp;I107&amp;"*",'MARE MX'!$F:$F,0)),"Sin dato")</f>
        <v>Sin dato</v>
      </c>
      <c r="T107" s="120"/>
      <c r="U107" s="120"/>
      <c r="V107" s="120"/>
      <c r="W107" s="120"/>
      <c r="X107" s="120"/>
    </row>
    <row r="108" spans="1:24" s="362" customFormat="1">
      <c r="A108" s="410" t="b">
        <v>0</v>
      </c>
      <c r="B108" s="361" t="s">
        <v>1703</v>
      </c>
      <c r="C108" s="362" t="s">
        <v>1491</v>
      </c>
      <c r="D108" s="362" t="s">
        <v>1343</v>
      </c>
      <c r="E108" s="362" t="s">
        <v>1704</v>
      </c>
      <c r="F108" s="362" t="s">
        <v>1106</v>
      </c>
      <c r="G108" s="362" t="s">
        <v>1378</v>
      </c>
      <c r="H108" s="362" t="s">
        <v>1656</v>
      </c>
      <c r="I108" s="362" t="s">
        <v>1705</v>
      </c>
      <c r="K108" s="362">
        <v>912</v>
      </c>
      <c r="L108" s="362">
        <v>10</v>
      </c>
      <c r="M108" s="364">
        <f t="shared" si="10"/>
        <v>9120</v>
      </c>
      <c r="N108" s="364">
        <f t="shared" si="11"/>
        <v>521.14285714285711</v>
      </c>
      <c r="P108" s="362" t="s">
        <v>1706</v>
      </c>
      <c r="Q108" s="362" t="str">
        <f>IFERROR(INDEX('MARE MX'!$K:$K,MATCH("*"&amp;I108&amp;"*",'MARE MX'!$F:$F,0)),"Sin dato")</f>
        <v>ENTERPRISE</v>
      </c>
      <c r="R108" s="362" t="s">
        <v>1574</v>
      </c>
      <c r="T108" s="120"/>
      <c r="U108" s="120"/>
      <c r="V108" s="120"/>
      <c r="W108" s="120"/>
      <c r="X108" s="120"/>
    </row>
    <row r="109" spans="1:24" s="362" customFormat="1">
      <c r="A109" s="410" t="b">
        <v>0</v>
      </c>
      <c r="B109" s="361" t="s">
        <v>1707</v>
      </c>
      <c r="C109" s="362" t="s">
        <v>1491</v>
      </c>
      <c r="D109" s="362" t="s">
        <v>1343</v>
      </c>
      <c r="E109" s="362" t="s">
        <v>1350</v>
      </c>
      <c r="F109" s="362" t="s">
        <v>1106</v>
      </c>
      <c r="G109" s="362" t="s">
        <v>1378</v>
      </c>
      <c r="H109" s="362" t="s">
        <v>1455</v>
      </c>
      <c r="I109" s="362" t="s">
        <v>1705</v>
      </c>
      <c r="K109" s="362">
        <v>912</v>
      </c>
      <c r="L109" s="362">
        <v>6</v>
      </c>
      <c r="M109" s="364">
        <f t="shared" si="10"/>
        <v>5472</v>
      </c>
      <c r="N109" s="364">
        <f t="shared" si="11"/>
        <v>312.68571428571431</v>
      </c>
      <c r="P109" s="362" t="s">
        <v>1708</v>
      </c>
      <c r="Q109" s="362" t="str">
        <f>IFERROR(INDEX('MARE MX'!$K:$K,MATCH("*"&amp;I109&amp;"*",'MARE MX'!$F:$F,0)),"Sin dato")</f>
        <v>ENTERPRISE</v>
      </c>
      <c r="R109" s="362" t="s">
        <v>1574</v>
      </c>
      <c r="T109" s="120"/>
      <c r="U109" s="120"/>
      <c r="V109" s="120"/>
      <c r="W109" s="120"/>
      <c r="X109" s="120"/>
    </row>
    <row r="110" spans="1:24" s="362" customFormat="1">
      <c r="A110" s="528" t="b">
        <v>0</v>
      </c>
      <c r="B110" s="529" t="s">
        <v>1709</v>
      </c>
      <c r="C110" s="530"/>
      <c r="D110" s="530" t="s">
        <v>1343</v>
      </c>
      <c r="E110" s="530"/>
      <c r="F110" s="530" t="s">
        <v>1106</v>
      </c>
      <c r="G110" s="530" t="s">
        <v>1378</v>
      </c>
      <c r="H110" s="530" t="s">
        <v>1455</v>
      </c>
      <c r="I110" s="530" t="s">
        <v>1349</v>
      </c>
      <c r="J110" s="530"/>
      <c r="K110" s="530">
        <v>1569</v>
      </c>
      <c r="L110" s="530">
        <v>4</v>
      </c>
      <c r="M110" s="531">
        <f t="shared" si="10"/>
        <v>6276</v>
      </c>
      <c r="N110" s="531">
        <f t="shared" si="11"/>
        <v>358.62857142857143</v>
      </c>
      <c r="O110" s="530"/>
      <c r="P110" s="531" t="s">
        <v>1710</v>
      </c>
      <c r="Q110" s="530" t="str">
        <f>IFERROR(INDEX('MARE MX'!$K:$K,MATCH("*"&amp;I110&amp;"*",'MARE MX'!$F:$F,0)),"Sin dato")</f>
        <v>ENTERPRISE</v>
      </c>
      <c r="R110" s="530"/>
      <c r="S110" s="530"/>
      <c r="T110" s="532"/>
      <c r="U110" s="532"/>
      <c r="V110" s="532"/>
      <c r="W110" s="532"/>
      <c r="X110" s="532"/>
    </row>
    <row r="111" spans="1:24" s="362" customFormat="1">
      <c r="A111" s="528" t="b">
        <v>0</v>
      </c>
      <c r="B111" s="529" t="s">
        <v>1711</v>
      </c>
      <c r="C111" s="529"/>
      <c r="D111" s="530" t="s">
        <v>1343</v>
      </c>
      <c r="E111" s="530"/>
      <c r="F111" s="530" t="s">
        <v>1106</v>
      </c>
      <c r="G111" s="530" t="s">
        <v>1378</v>
      </c>
      <c r="H111" s="530" t="s">
        <v>39</v>
      </c>
      <c r="I111" s="530" t="s">
        <v>1349</v>
      </c>
      <c r="J111" s="530"/>
      <c r="K111" s="530">
        <v>1569</v>
      </c>
      <c r="L111" s="530">
        <v>4</v>
      </c>
      <c r="M111" s="531">
        <f t="shared" si="10"/>
        <v>6276</v>
      </c>
      <c r="N111" s="531">
        <f t="shared" si="11"/>
        <v>358.62857142857143</v>
      </c>
      <c r="O111" s="531"/>
      <c r="P111" s="530"/>
      <c r="Q111" s="530" t="str">
        <f>IFERROR(INDEX('MARE MX'!$K:$K,MATCH("*"&amp;I111&amp;"*",'MARE MX'!$F:$F,0)),"Sin dato")</f>
        <v>ENTERPRISE</v>
      </c>
      <c r="R111" s="530"/>
      <c r="S111" s="530"/>
      <c r="T111" s="532"/>
      <c r="U111" s="532"/>
      <c r="V111" s="532"/>
      <c r="W111" s="532"/>
      <c r="X111" s="532"/>
    </row>
    <row r="112" spans="1:24">
      <c r="A112" s="410" t="b">
        <v>0</v>
      </c>
      <c r="B112" s="361" t="s">
        <v>1712</v>
      </c>
      <c r="C112" s="361" t="s">
        <v>1491</v>
      </c>
      <c r="D112" s="362" t="s">
        <v>1343</v>
      </c>
      <c r="E112" s="362" t="s">
        <v>1704</v>
      </c>
      <c r="F112" s="362" t="s">
        <v>1106</v>
      </c>
      <c r="G112" s="362" t="s">
        <v>1378</v>
      </c>
      <c r="H112" s="362" t="s">
        <v>1480</v>
      </c>
      <c r="I112" s="362" t="s">
        <v>1713</v>
      </c>
      <c r="J112" s="362"/>
      <c r="K112" s="362">
        <v>964</v>
      </c>
      <c r="L112" s="362">
        <v>6</v>
      </c>
      <c r="M112" s="364">
        <f t="shared" si="10"/>
        <v>5784</v>
      </c>
      <c r="N112" s="364">
        <f t="shared" si="11"/>
        <v>330.51428571428573</v>
      </c>
      <c r="O112" s="364"/>
      <c r="P112" s="362" t="s">
        <v>1714</v>
      </c>
      <c r="Q112" s="362" t="str">
        <f>IFERROR(INDEX('MARE MX'!$K:$K,MATCH("*"&amp;I112&amp;"*",'MARE MX'!$F:$F,0)),"Sin dato")</f>
        <v>ENTERPRISE</v>
      </c>
      <c r="R112" s="362" t="s">
        <v>1574</v>
      </c>
      <c r="T112" s="120"/>
      <c r="U112" s="120"/>
      <c r="V112" s="120"/>
      <c r="W112" s="120"/>
      <c r="X112" s="120"/>
    </row>
    <row r="113" spans="1:24">
      <c r="A113" s="410" t="b">
        <v>0</v>
      </c>
      <c r="B113" s="361" t="s">
        <v>1715</v>
      </c>
      <c r="C113" s="361" t="s">
        <v>1491</v>
      </c>
      <c r="D113" s="362" t="s">
        <v>1343</v>
      </c>
      <c r="E113" s="362" t="s">
        <v>1704</v>
      </c>
      <c r="F113" s="362" t="s">
        <v>1106</v>
      </c>
      <c r="G113" s="362" t="s">
        <v>1378</v>
      </c>
      <c r="H113" s="362" t="s">
        <v>1656</v>
      </c>
      <c r="I113" s="362" t="s">
        <v>1713</v>
      </c>
      <c r="J113" s="362"/>
      <c r="K113" s="362">
        <v>964</v>
      </c>
      <c r="L113" s="362">
        <v>8</v>
      </c>
      <c r="M113" s="364">
        <f t="shared" si="10"/>
        <v>7712</v>
      </c>
      <c r="N113" s="364">
        <f t="shared" si="11"/>
        <v>440.68571428571431</v>
      </c>
      <c r="O113" s="364"/>
      <c r="P113" s="362" t="s">
        <v>1716</v>
      </c>
      <c r="Q113" s="362" t="str">
        <f>IFERROR(INDEX('MARE MX'!$K:$K,MATCH("*"&amp;I113&amp;"*",'MARE MX'!$F:$F,0)),"Sin dato")</f>
        <v>ENTERPRISE</v>
      </c>
      <c r="R113" s="362" t="s">
        <v>1574</v>
      </c>
      <c r="S113" s="361"/>
      <c r="T113" s="120"/>
      <c r="U113" s="120"/>
      <c r="V113" s="120"/>
      <c r="W113" s="120"/>
      <c r="X113" s="120"/>
    </row>
    <row r="114" spans="1:24" s="362" customFormat="1">
      <c r="A114" s="410" t="b">
        <v>0</v>
      </c>
      <c r="B114" s="361" t="s">
        <v>1717</v>
      </c>
      <c r="C114" s="361" t="s">
        <v>1491</v>
      </c>
      <c r="D114" s="362" t="s">
        <v>1343</v>
      </c>
      <c r="E114" s="362" t="s">
        <v>1349</v>
      </c>
      <c r="F114" s="362" t="s">
        <v>1106</v>
      </c>
      <c r="G114" s="362" t="s">
        <v>1377</v>
      </c>
      <c r="H114" s="362" t="s">
        <v>1466</v>
      </c>
      <c r="I114" s="362" t="s">
        <v>1718</v>
      </c>
      <c r="K114" s="362">
        <v>150</v>
      </c>
      <c r="L114" s="362">
        <v>24</v>
      </c>
      <c r="M114" s="364">
        <f>L114*K114</f>
        <v>3600</v>
      </c>
      <c r="N114" s="363">
        <f>M114/$V$27</f>
        <v>205.71428571428572</v>
      </c>
      <c r="O114" s="364"/>
      <c r="P114" s="362" t="s">
        <v>1719</v>
      </c>
      <c r="Q114" s="362" t="str">
        <f>IFERROR(INDEX('MARE MX'!$K:$K,MATCH("*"&amp;I114&amp;"*",'MARE MX'!$F:$F,0)),"Sin dato")</f>
        <v>Sin dato</v>
      </c>
      <c r="T114" s="120"/>
      <c r="U114" s="120"/>
      <c r="V114" s="120"/>
      <c r="W114" s="120"/>
      <c r="X114" s="120"/>
    </row>
    <row r="115" spans="1:24" s="362" customFormat="1">
      <c r="A115" s="410" t="b">
        <v>0</v>
      </c>
      <c r="B115" s="361" t="s">
        <v>1720</v>
      </c>
      <c r="C115" s="361" t="s">
        <v>1491</v>
      </c>
      <c r="D115" s="362" t="s">
        <v>1343</v>
      </c>
      <c r="E115" s="362" t="s">
        <v>1349</v>
      </c>
      <c r="F115" s="362" t="s">
        <v>1106</v>
      </c>
      <c r="G115" s="362" t="s">
        <v>1378</v>
      </c>
      <c r="H115" s="362" t="s">
        <v>1455</v>
      </c>
      <c r="I115" s="362" t="s">
        <v>1718</v>
      </c>
      <c r="K115" s="362">
        <v>230</v>
      </c>
      <c r="L115" s="362">
        <v>10</v>
      </c>
      <c r="M115" s="364">
        <f>L115*K115</f>
        <v>2300</v>
      </c>
      <c r="N115" s="496">
        <f>M115/$V$27</f>
        <v>131.42857142857142</v>
      </c>
      <c r="O115" s="364"/>
      <c r="P115" s="362" t="s">
        <v>1719</v>
      </c>
      <c r="Q115" s="362" t="str">
        <f>IFERROR(INDEX('MARE MX'!$K:$K,MATCH("*"&amp;I115&amp;"*",'MARE MX'!$F:$F,0)),"Sin dato")</f>
        <v>Sin dato</v>
      </c>
      <c r="T115" s="120"/>
      <c r="U115" s="120"/>
      <c r="V115" s="120"/>
      <c r="W115" s="120"/>
      <c r="X115" s="120"/>
    </row>
    <row r="116" spans="1:24" s="362" customFormat="1">
      <c r="A116" s="410" t="b">
        <v>0</v>
      </c>
      <c r="B116" s="361" t="s">
        <v>1721</v>
      </c>
      <c r="C116" s="361" t="s">
        <v>1491</v>
      </c>
      <c r="D116" s="362" t="s">
        <v>1343</v>
      </c>
      <c r="E116" s="362" t="s">
        <v>1349</v>
      </c>
      <c r="F116" s="362" t="s">
        <v>1106</v>
      </c>
      <c r="G116" s="362" t="s">
        <v>1378</v>
      </c>
      <c r="H116" s="362" t="s">
        <v>1436</v>
      </c>
      <c r="I116" s="362" t="s">
        <v>1718</v>
      </c>
      <c r="K116" s="362">
        <v>150</v>
      </c>
      <c r="L116" s="362">
        <v>15</v>
      </c>
      <c r="M116" s="364">
        <f>L116*K116</f>
        <v>2250</v>
      </c>
      <c r="N116" s="496">
        <f>M116/$V$27</f>
        <v>128.57142857142858</v>
      </c>
      <c r="O116" s="364"/>
      <c r="P116" s="362" t="s">
        <v>1719</v>
      </c>
      <c r="Q116" s="362" t="str">
        <f>IFERROR(INDEX('MARE MX'!$K:$K,MATCH("*"&amp;I116&amp;"*",'MARE MX'!$F:$F,0)),"Sin dato")</f>
        <v>Sin dato</v>
      </c>
      <c r="T116" s="120"/>
      <c r="U116" s="120"/>
      <c r="V116" s="120"/>
      <c r="W116" s="120"/>
      <c r="X116" s="120"/>
    </row>
    <row r="117" spans="1:24" s="368" customFormat="1">
      <c r="A117" s="410" t="b">
        <v>0</v>
      </c>
      <c r="B117" s="361" t="s">
        <v>1722</v>
      </c>
      <c r="C117" s="362" t="s">
        <v>1491</v>
      </c>
      <c r="D117" s="362" t="s">
        <v>1343</v>
      </c>
      <c r="E117" s="362" t="s">
        <v>1349</v>
      </c>
      <c r="F117" s="362" t="s">
        <v>1106</v>
      </c>
      <c r="G117" s="362" t="s">
        <v>1378</v>
      </c>
      <c r="H117" s="362" t="s">
        <v>1480</v>
      </c>
      <c r="I117" s="362" t="s">
        <v>1684</v>
      </c>
      <c r="J117" s="362"/>
      <c r="K117" s="362">
        <v>3100</v>
      </c>
      <c r="L117" s="362">
        <v>6</v>
      </c>
      <c r="M117" s="364">
        <f>L117*K117</f>
        <v>18600</v>
      </c>
      <c r="N117" s="364">
        <f>M117/$V$27</f>
        <v>1062.8571428571429</v>
      </c>
      <c r="O117" s="364"/>
      <c r="P117" s="364" t="s">
        <v>1723</v>
      </c>
      <c r="Q117" s="362" t="str">
        <f>IFERROR(INDEX('MARE MX'!$K:$K,MATCH("*"&amp;I117&amp;"*",'MARE MX'!$F:$F,0)),"Sin dato")</f>
        <v>ENTERPRISE</v>
      </c>
      <c r="R117" s="362"/>
      <c r="S117" s="362"/>
      <c r="T117" s="120"/>
      <c r="U117" s="120"/>
      <c r="V117" s="120"/>
      <c r="W117" s="120"/>
      <c r="X117" s="120"/>
    </row>
    <row r="118" spans="1:24">
      <c r="A118" s="414" t="b">
        <v>0</v>
      </c>
      <c r="B118" s="494" t="s">
        <v>1724</v>
      </c>
      <c r="D118" s="362" t="s">
        <v>1343</v>
      </c>
      <c r="E118" s="362" t="s">
        <v>1349</v>
      </c>
      <c r="F118" s="362" t="s">
        <v>1106</v>
      </c>
      <c r="G118" s="362" t="s">
        <v>1378</v>
      </c>
      <c r="H118" s="362" t="s">
        <v>1436</v>
      </c>
      <c r="I118" s="362" t="s">
        <v>1595</v>
      </c>
      <c r="K118">
        <v>1271</v>
      </c>
      <c r="L118">
        <v>0.33</v>
      </c>
      <c r="M118" s="364"/>
      <c r="N118" s="364">
        <f>L118*K118</f>
        <v>419.43</v>
      </c>
      <c r="O118"/>
      <c r="P118" t="s">
        <v>1725</v>
      </c>
      <c r="T118" s="120"/>
      <c r="U118" s="120"/>
      <c r="V118" s="120"/>
      <c r="W118" s="120"/>
      <c r="X118" s="120"/>
    </row>
    <row r="119" spans="1:24">
      <c r="A119" s="414" t="b">
        <v>0</v>
      </c>
      <c r="B119" s="494"/>
      <c r="C119" t="s">
        <v>1491</v>
      </c>
      <c r="D119" s="362" t="s">
        <v>1343</v>
      </c>
      <c r="E119" s="362" t="s">
        <v>1349</v>
      </c>
      <c r="F119" s="362" t="s">
        <v>1106</v>
      </c>
      <c r="G119" s="362" t="s">
        <v>1378</v>
      </c>
      <c r="H119" s="362" t="s">
        <v>1594</v>
      </c>
      <c r="I119" s="362" t="s">
        <v>1595</v>
      </c>
      <c r="K119">
        <v>200</v>
      </c>
      <c r="M119" s="364"/>
      <c r="N119" s="364">
        <f>L119*K119</f>
        <v>0</v>
      </c>
      <c r="O119"/>
      <c r="P119" t="s">
        <v>1726</v>
      </c>
      <c r="T119" s="120"/>
      <c r="U119" s="120"/>
      <c r="V119" s="120"/>
      <c r="W119" s="120"/>
      <c r="X119" s="120"/>
    </row>
    <row r="120" spans="1:24">
      <c r="A120" s="414" t="b">
        <v>0</v>
      </c>
      <c r="B120" s="494" t="s">
        <v>1727</v>
      </c>
      <c r="D120" s="362" t="s">
        <v>1343</v>
      </c>
      <c r="E120" s="362" t="s">
        <v>1704</v>
      </c>
      <c r="F120" s="362" t="s">
        <v>1106</v>
      </c>
      <c r="G120" s="362" t="s">
        <v>1378</v>
      </c>
      <c r="H120" s="362" t="s">
        <v>35</v>
      </c>
      <c r="I120" s="362" t="s">
        <v>1728</v>
      </c>
      <c r="K120">
        <v>1420</v>
      </c>
      <c r="L120">
        <v>8</v>
      </c>
      <c r="M120" s="364">
        <f>L120*K120</f>
        <v>11360</v>
      </c>
      <c r="N120" s="364">
        <f>M120/$V$27</f>
        <v>649.14285714285711</v>
      </c>
      <c r="O120"/>
      <c r="P120" t="s">
        <v>1729</v>
      </c>
      <c r="T120" s="120"/>
      <c r="U120" s="120"/>
      <c r="V120" s="120"/>
      <c r="W120" s="120"/>
      <c r="X120" s="120"/>
    </row>
    <row r="121" spans="1:24">
      <c r="A121" s="414" t="b">
        <v>0</v>
      </c>
      <c r="B121" s="494" t="s">
        <v>1730</v>
      </c>
      <c r="D121" s="362" t="s">
        <v>1343</v>
      </c>
      <c r="E121" s="362" t="s">
        <v>1704</v>
      </c>
      <c r="F121" s="362" t="s">
        <v>1106</v>
      </c>
      <c r="G121" s="362" t="s">
        <v>1378</v>
      </c>
      <c r="H121" s="362" t="s">
        <v>1731</v>
      </c>
      <c r="I121" s="362" t="s">
        <v>1728</v>
      </c>
      <c r="K121">
        <v>1420</v>
      </c>
      <c r="L121">
        <v>5</v>
      </c>
      <c r="M121" s="364">
        <f>L121*K121</f>
        <v>7100</v>
      </c>
      <c r="N121" s="364">
        <f>M121/$V$27</f>
        <v>405.71428571428572</v>
      </c>
      <c r="O121"/>
      <c r="P121" t="s">
        <v>1729</v>
      </c>
      <c r="T121" s="120"/>
      <c r="U121" s="120"/>
      <c r="V121" s="120"/>
      <c r="W121" s="120"/>
      <c r="X121" s="120"/>
    </row>
    <row r="122" spans="1:24">
      <c r="A122" s="414" t="b">
        <v>0</v>
      </c>
      <c r="B122" s="494" t="s">
        <v>1732</v>
      </c>
      <c r="D122" s="362" t="s">
        <v>1343</v>
      </c>
      <c r="E122" s="362" t="s">
        <v>1704</v>
      </c>
      <c r="F122" s="362" t="s">
        <v>1106</v>
      </c>
      <c r="G122" s="362" t="s">
        <v>1378</v>
      </c>
      <c r="H122" s="362" t="s">
        <v>1731</v>
      </c>
      <c r="I122" s="362" t="s">
        <v>1733</v>
      </c>
      <c r="K122">
        <v>1164</v>
      </c>
      <c r="L122">
        <v>4</v>
      </c>
      <c r="M122" s="364">
        <f>L122*K122</f>
        <v>4656</v>
      </c>
      <c r="N122" s="364">
        <f>M122/$V$27</f>
        <v>266.05714285714288</v>
      </c>
      <c r="O122"/>
      <c r="P122" t="s">
        <v>1734</v>
      </c>
      <c r="T122" s="120"/>
      <c r="U122" s="120"/>
      <c r="V122" s="120"/>
      <c r="W122" s="120"/>
      <c r="X122" s="120"/>
    </row>
    <row r="123" spans="1:24">
      <c r="A123" s="414" t="b">
        <v>0</v>
      </c>
      <c r="B123" s="494" t="s">
        <v>1735</v>
      </c>
      <c r="D123" s="362" t="s">
        <v>1343</v>
      </c>
      <c r="E123" s="362" t="s">
        <v>1704</v>
      </c>
      <c r="F123" s="362" t="s">
        <v>1106</v>
      </c>
      <c r="G123" s="362" t="s">
        <v>1378</v>
      </c>
      <c r="H123" s="362" t="s">
        <v>39</v>
      </c>
      <c r="I123" s="362" t="s">
        <v>1733</v>
      </c>
      <c r="K123">
        <v>1164</v>
      </c>
      <c r="L123">
        <v>6</v>
      </c>
      <c r="M123" s="364">
        <f>L123*K123</f>
        <v>6984</v>
      </c>
      <c r="N123" s="364">
        <f>M123/$V$27</f>
        <v>399.08571428571429</v>
      </c>
      <c r="O123"/>
      <c r="T123" s="120"/>
      <c r="U123" s="120"/>
      <c r="V123" s="120"/>
      <c r="W123" s="120"/>
      <c r="X123" s="120"/>
    </row>
    <row r="124" spans="1:24" hidden="1">
      <c r="A124" s="414" t="b">
        <v>0</v>
      </c>
      <c r="O124"/>
      <c r="T124" s="120"/>
      <c r="U124" s="120"/>
      <c r="V124" s="120"/>
      <c r="W124" s="120"/>
      <c r="X124" s="120"/>
    </row>
    <row r="125" spans="1:24" hidden="1">
      <c r="A125" s="414" t="b">
        <v>0</v>
      </c>
      <c r="O125"/>
      <c r="T125" s="120"/>
      <c r="U125" s="120"/>
      <c r="V125" s="120"/>
      <c r="W125" s="120"/>
      <c r="X125" s="120"/>
    </row>
    <row r="126" spans="1:24" hidden="1">
      <c r="A126" s="414" t="b">
        <v>0</v>
      </c>
      <c r="O126"/>
      <c r="T126" s="120"/>
      <c r="U126" s="120"/>
      <c r="V126" s="120"/>
      <c r="W126" s="120"/>
      <c r="X126" s="120"/>
    </row>
    <row r="127" spans="1:24" hidden="1">
      <c r="A127" s="414" t="b">
        <v>0</v>
      </c>
      <c r="O127"/>
      <c r="T127" s="120"/>
      <c r="U127" s="120"/>
      <c r="V127" s="120"/>
      <c r="W127" s="120"/>
      <c r="X127" s="120"/>
    </row>
    <row r="128" spans="1:24" hidden="1">
      <c r="A128" s="414" t="b">
        <v>0</v>
      </c>
      <c r="O128"/>
      <c r="T128" s="120"/>
      <c r="U128" s="120"/>
      <c r="V128" s="120"/>
      <c r="W128" s="120"/>
      <c r="X128" s="120"/>
    </row>
    <row r="129" spans="1:24" hidden="1">
      <c r="A129" s="414" t="b">
        <v>0</v>
      </c>
      <c r="O129"/>
      <c r="T129" s="120"/>
      <c r="U129" s="120"/>
      <c r="V129" s="120"/>
      <c r="W129" s="120"/>
      <c r="X129" s="120"/>
    </row>
    <row r="130" spans="1:24" hidden="1">
      <c r="A130" s="414" t="b">
        <v>0</v>
      </c>
      <c r="O130"/>
      <c r="T130" s="120"/>
      <c r="U130" s="120"/>
      <c r="V130" s="120"/>
      <c r="W130" s="120"/>
      <c r="X130" s="120"/>
    </row>
    <row r="131" spans="1:24" hidden="1">
      <c r="A131" s="414" t="b">
        <v>0</v>
      </c>
      <c r="O131"/>
      <c r="T131" s="120"/>
      <c r="U131" s="120"/>
      <c r="V131" s="120"/>
      <c r="W131" s="120"/>
      <c r="X131" s="120"/>
    </row>
    <row r="132" spans="1:24" hidden="1">
      <c r="A132" s="414" t="b">
        <v>0</v>
      </c>
      <c r="O132"/>
      <c r="T132" s="120"/>
      <c r="U132" s="120"/>
      <c r="V132" s="120"/>
      <c r="W132" s="120"/>
      <c r="X132" s="120"/>
    </row>
    <row r="133" spans="1:24" hidden="1">
      <c r="A133" s="414" t="b">
        <v>0</v>
      </c>
      <c r="O133"/>
      <c r="T133" s="120"/>
      <c r="U133" s="120"/>
      <c r="V133" s="120"/>
      <c r="W133" s="120"/>
      <c r="X133" s="120"/>
    </row>
    <row r="134" spans="1:24" hidden="1">
      <c r="A134" s="414" t="b">
        <v>0</v>
      </c>
      <c r="O134"/>
      <c r="T134" s="120"/>
      <c r="U134" s="120"/>
      <c r="V134" s="120"/>
      <c r="W134" s="120"/>
      <c r="X134" s="120"/>
    </row>
  </sheetData>
  <autoFilter ref="A1:S134" xr:uid="{87DD4A04-C65E-4490-AE7B-491C3F9C82F1}">
    <filterColumn colId="3">
      <filters>
        <filter val="Q3"/>
      </filters>
    </filterColumn>
    <filterColumn colId="5">
      <filters>
        <filter val="Raúl Campos"/>
      </filters>
    </filterColumn>
  </autoFilter>
  <sortState xmlns:xlrd2="http://schemas.microsoft.com/office/spreadsheetml/2017/richdata2" ref="B1:V111">
    <sortCondition ref="D2:D111"/>
    <sortCondition ref="F2:F111"/>
    <sortCondition ref="E2:E111"/>
    <sortCondition ref="I2:I111"/>
  </sortState>
  <mergeCells count="1">
    <mergeCell ref="P93:P94"/>
  </mergeCells>
  <conditionalFormatting sqref="W36:X36 P36:T36 P31:X35 A2:X27 A28:N28 P28:X28 O27:O36 D29:X30 D31:N36 A29:C36 A37:X134">
    <cfRule type="expression" dxfId="88" priority="1">
      <formula>AND($D2="Q1",$F2="Dafne de la Rosa")</formula>
    </cfRule>
  </conditionalFormatting>
  <conditionalFormatting sqref="W36:X36 P36:T36 P31:X35 A2:X27 A28:N28 P28:X28 O27:O36 D29:X30 D31:N36 A29:C36 A37:X134">
    <cfRule type="expression" dxfId="87" priority="2">
      <formula>AND($D2="Q1",$F2="Karla Patiño")</formula>
    </cfRule>
  </conditionalFormatting>
  <conditionalFormatting sqref="W36:X36 P36:T36 P31:X35 A2:X27 A28:N28 P28:X28 O27:O36 D29:X30 D31:N36 A29:C36 A37:X134">
    <cfRule type="expression" dxfId="86" priority="3">
      <formula>AND($D2="Q1",$F2="Raúl Campos")</formula>
    </cfRule>
  </conditionalFormatting>
  <conditionalFormatting sqref="W36:X36 P36:T36 P31:X35 A2:X27 A28:N28 P28:X28 O27:O36 D29:X30 D31:N36 A29:C36 A37:X134">
    <cfRule type="expression" dxfId="85" priority="4">
      <formula>AND($D2="Q2",$F2="Dafne de la Rosa")</formula>
    </cfRule>
  </conditionalFormatting>
  <conditionalFormatting sqref="W36:X36 P36:T36 P31:X35 A2:X27 A28:N28 P28:X28 O27:O36 D29:X30 D31:N36 A29:C36 A37:X134">
    <cfRule type="expression" dxfId="84" priority="5">
      <formula>AND($D2="Q2",$F2="Karla Patiño")</formula>
    </cfRule>
  </conditionalFormatting>
  <conditionalFormatting sqref="W36:X36 P36:T36 P31:X35 A2:X27 A28:N28 P28:X28 O27:O36 D29:X30 D31:N36 A29:C36 A37:X134">
    <cfRule type="expression" dxfId="83" priority="6">
      <formula>AND($D2="Q2",$F2="Raúl Campos")</formula>
    </cfRule>
  </conditionalFormatting>
  <conditionalFormatting sqref="W36:X36 P36:T36 P31:X35 A2:X27 A28:N28 P28:X28 O27:O36 D29:X30 D31:N36 A29:C36 A37:X134">
    <cfRule type="expression" dxfId="82" priority="7">
      <formula>AND($D2="Q3",$F2="Dafne de la Rosa")</formula>
    </cfRule>
  </conditionalFormatting>
  <conditionalFormatting sqref="W36:X36 P36:T36 P31:X35 A2:X27 A28:N28 P28:X28 O27:O36 D29:X30 D31:N36 A29:C36 A37:X134">
    <cfRule type="expression" dxfId="81" priority="8">
      <formula>AND($D2="Q3",$F2="Karla Patiño")</formula>
    </cfRule>
  </conditionalFormatting>
  <conditionalFormatting sqref="W36:X36 P36:T36 P31:X35 A2:X27 A28:N28 P28:X28 O27:O36 D29:X30 D31:N36 A29:C36 A37:X134">
    <cfRule type="expression" dxfId="80" priority="9">
      <formula>AND($D2="Q3",$F2="Raúl Campos")</formula>
    </cfRule>
  </conditionalFormatting>
  <conditionalFormatting sqref="W36:X36 P36:T36 P31:X35 A2:X27 A28:N28 P28:X28 O27:O36 D29:X30 D31:N36 A29:C36 A37:X134">
    <cfRule type="expression" dxfId="79" priority="10">
      <formula>AND($D2="Q4",$F2="Dafne de la Rosa")</formula>
    </cfRule>
  </conditionalFormatting>
  <conditionalFormatting sqref="W36:X36 P36:T36 P31:X35 A2:X27 A28:N28 P28:X28 O27:O36 D29:X30 D31:N36 A29:C36 A37:X134">
    <cfRule type="expression" dxfId="78" priority="11">
      <formula>AND($D2="Q4",$F2="Karla Patiño")</formula>
    </cfRule>
  </conditionalFormatting>
  <conditionalFormatting sqref="W36:X36 P36:T36 P31:X35 A2:X27 A28:N28 P28:X28 O27:O36 D29:X30 D31:N36 A29:C36 A37:X134">
    <cfRule type="expression" dxfId="77" priority="12">
      <formula>AND($D2="Q4",$F2="Raúl Campos")</formula>
    </cfRule>
  </conditionalFormatting>
  <dataValidations count="3">
    <dataValidation type="list" allowBlank="1" showInputMessage="1" showErrorMessage="1" sqref="C2:C26 C66 C37:C38 C56:C64 C43:C53 C70:C75 C77:C101 C102:C1048576" xr:uid="{5644D294-132D-424E-90EF-FD782EFE8CC8}">
      <formula1>"Facturado,Proyectado"</formula1>
    </dataValidation>
    <dataValidation type="list" allowBlank="1" showInputMessage="1" showErrorMessage="1" sqref="C76" xr:uid="{1EFD131A-F8DB-45BB-8C21-5D2BF6D08287}">
      <formula1>"Facturado;Proyectado;Perdido"</formula1>
    </dataValidation>
    <dataValidation type="list" allowBlank="1" showInputMessage="1" showErrorMessage="1" sqref="G2:G101 G102: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8" r:id="rId21" xr:uid="{0AD961EE-A136-4DBD-8343-6344EF7E28C6}"/>
    <hyperlink ref="B64" r:id="rId22" xr:uid="{32E8E04E-263D-49DA-A7D9-74BE1F6C1F2B}"/>
    <hyperlink ref="B117" r:id="rId23" xr:uid="{CE673476-5D47-435B-A125-317630DDE787}"/>
    <hyperlink ref="B63" r:id="rId24" xr:uid="{C031DBAF-6601-42C1-96D9-53E9FE447364}"/>
    <hyperlink ref="B34" r:id="rId25" xr:uid="{1D1D5355-0EC7-4E82-870D-86F4E5F85642}"/>
    <hyperlink ref="B29" r:id="rId26" xr:uid="{B43A0EE5-4819-4DB0-A1CB-4FF247F95F46}"/>
    <hyperlink ref="B28" r:id="rId27" xr:uid="{10CE6F8B-D426-44C8-BF33-7786E18B4484}"/>
    <hyperlink ref="B79" r:id="rId28" xr:uid="{9A613451-7BC7-452F-AC52-CD249B8F62D4}"/>
    <hyperlink ref="B54" r:id="rId29" xr:uid="{78A601A1-929D-4D62-8AD7-54307849D196}"/>
    <hyperlink ref="B81" r:id="rId30" xr:uid="{11DE26F2-0ED7-4C5C-8AA4-CB4086CD566F}"/>
    <hyperlink ref="B37" r:id="rId31" xr:uid="{59FC5970-42B9-46F7-A1A0-0ED59AACAC6D}"/>
    <hyperlink ref="B38" r:id="rId32" xr:uid="{1C33E134-1AFC-4CC4-B127-45993283D93F}"/>
    <hyperlink ref="B40" r:id="rId33" xr:uid="{5BD39912-2DC9-42BD-9BC8-9E4E2750A86D}"/>
    <hyperlink ref="B39" r:id="rId34" xr:uid="{E469DCA7-5E46-4C55-96A3-9A1A56D52F8A}"/>
    <hyperlink ref="B43" r:id="rId35" xr:uid="{CC2C743B-0DCD-4DB9-90B0-F3CE14F500D9}"/>
    <hyperlink ref="B41" r:id="rId36" xr:uid="{5A4E4035-B28C-4C6B-8E8F-DE6429F186C2}"/>
    <hyperlink ref="B49" r:id="rId37" xr:uid="{6AE9400E-19C5-4747-990E-846D712F9704}"/>
    <hyperlink ref="B50" r:id="rId38" xr:uid="{17CAA76D-6DAE-4D20-BD76-FE0BB8EF53A7}"/>
    <hyperlink ref="B36" r:id="rId39" xr:uid="{17A62637-B69D-4949-B9DE-F22EF59DFE9F}"/>
    <hyperlink ref="B101" r:id="rId40" xr:uid="{1BF9BD13-1CA8-4C65-ABE9-C3AA6C51F0DF}"/>
    <hyperlink ref="B105" r:id="rId41" xr:uid="{A76B212D-BC43-417B-B76D-7004D85091DB}"/>
    <hyperlink ref="B97" r:id="rId42" xr:uid="{954DA0A1-D451-45C7-A03D-F6B68133362E}"/>
    <hyperlink ref="B62" r:id="rId43" xr:uid="{54DB8CF5-A467-4DD7-97A7-AFBCE0473A5B}"/>
    <hyperlink ref="B102" r:id="rId44" xr:uid="{5C6ADEFF-596A-4FA9-8E10-9B52B7D848F4}"/>
    <hyperlink ref="B61" r:id="rId45" xr:uid="{0C3246FC-0AC0-44EC-9BDC-8229C9675FB9}"/>
    <hyperlink ref="B71" r:id="rId46" xr:uid="{92885A5E-A195-4329-8488-2D3E29D41368}"/>
    <hyperlink ref="B30" r:id="rId47" xr:uid="{ABCC8EBC-D1E8-4E72-BC99-58024E8F2B02}"/>
    <hyperlink ref="B73" r:id="rId48" xr:uid="{31ECF94D-0C5E-4541-84F9-97EF18ED7D4F}"/>
    <hyperlink ref="B72" r:id="rId49" xr:uid="{C854DABC-A463-4F15-8118-456288F07328}"/>
    <hyperlink ref="B66" r:id="rId50" xr:uid="{6D392910-84FF-45A5-9C10-1BB77CC0762D}"/>
    <hyperlink ref="B44" r:id="rId51" xr:uid="{F36E829B-3FE0-4C43-8037-B6C1CF40D56E}"/>
    <hyperlink ref="B51" r:id="rId52" xr:uid="{39759AE6-75BF-422A-8EFF-7D76BC096093}"/>
    <hyperlink ref="B100" r:id="rId53" xr:uid="{D9A0221A-B850-4B00-BEDC-1F236B0F369E}"/>
    <hyperlink ref="B98" r:id="rId54" xr:uid="{54E011C2-FCD3-4968-834A-3176F822855C}"/>
    <hyperlink ref="B103" r:id="rId55" xr:uid="{089130A9-ED7E-4B6E-A0DB-85647B940EA5}"/>
    <hyperlink ref="B104" r:id="rId56" xr:uid="{026FD33C-CC56-45F6-99E2-093BB47D195A}"/>
    <hyperlink ref="B106" r:id="rId57" xr:uid="{FCC56229-D805-43AF-8830-C862C484E8B2}"/>
    <hyperlink ref="B107" r:id="rId58" xr:uid="{967827F9-6816-407A-B159-48178DF6A744}"/>
    <hyperlink ref="B76" r:id="rId59" xr:uid="{EE32B895-9E5C-4E6A-8A76-C9C92B1FAA15}"/>
    <hyperlink ref="B53" r:id="rId60" xr:uid="{57D816B7-B763-43FF-AF88-69A87ED0B436}"/>
    <hyperlink ref="B77" r:id="rId61" xr:uid="{D6F8C627-54A5-4382-8DD6-BCF055DE7241}"/>
    <hyperlink ref="B83" r:id="rId62" xr:uid="{13021D4C-2E10-4663-82CA-6EE49DA1473D}"/>
    <hyperlink ref="C40:C47" r:id="rId63" display="Facturado" xr:uid="{25CDF0CC-0C8C-4337-A2B9-A780B24C2568}"/>
    <hyperlink ref="C70" r:id="rId64" xr:uid="{3F898230-224A-41B5-B711-B6CC01FB73E6}"/>
    <hyperlink ref="C68" r:id="rId65" xr:uid="{03A192CD-81C6-426D-8B29-2793C998DB1C}"/>
    <hyperlink ref="C69" r:id="rId66" xr:uid="{0A756D70-9AEC-48AE-BD75-BFA09C3932B1}"/>
    <hyperlink ref="C65" r:id="rId67" xr:uid="{05571440-19F1-4F4C-B0BB-67EB0FB29178}"/>
    <hyperlink ref="C75" r:id="rId68" xr:uid="{751654C8-85A1-43E9-B928-24B71B875096}"/>
    <hyperlink ref="B33" r:id="rId69" xr:uid="{D9CA2E8B-A558-437F-9A3A-032E40F2E87E}"/>
    <hyperlink ref="B65" r:id="rId70" xr:uid="{343BDC44-03A2-43D7-83CF-B9E6C0A5616A}"/>
    <hyperlink ref="B75" r:id="rId71" xr:uid="{6C3F30FE-B067-459B-B511-C73DC61FDFE6}"/>
    <hyperlink ref="C67" r:id="rId72" xr:uid="{6A5E63A6-D3C8-48EC-A3A9-84F168AD1D40}"/>
    <hyperlink ref="B67" r:id="rId73" xr:uid="{20E51F9F-3D7F-4D12-ABD6-DE03106BB262}"/>
    <hyperlink ref="B45" r:id="rId74" xr:uid="{763900C5-B147-446F-8CBC-5A537F62F185}"/>
    <hyperlink ref="B46" r:id="rId75" xr:uid="{42E97652-A004-4E8D-B754-BB4A14C30C92}"/>
    <hyperlink ref="B92" r:id="rId76" xr:uid="{A7034D31-CD36-441D-99CB-69EDCA30B8F1}"/>
    <hyperlink ref="B47" r:id="rId77" xr:uid="{9AFE2D56-777F-4E25-ACF8-CABD6A98A8D5}"/>
    <hyperlink ref="B114" r:id="rId78" xr:uid="{F6133754-597F-4C2E-8038-A3E5D275A552}"/>
    <hyperlink ref="B115" r:id="rId79" xr:uid="{91D218BC-7BA9-4696-90BE-EBE6829220C8}"/>
    <hyperlink ref="B116" r:id="rId80" xr:uid="{D74A1B6B-7C1A-41EC-9AE9-353F7B6111BA}"/>
    <hyperlink ref="B110" r:id="rId81" xr:uid="{A34DECD8-EBD4-4ADA-BC08-16533E52729F}"/>
    <hyperlink ref="B111" r:id="rId82" xr:uid="{A70F6CC6-AAE0-48E3-AE53-7BEA701F110B}"/>
    <hyperlink ref="B108" r:id="rId83" xr:uid="{E06D3A54-A7AF-4B04-BB12-F568E1CBDA0A}"/>
    <hyperlink ref="B109" r:id="rId84" xr:uid="{FB96FC2D-024B-4003-ABD6-2E5088678DC2}"/>
    <hyperlink ref="B59" r:id="rId85" xr:uid="{1377EAE4-8B8A-453D-9191-2F77ADF2A2DC}"/>
    <hyperlink ref="B60" r:id="rId86" xr:uid="{8AD07025-F20C-440D-A035-4271547E2971}"/>
    <hyperlink ref="B95" r:id="rId87" xr:uid="{4942CAF5-BBDC-447F-9700-BC561573F976}"/>
    <hyperlink ref="B93" r:id="rId88" xr:uid="{B09D5A16-57CA-4E03-8053-E3D59BFEA779}"/>
    <hyperlink ref="B94" r:id="rId89" xr:uid="{ED701FA0-BF14-4C99-BBBE-5E0FBC20E356}"/>
    <hyperlink ref="B112" r:id="rId90" xr:uid="{011EA455-EF4E-4D8B-8DC2-518913E38FE4}"/>
    <hyperlink ref="B113" r:id="rId91" xr:uid="{8EF9FCB2-2723-4DDC-9CDB-9917E764534E}"/>
    <hyperlink ref="B78" r:id="rId92" xr:uid="{48006D37-188A-449E-943D-87C5349B42D2}"/>
    <hyperlink ref="B55" r:id="rId93" xr:uid="{BBDF8E0F-6F7B-4B2E-B226-E58178FD44AD}"/>
    <hyperlink ref="B99" r:id="rId94" xr:uid="{7F2E6CAA-7AB7-4ADE-9BC4-AA0B1ADBA3B2}"/>
    <hyperlink ref="B80" r:id="rId95" xr:uid="{5C15634F-930D-4C56-843C-4652D65B73FE}"/>
    <hyperlink ref="B56" r:id="rId96" xr:uid="{CA76A34B-DA2C-43CF-BC8E-C957CE98F1BA}"/>
    <hyperlink ref="B96" r:id="rId97" xr:uid="{0D8E1ADF-6C3D-4130-AA4C-B7540DAB68C4}"/>
    <hyperlink ref="B57" r:id="rId98" xr:uid="{31722B41-4A4F-46A2-9A6D-30D4D59DFBF7}"/>
    <hyperlink ref="B32" r:id="rId99" xr:uid="{05EF86B0-A3EA-455A-BE4B-7BEDBF876B3C}"/>
    <hyperlink ref="B35" r:id="rId100" xr:uid="{513C0050-AA2E-4F2C-8578-2E2FA19AF202}"/>
    <hyperlink ref="B84" r:id="rId101" xr:uid="{0D1C47A4-7983-4AEF-9B49-4478D1687075}"/>
    <hyperlink ref="B118" r:id="rId102" xr:uid="{30882995-A287-4CF7-9EFD-74199BE8F95C}"/>
    <hyperlink ref="B120" r:id="rId103" xr:uid="{D713DBD6-17FE-43FF-AA7B-591954871D1A}"/>
    <hyperlink ref="B121" r:id="rId104" xr:uid="{4F338DCF-D5A3-4069-BF2D-4A6941392158}"/>
    <hyperlink ref="B122" r:id="rId105" xr:uid="{25B45EF4-D0C9-4DA2-B4A0-52BA7975A484}"/>
    <hyperlink ref="B123" r:id="rId106" xr:uid="{E869CA36-468E-4337-BF6D-22C275538D9B}"/>
    <hyperlink ref="B42" r:id="rId107" xr:uid="{94495544-0226-418B-BC04-ABC70CC5926D}"/>
  </hyperlinks>
  <pageMargins left="0.7" right="0.7" top="0.75" bottom="0.75" header="0.3" footer="0.3"/>
  <legacyDrawing r:id="rId10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65"/>
  <sheetViews>
    <sheetView workbookViewId="0">
      <pane ySplit="1" topLeftCell="A52" activePane="bottomLeft" state="frozen"/>
      <selection pane="bottomLeft" activeCell="A66" sqref="A66:XFD66"/>
    </sheetView>
  </sheetViews>
  <sheetFormatPr defaultColWidth="11.42578125" defaultRowHeight="15" customHeight="1"/>
  <cols>
    <col min="1" max="1" width="11.42578125" style="318"/>
    <col min="2" max="2" width="29" style="318" customWidth="1"/>
    <col min="3" max="3" width="15.85546875" style="318" customWidth="1"/>
    <col min="4" max="4" width="9.5703125" style="318" customWidth="1"/>
    <col min="5" max="8" width="11.42578125" style="318"/>
    <col min="9" max="9" width="11.42578125" style="482"/>
    <col min="10" max="12" width="11.42578125" style="318"/>
    <col min="13" max="13" width="14.7109375" style="318" customWidth="1"/>
    <col min="14" max="14" width="23.42578125" style="318" customWidth="1"/>
    <col min="15" max="15" width="31" style="318" customWidth="1"/>
    <col min="16" max="16384" width="11.42578125" style="318"/>
  </cols>
  <sheetData>
    <row r="1" spans="1:39" ht="42.75" customHeight="1">
      <c r="A1" s="313" t="s">
        <v>1423</v>
      </c>
      <c r="B1" s="313" t="s">
        <v>1736</v>
      </c>
      <c r="C1" s="313" t="s">
        <v>11</v>
      </c>
      <c r="D1" s="313" t="s">
        <v>1737</v>
      </c>
      <c r="E1" s="313" t="s">
        <v>1362</v>
      </c>
      <c r="F1" s="313" t="s">
        <v>1425</v>
      </c>
      <c r="G1" s="314" t="s">
        <v>1738</v>
      </c>
      <c r="H1" s="314" t="s">
        <v>1739</v>
      </c>
      <c r="I1" s="314" t="s">
        <v>1740</v>
      </c>
      <c r="J1" s="314" t="s">
        <v>1741</v>
      </c>
      <c r="K1" s="315" t="s">
        <v>1742</v>
      </c>
      <c r="L1" s="315" t="s">
        <v>1330</v>
      </c>
      <c r="M1" s="315" t="s">
        <v>1743</v>
      </c>
      <c r="N1" s="315" t="s">
        <v>1744</v>
      </c>
      <c r="O1" s="316" t="s">
        <v>1429</v>
      </c>
      <c r="P1" s="317"/>
      <c r="Q1" s="317"/>
      <c r="R1" s="317"/>
      <c r="S1" s="317"/>
      <c r="T1" s="317" t="s">
        <v>1745</v>
      </c>
      <c r="U1" s="317">
        <v>17.850000000000001</v>
      </c>
    </row>
    <row r="2" spans="1:39">
      <c r="A2" s="319" t="s">
        <v>1382</v>
      </c>
      <c r="B2" s="320" t="s">
        <v>1746</v>
      </c>
      <c r="C2" s="319" t="s">
        <v>456</v>
      </c>
      <c r="D2" s="319" t="s">
        <v>68</v>
      </c>
      <c r="E2" s="319"/>
      <c r="F2" s="321"/>
      <c r="G2" s="322"/>
      <c r="H2" s="322"/>
      <c r="I2" s="477">
        <v>167.66</v>
      </c>
      <c r="J2" s="319" t="s">
        <v>1354</v>
      </c>
      <c r="K2" s="319" t="s">
        <v>14</v>
      </c>
      <c r="L2" s="319" t="s">
        <v>1747</v>
      </c>
      <c r="M2" s="319"/>
      <c r="N2" s="319" t="s">
        <v>1748</v>
      </c>
      <c r="O2" s="319"/>
      <c r="P2" s="323"/>
      <c r="Q2" s="323"/>
      <c r="R2" s="323"/>
      <c r="S2" s="323"/>
      <c r="T2" s="323"/>
      <c r="U2" s="323"/>
    </row>
    <row r="3" spans="1:39">
      <c r="A3" s="319" t="s">
        <v>1382</v>
      </c>
      <c r="B3" s="320" t="s">
        <v>1749</v>
      </c>
      <c r="C3" s="320" t="s">
        <v>1750</v>
      </c>
      <c r="D3" s="320" t="s">
        <v>68</v>
      </c>
      <c r="E3" s="320" t="s">
        <v>152</v>
      </c>
      <c r="F3" s="321">
        <v>19</v>
      </c>
      <c r="G3" s="322">
        <v>60</v>
      </c>
      <c r="H3" s="322"/>
      <c r="I3" s="477">
        <v>63.39</v>
      </c>
      <c r="J3" s="320" t="s">
        <v>1354</v>
      </c>
      <c r="K3" s="319" t="s">
        <v>14</v>
      </c>
      <c r="L3" s="319" t="s">
        <v>1747</v>
      </c>
      <c r="M3" s="324">
        <v>46029</v>
      </c>
      <c r="N3" s="320" t="s">
        <v>1748</v>
      </c>
      <c r="O3" s="320" t="s">
        <v>1751</v>
      </c>
      <c r="P3" s="323"/>
      <c r="Q3" s="323"/>
    </row>
    <row r="4" spans="1:39">
      <c r="A4" s="319" t="s">
        <v>1382</v>
      </c>
      <c r="B4" s="320" t="s">
        <v>1752</v>
      </c>
      <c r="C4" s="319" t="s">
        <v>1750</v>
      </c>
      <c r="D4" s="319" t="s">
        <v>68</v>
      </c>
      <c r="E4" s="319" t="s">
        <v>71</v>
      </c>
      <c r="F4" s="321">
        <v>4</v>
      </c>
      <c r="G4" s="322">
        <v>70</v>
      </c>
      <c r="H4" s="322"/>
      <c r="I4" s="477">
        <v>15.57</v>
      </c>
      <c r="J4" s="319" t="s">
        <v>1354</v>
      </c>
      <c r="K4" s="319" t="s">
        <v>14</v>
      </c>
      <c r="L4" s="319" t="s">
        <v>1747</v>
      </c>
      <c r="M4" s="324">
        <v>46052</v>
      </c>
      <c r="N4" s="319" t="s">
        <v>1748</v>
      </c>
      <c r="O4" s="319" t="s">
        <v>1753</v>
      </c>
      <c r="P4" s="323"/>
      <c r="Q4" s="323"/>
      <c r="V4" s="319" t="s">
        <v>1748</v>
      </c>
      <c r="W4" s="318">
        <f t="shared" ref="W4:W15" si="0">COUNTIF($N$2:$N$33,V4)</f>
        <v>8</v>
      </c>
    </row>
    <row r="5" spans="1:39">
      <c r="A5" s="319" t="s">
        <v>1382</v>
      </c>
      <c r="B5" s="320" t="s">
        <v>1754</v>
      </c>
      <c r="C5" s="319" t="s">
        <v>1750</v>
      </c>
      <c r="D5" s="319" t="s">
        <v>68</v>
      </c>
      <c r="E5" s="319"/>
      <c r="F5" s="321"/>
      <c r="G5" s="322"/>
      <c r="H5" s="322"/>
      <c r="I5" s="477">
        <v>4.8899999999999997</v>
      </c>
      <c r="J5" s="319" t="s">
        <v>1354</v>
      </c>
      <c r="K5" s="319" t="s">
        <v>14</v>
      </c>
      <c r="L5" s="319" t="s">
        <v>1747</v>
      </c>
      <c r="M5" s="319"/>
      <c r="N5" s="319" t="s">
        <v>1748</v>
      </c>
      <c r="O5" s="319"/>
      <c r="P5" s="323"/>
      <c r="Q5" s="323"/>
      <c r="V5" s="319" t="s">
        <v>1755</v>
      </c>
      <c r="W5" s="318">
        <f t="shared" si="0"/>
        <v>2</v>
      </c>
    </row>
    <row r="6" spans="1:39">
      <c r="A6" s="319" t="s">
        <v>1382</v>
      </c>
      <c r="B6" s="320" t="s">
        <v>1756</v>
      </c>
      <c r="C6" s="319" t="s">
        <v>1750</v>
      </c>
      <c r="D6" s="319" t="s">
        <v>68</v>
      </c>
      <c r="E6" s="319"/>
      <c r="F6" s="321"/>
      <c r="G6" s="322"/>
      <c r="H6" s="322"/>
      <c r="I6" s="477">
        <v>36.700000000000003</v>
      </c>
      <c r="J6" s="319" t="s">
        <v>1354</v>
      </c>
      <c r="K6" s="319" t="s">
        <v>14</v>
      </c>
      <c r="L6" s="319" t="s">
        <v>1747</v>
      </c>
      <c r="M6" s="319"/>
      <c r="N6" s="319" t="s">
        <v>1755</v>
      </c>
      <c r="O6" s="319" t="s">
        <v>1757</v>
      </c>
      <c r="P6" s="323"/>
      <c r="Q6" s="323"/>
      <c r="V6" s="319" t="s">
        <v>1758</v>
      </c>
      <c r="W6" s="318">
        <f t="shared" si="0"/>
        <v>1</v>
      </c>
      <c r="AM6" s="318">
        <v>1619</v>
      </c>
    </row>
    <row r="7" spans="1:39">
      <c r="A7" s="319" t="s">
        <v>1382</v>
      </c>
      <c r="B7" s="320" t="s">
        <v>1759</v>
      </c>
      <c r="C7" s="319" t="s">
        <v>1750</v>
      </c>
      <c r="D7" s="319" t="s">
        <v>68</v>
      </c>
      <c r="E7" s="319"/>
      <c r="F7" s="321">
        <v>41</v>
      </c>
      <c r="G7" s="322">
        <v>35</v>
      </c>
      <c r="H7" s="322">
        <v>1435</v>
      </c>
      <c r="I7" s="477">
        <v>79.8</v>
      </c>
      <c r="J7" s="319" t="s">
        <v>1354</v>
      </c>
      <c r="K7" s="319" t="s">
        <v>14</v>
      </c>
      <c r="L7" s="319" t="s">
        <v>1747</v>
      </c>
      <c r="M7" s="319"/>
      <c r="N7" s="319"/>
      <c r="O7" s="319" t="s">
        <v>1760</v>
      </c>
      <c r="P7" s="323"/>
      <c r="Q7" s="323"/>
      <c r="R7" s="323"/>
      <c r="S7" s="323"/>
      <c r="T7" s="323"/>
      <c r="U7" s="323"/>
      <c r="V7" s="319" t="s">
        <v>1761</v>
      </c>
      <c r="W7" s="318">
        <f t="shared" si="0"/>
        <v>7</v>
      </c>
    </row>
    <row r="8" spans="1:39">
      <c r="A8" s="319" t="s">
        <v>1382</v>
      </c>
      <c r="B8" s="320" t="s">
        <v>1762</v>
      </c>
      <c r="C8" s="319" t="s">
        <v>1750</v>
      </c>
      <c r="D8" s="319" t="s">
        <v>68</v>
      </c>
      <c r="E8" s="319" t="s">
        <v>291</v>
      </c>
      <c r="F8" s="321">
        <v>14</v>
      </c>
      <c r="G8" s="322">
        <v>61.1</v>
      </c>
      <c r="H8" s="322">
        <v>855.45</v>
      </c>
      <c r="I8" s="477">
        <v>45.88</v>
      </c>
      <c r="J8" s="319" t="s">
        <v>1354</v>
      </c>
      <c r="K8" s="319" t="s">
        <v>14</v>
      </c>
      <c r="L8" s="319" t="s">
        <v>1747</v>
      </c>
      <c r="M8" s="319"/>
      <c r="N8" s="319" t="s">
        <v>1758</v>
      </c>
      <c r="O8" s="319" t="s">
        <v>1763</v>
      </c>
      <c r="P8" s="323"/>
      <c r="Q8" s="323"/>
      <c r="R8" s="323"/>
      <c r="S8" s="323"/>
      <c r="T8" s="323"/>
      <c r="U8" s="323"/>
      <c r="V8" s="319" t="s">
        <v>1764</v>
      </c>
      <c r="W8" s="318">
        <f t="shared" si="0"/>
        <v>1</v>
      </c>
    </row>
    <row r="9" spans="1:39">
      <c r="A9" s="319" t="s">
        <v>1382</v>
      </c>
      <c r="B9" s="319" t="s">
        <v>1765</v>
      </c>
      <c r="C9" s="319" t="s">
        <v>1750</v>
      </c>
      <c r="D9" s="319" t="s">
        <v>68</v>
      </c>
      <c r="E9" s="319"/>
      <c r="F9" s="321"/>
      <c r="G9" s="322"/>
      <c r="H9" s="322"/>
      <c r="I9" s="477">
        <v>42.54</v>
      </c>
      <c r="J9" s="319" t="s">
        <v>1354</v>
      </c>
      <c r="K9" s="319" t="s">
        <v>14</v>
      </c>
      <c r="L9" s="319" t="s">
        <v>1747</v>
      </c>
      <c r="M9" s="319"/>
      <c r="N9" s="319" t="s">
        <v>1755</v>
      </c>
      <c r="O9" s="319" t="s">
        <v>1757</v>
      </c>
      <c r="P9" s="323"/>
      <c r="Q9" s="323"/>
      <c r="R9" s="323"/>
      <c r="S9" s="323"/>
      <c r="T9" s="323"/>
      <c r="U9" s="323"/>
      <c r="V9" s="319" t="s">
        <v>1766</v>
      </c>
      <c r="W9" s="318">
        <f t="shared" si="0"/>
        <v>1</v>
      </c>
    </row>
    <row r="10" spans="1:39">
      <c r="A10" s="319" t="s">
        <v>1382</v>
      </c>
      <c r="B10" s="319" t="s">
        <v>1767</v>
      </c>
      <c r="C10" s="319" t="s">
        <v>1750</v>
      </c>
      <c r="D10" s="319" t="s">
        <v>68</v>
      </c>
      <c r="E10" s="319" t="s">
        <v>71</v>
      </c>
      <c r="F10" s="321">
        <v>4</v>
      </c>
      <c r="G10" s="322">
        <v>67.739999999999995</v>
      </c>
      <c r="H10" s="322">
        <v>270.95999999999998</v>
      </c>
      <c r="I10" s="477">
        <v>15.07</v>
      </c>
      <c r="J10" s="319" t="s">
        <v>1354</v>
      </c>
      <c r="K10" s="319" t="s">
        <v>14</v>
      </c>
      <c r="L10" s="319" t="s">
        <v>1747</v>
      </c>
      <c r="M10" s="324">
        <v>46052</v>
      </c>
      <c r="N10" s="319" t="s">
        <v>1761</v>
      </c>
      <c r="O10" s="319" t="s">
        <v>1768</v>
      </c>
      <c r="P10" s="323"/>
      <c r="Q10" s="323"/>
      <c r="R10" s="323"/>
      <c r="S10" s="323"/>
      <c r="T10" s="323"/>
      <c r="U10" s="323"/>
      <c r="V10" s="325" t="s">
        <v>1769</v>
      </c>
      <c r="W10" s="318">
        <f t="shared" si="0"/>
        <v>1</v>
      </c>
    </row>
    <row r="11" spans="1:39">
      <c r="A11" s="319" t="s">
        <v>1382</v>
      </c>
      <c r="B11" s="319" t="s">
        <v>1770</v>
      </c>
      <c r="C11" s="319" t="s">
        <v>69</v>
      </c>
      <c r="D11" s="319" t="s">
        <v>1037</v>
      </c>
      <c r="E11" s="319" t="s">
        <v>147</v>
      </c>
      <c r="F11" s="321">
        <v>112</v>
      </c>
      <c r="G11" s="322">
        <v>66.900000000000006</v>
      </c>
      <c r="H11" s="322">
        <v>7492.8</v>
      </c>
      <c r="I11" s="477">
        <v>416.65</v>
      </c>
      <c r="J11" s="319" t="s">
        <v>1354</v>
      </c>
      <c r="K11" s="319" t="s">
        <v>14</v>
      </c>
      <c r="L11" s="319" t="s">
        <v>1747</v>
      </c>
      <c r="M11" s="324">
        <v>46052</v>
      </c>
      <c r="N11" s="319" t="s">
        <v>1764</v>
      </c>
      <c r="O11" s="319" t="s">
        <v>1771</v>
      </c>
      <c r="P11" s="323"/>
      <c r="Q11" s="323"/>
      <c r="R11" s="323"/>
      <c r="S11" s="323"/>
      <c r="T11" s="323"/>
      <c r="U11" s="323"/>
      <c r="V11" s="325" t="s">
        <v>1772</v>
      </c>
      <c r="W11" s="318">
        <f t="shared" si="0"/>
        <v>1</v>
      </c>
    </row>
    <row r="12" spans="1:39">
      <c r="A12" s="319" t="s">
        <v>1382</v>
      </c>
      <c r="B12" s="319" t="s">
        <v>1773</v>
      </c>
      <c r="C12" s="319" t="s">
        <v>69</v>
      </c>
      <c r="D12" s="319" t="s">
        <v>68</v>
      </c>
      <c r="E12" s="319" t="s">
        <v>1774</v>
      </c>
      <c r="F12" s="321">
        <v>100</v>
      </c>
      <c r="G12" s="322">
        <v>67</v>
      </c>
      <c r="H12" s="322">
        <v>6690</v>
      </c>
      <c r="I12" s="477">
        <v>372.01</v>
      </c>
      <c r="J12" s="319" t="s">
        <v>1354</v>
      </c>
      <c r="K12" s="319" t="s">
        <v>14</v>
      </c>
      <c r="L12" s="319" t="s">
        <v>1747</v>
      </c>
      <c r="M12" s="319"/>
      <c r="N12" s="319" t="s">
        <v>1766</v>
      </c>
      <c r="O12" s="319"/>
      <c r="P12" s="323"/>
      <c r="Q12" s="323"/>
      <c r="R12" s="323"/>
      <c r="S12" s="323"/>
      <c r="T12" s="323"/>
      <c r="U12" s="323"/>
      <c r="V12" s="325" t="s">
        <v>1775</v>
      </c>
      <c r="W12" s="318">
        <f t="shared" si="0"/>
        <v>1</v>
      </c>
    </row>
    <row r="13" spans="1:39">
      <c r="A13" s="319" t="s">
        <v>1382</v>
      </c>
      <c r="B13" s="319" t="s">
        <v>1776</v>
      </c>
      <c r="C13" s="319" t="s">
        <v>1750</v>
      </c>
      <c r="D13" s="319" t="s">
        <v>68</v>
      </c>
      <c r="E13" s="319"/>
      <c r="F13" s="321"/>
      <c r="G13" s="322"/>
      <c r="H13" s="322"/>
      <c r="I13" s="477">
        <v>177.11</v>
      </c>
      <c r="J13" s="319" t="s">
        <v>1354</v>
      </c>
      <c r="K13" s="319" t="s">
        <v>14</v>
      </c>
      <c r="L13" s="319" t="s">
        <v>1747</v>
      </c>
      <c r="M13" s="319"/>
      <c r="N13" s="319" t="s">
        <v>1748</v>
      </c>
      <c r="O13" s="319"/>
      <c r="P13" s="323"/>
      <c r="Q13" s="323"/>
      <c r="R13" s="323"/>
      <c r="S13" s="323"/>
      <c r="T13" s="323"/>
      <c r="U13" s="323"/>
      <c r="V13" s="325" t="s">
        <v>1777</v>
      </c>
      <c r="W13" s="318">
        <f t="shared" si="0"/>
        <v>1</v>
      </c>
    </row>
    <row r="14" spans="1:39">
      <c r="A14" s="319" t="s">
        <v>1382</v>
      </c>
      <c r="B14" s="319" t="s">
        <v>1778</v>
      </c>
      <c r="C14" s="319" t="s">
        <v>1750</v>
      </c>
      <c r="D14" s="319" t="s">
        <v>68</v>
      </c>
      <c r="E14" s="319"/>
      <c r="F14" s="321"/>
      <c r="G14" s="322"/>
      <c r="H14" s="322"/>
      <c r="I14" s="477">
        <v>75.900000000000006</v>
      </c>
      <c r="J14" s="319" t="s">
        <v>1354</v>
      </c>
      <c r="K14" s="319" t="s">
        <v>14</v>
      </c>
      <c r="L14" s="319" t="s">
        <v>1747</v>
      </c>
      <c r="M14" s="319"/>
      <c r="N14" s="319" t="s">
        <v>1748</v>
      </c>
      <c r="O14" s="319"/>
      <c r="P14" s="323"/>
      <c r="Q14" s="323"/>
      <c r="R14" s="323"/>
      <c r="S14" s="323"/>
      <c r="T14" s="323"/>
      <c r="U14" s="323"/>
      <c r="V14" s="326" t="s">
        <v>1779</v>
      </c>
      <c r="W14" s="318">
        <f t="shared" si="0"/>
        <v>1</v>
      </c>
    </row>
    <row r="15" spans="1:39">
      <c r="A15" s="319" t="s">
        <v>1382</v>
      </c>
      <c r="B15" s="319" t="s">
        <v>1780</v>
      </c>
      <c r="C15" s="319" t="s">
        <v>456</v>
      </c>
      <c r="D15" s="319" t="s">
        <v>68</v>
      </c>
      <c r="E15" s="319" t="s">
        <v>71</v>
      </c>
      <c r="F15" s="321">
        <v>83</v>
      </c>
      <c r="G15" s="322">
        <v>23.05</v>
      </c>
      <c r="H15" s="322">
        <v>1913</v>
      </c>
      <c r="I15" s="477">
        <v>106.41</v>
      </c>
      <c r="J15" s="319" t="s">
        <v>1354</v>
      </c>
      <c r="K15" s="319" t="s">
        <v>14</v>
      </c>
      <c r="L15" s="319" t="s">
        <v>1747</v>
      </c>
      <c r="M15" s="324">
        <v>46045</v>
      </c>
      <c r="N15" s="319" t="s">
        <v>1761</v>
      </c>
      <c r="O15" s="319" t="s">
        <v>1781</v>
      </c>
      <c r="P15" s="323"/>
      <c r="Q15" s="323"/>
      <c r="R15" s="323"/>
      <c r="S15" s="323"/>
      <c r="T15" s="323"/>
      <c r="U15" s="323"/>
      <c r="V15" s="326" t="s">
        <v>1782</v>
      </c>
      <c r="W15" s="318">
        <f t="shared" si="0"/>
        <v>0</v>
      </c>
    </row>
    <row r="16" spans="1:39" s="327" customFormat="1">
      <c r="A16" s="327" t="s">
        <v>1383</v>
      </c>
      <c r="B16" s="328" t="s">
        <v>1783</v>
      </c>
      <c r="C16" s="328" t="s">
        <v>69</v>
      </c>
      <c r="D16" s="328" t="s">
        <v>1037</v>
      </c>
      <c r="E16" s="328"/>
      <c r="F16" s="329"/>
      <c r="G16" s="330"/>
      <c r="H16" s="330"/>
      <c r="I16" s="478">
        <v>1078</v>
      </c>
      <c r="J16" s="328" t="s">
        <v>1354</v>
      </c>
      <c r="K16" s="328" t="s">
        <v>14</v>
      </c>
      <c r="L16" s="328"/>
      <c r="M16" s="328"/>
      <c r="N16" s="328"/>
      <c r="O16" s="328"/>
      <c r="P16" s="328"/>
      <c r="Q16" s="328"/>
      <c r="R16" s="328"/>
      <c r="S16" s="328"/>
      <c r="T16" s="328"/>
      <c r="U16" s="328"/>
    </row>
    <row r="17" spans="1:15" s="327" customFormat="1">
      <c r="A17" s="327" t="s">
        <v>1383</v>
      </c>
      <c r="B17" s="328" t="s">
        <v>1784</v>
      </c>
      <c r="C17" s="328" t="s">
        <v>1106</v>
      </c>
      <c r="D17" s="328" t="s">
        <v>1037</v>
      </c>
      <c r="E17" s="328"/>
      <c r="F17" s="329"/>
      <c r="G17" s="330"/>
      <c r="H17" s="330"/>
      <c r="I17" s="478">
        <v>3956</v>
      </c>
      <c r="J17" s="328" t="s">
        <v>1354</v>
      </c>
      <c r="K17" s="328" t="s">
        <v>14</v>
      </c>
      <c r="L17" s="328"/>
      <c r="M17" s="328"/>
      <c r="N17" s="328"/>
      <c r="O17" s="328"/>
    </row>
    <row r="18" spans="1:15">
      <c r="A18" s="325" t="s">
        <v>1382</v>
      </c>
      <c r="B18" s="325" t="s">
        <v>1785</v>
      </c>
      <c r="C18" s="325" t="s">
        <v>456</v>
      </c>
      <c r="D18" s="325" t="s">
        <v>68</v>
      </c>
      <c r="E18" s="325"/>
      <c r="F18" s="331"/>
      <c r="G18" s="332"/>
      <c r="H18" s="332"/>
      <c r="I18" s="479">
        <v>110</v>
      </c>
      <c r="J18" s="325" t="s">
        <v>14</v>
      </c>
      <c r="K18" s="325" t="s">
        <v>15</v>
      </c>
      <c r="L18" s="325" t="s">
        <v>1747</v>
      </c>
      <c r="M18" s="325"/>
      <c r="N18" s="325" t="s">
        <v>1769</v>
      </c>
      <c r="O18" s="325" t="s">
        <v>1786</v>
      </c>
    </row>
    <row r="19" spans="1:15">
      <c r="A19" s="325" t="s">
        <v>1382</v>
      </c>
      <c r="B19" s="325" t="s">
        <v>1787</v>
      </c>
      <c r="C19" s="325" t="s">
        <v>1106</v>
      </c>
      <c r="D19" s="325" t="s">
        <v>1037</v>
      </c>
      <c r="E19" s="325" t="s">
        <v>118</v>
      </c>
      <c r="F19" s="331"/>
      <c r="G19" s="332"/>
      <c r="H19" s="332"/>
      <c r="I19" s="479">
        <v>256</v>
      </c>
      <c r="J19" s="325" t="s">
        <v>14</v>
      </c>
      <c r="K19" s="325" t="s">
        <v>15</v>
      </c>
      <c r="L19" s="325" t="s">
        <v>1747</v>
      </c>
      <c r="M19" s="325"/>
      <c r="N19" s="325" t="s">
        <v>1761</v>
      </c>
      <c r="O19" s="325" t="s">
        <v>1788</v>
      </c>
    </row>
    <row r="20" spans="1:15">
      <c r="A20" s="325" t="s">
        <v>1382</v>
      </c>
      <c r="B20" s="325" t="s">
        <v>1789</v>
      </c>
      <c r="C20" s="325" t="s">
        <v>1106</v>
      </c>
      <c r="D20" s="325" t="s">
        <v>1037</v>
      </c>
      <c r="E20" s="325" t="s">
        <v>118</v>
      </c>
      <c r="F20" s="331"/>
      <c r="G20" s="332"/>
      <c r="H20" s="332"/>
      <c r="I20" s="479">
        <v>268</v>
      </c>
      <c r="J20" s="325" t="s">
        <v>14</v>
      </c>
      <c r="K20" s="325" t="s">
        <v>15</v>
      </c>
      <c r="L20" s="325" t="s">
        <v>1747</v>
      </c>
      <c r="M20" s="325"/>
      <c r="N20" s="325" t="s">
        <v>1761</v>
      </c>
      <c r="O20" s="325" t="s">
        <v>1788</v>
      </c>
    </row>
    <row r="21" spans="1:15">
      <c r="A21" s="325" t="s">
        <v>1382</v>
      </c>
      <c r="B21" s="325" t="s">
        <v>1790</v>
      </c>
      <c r="C21" s="325" t="s">
        <v>1106</v>
      </c>
      <c r="D21" s="325" t="s">
        <v>1037</v>
      </c>
      <c r="E21" s="325" t="s">
        <v>118</v>
      </c>
      <c r="F21" s="331"/>
      <c r="G21" s="332"/>
      <c r="H21" s="332"/>
      <c r="I21" s="479">
        <v>151</v>
      </c>
      <c r="J21" s="325" t="s">
        <v>14</v>
      </c>
      <c r="K21" s="325" t="s">
        <v>15</v>
      </c>
      <c r="L21" s="325" t="s">
        <v>1747</v>
      </c>
      <c r="M21" s="325"/>
      <c r="N21" s="325" t="s">
        <v>1761</v>
      </c>
      <c r="O21" s="325" t="s">
        <v>1788</v>
      </c>
    </row>
    <row r="22" spans="1:15">
      <c r="A22" s="325" t="s">
        <v>1382</v>
      </c>
      <c r="B22" s="325" t="s">
        <v>1791</v>
      </c>
      <c r="C22" s="325" t="s">
        <v>1750</v>
      </c>
      <c r="D22" s="325" t="s">
        <v>68</v>
      </c>
      <c r="E22" s="325"/>
      <c r="F22" s="331"/>
      <c r="G22" s="332"/>
      <c r="H22" s="332"/>
      <c r="I22" s="479">
        <v>33</v>
      </c>
      <c r="J22" s="325" t="s">
        <v>14</v>
      </c>
      <c r="K22" s="325" t="s">
        <v>15</v>
      </c>
      <c r="L22" s="325" t="s">
        <v>1747</v>
      </c>
      <c r="M22" s="325"/>
      <c r="N22" s="325" t="s">
        <v>1748</v>
      </c>
      <c r="O22" s="325"/>
    </row>
    <row r="23" spans="1:15">
      <c r="A23" s="325" t="s">
        <v>1382</v>
      </c>
      <c r="B23" s="325" t="s">
        <v>1792</v>
      </c>
      <c r="C23" s="325" t="s">
        <v>456</v>
      </c>
      <c r="D23" s="325" t="s">
        <v>68</v>
      </c>
      <c r="E23" s="325"/>
      <c r="F23" s="331"/>
      <c r="G23" s="332"/>
      <c r="H23" s="332"/>
      <c r="I23" s="479">
        <v>87</v>
      </c>
      <c r="J23" s="325" t="s">
        <v>14</v>
      </c>
      <c r="K23" s="325" t="s">
        <v>15</v>
      </c>
      <c r="L23" s="325" t="s">
        <v>1747</v>
      </c>
      <c r="M23" s="325"/>
      <c r="N23" s="325" t="s">
        <v>1748</v>
      </c>
      <c r="O23" s="325"/>
    </row>
    <row r="24" spans="1:15">
      <c r="A24" s="325" t="s">
        <v>1382</v>
      </c>
      <c r="B24" s="325" t="s">
        <v>1793</v>
      </c>
      <c r="C24" s="325" t="s">
        <v>456</v>
      </c>
      <c r="D24" s="325" t="s">
        <v>68</v>
      </c>
      <c r="E24" s="325"/>
      <c r="F24" s="331"/>
      <c r="G24" s="332"/>
      <c r="H24" s="332"/>
      <c r="I24" s="479">
        <v>298</v>
      </c>
      <c r="J24" s="325" t="s">
        <v>14</v>
      </c>
      <c r="K24" s="325" t="s">
        <v>15</v>
      </c>
      <c r="L24" s="325" t="s">
        <v>1747</v>
      </c>
      <c r="M24" s="325"/>
      <c r="N24" s="325"/>
      <c r="O24" s="325"/>
    </row>
    <row r="25" spans="1:15">
      <c r="A25" s="325" t="s">
        <v>1382</v>
      </c>
      <c r="B25" s="325" t="s">
        <v>1794</v>
      </c>
      <c r="C25" s="325" t="s">
        <v>1750</v>
      </c>
      <c r="D25" s="325" t="s">
        <v>68</v>
      </c>
      <c r="E25" s="325"/>
      <c r="F25" s="331"/>
      <c r="G25" s="332"/>
      <c r="H25" s="332"/>
      <c r="I25" s="479">
        <v>20</v>
      </c>
      <c r="J25" s="325" t="s">
        <v>14</v>
      </c>
      <c r="K25" s="325" t="s">
        <v>15</v>
      </c>
      <c r="L25" s="325" t="s">
        <v>1747</v>
      </c>
      <c r="M25" s="325"/>
      <c r="N25" s="325" t="s">
        <v>1761</v>
      </c>
      <c r="O25" s="325" t="s">
        <v>1795</v>
      </c>
    </row>
    <row r="26" spans="1:15">
      <c r="A26" s="325" t="s">
        <v>1382</v>
      </c>
      <c r="B26" s="325" t="s">
        <v>1796</v>
      </c>
      <c r="C26" s="325" t="s">
        <v>456</v>
      </c>
      <c r="D26" s="325" t="s">
        <v>68</v>
      </c>
      <c r="E26" s="325" t="s">
        <v>71</v>
      </c>
      <c r="F26" s="331">
        <v>102</v>
      </c>
      <c r="G26" s="332">
        <v>40.94</v>
      </c>
      <c r="H26" s="332">
        <v>4176</v>
      </c>
      <c r="I26" s="479">
        <v>242</v>
      </c>
      <c r="J26" s="325" t="s">
        <v>14</v>
      </c>
      <c r="K26" s="325" t="s">
        <v>15</v>
      </c>
      <c r="L26" s="325" t="s">
        <v>1747</v>
      </c>
      <c r="M26" s="333">
        <v>46052</v>
      </c>
      <c r="N26" s="325" t="s">
        <v>1772</v>
      </c>
      <c r="O26" s="325" t="s">
        <v>1797</v>
      </c>
    </row>
    <row r="27" spans="1:15">
      <c r="A27" s="325" t="s">
        <v>1382</v>
      </c>
      <c r="B27" s="325" t="s">
        <v>1798</v>
      </c>
      <c r="C27" s="325" t="s">
        <v>1750</v>
      </c>
      <c r="D27" s="325" t="s">
        <v>68</v>
      </c>
      <c r="E27" s="325"/>
      <c r="F27" s="331"/>
      <c r="G27" s="332"/>
      <c r="H27" s="332"/>
      <c r="I27" s="479">
        <v>43</v>
      </c>
      <c r="J27" s="325" t="s">
        <v>14</v>
      </c>
      <c r="K27" s="325" t="s">
        <v>15</v>
      </c>
      <c r="L27" s="325" t="s">
        <v>1747</v>
      </c>
      <c r="M27" s="325"/>
      <c r="N27" s="325" t="s">
        <v>1775</v>
      </c>
      <c r="O27" s="325" t="s">
        <v>1799</v>
      </c>
    </row>
    <row r="28" spans="1:15">
      <c r="A28" s="325" t="s">
        <v>1382</v>
      </c>
      <c r="B28" s="325" t="s">
        <v>1800</v>
      </c>
      <c r="C28" s="325" t="s">
        <v>69</v>
      </c>
      <c r="D28" s="325" t="s">
        <v>68</v>
      </c>
      <c r="E28" s="325"/>
      <c r="F28" s="331"/>
      <c r="G28" s="332"/>
      <c r="H28" s="332"/>
      <c r="I28" s="479">
        <v>342</v>
      </c>
      <c r="J28" s="325" t="s">
        <v>14</v>
      </c>
      <c r="K28" s="325" t="s">
        <v>15</v>
      </c>
      <c r="L28" s="325" t="s">
        <v>1747</v>
      </c>
      <c r="M28" s="325"/>
      <c r="N28" s="325" t="s">
        <v>1777</v>
      </c>
      <c r="O28" s="325" t="s">
        <v>1801</v>
      </c>
    </row>
    <row r="29" spans="1:15">
      <c r="A29" s="326" t="s">
        <v>1382</v>
      </c>
      <c r="B29" s="326" t="s">
        <v>1802</v>
      </c>
      <c r="C29" s="326" t="s">
        <v>1750</v>
      </c>
      <c r="D29" s="326" t="s">
        <v>68</v>
      </c>
      <c r="E29" s="326"/>
      <c r="F29" s="334"/>
      <c r="G29" s="335"/>
      <c r="H29" s="335"/>
      <c r="I29" s="480">
        <v>630</v>
      </c>
      <c r="J29" s="326" t="s">
        <v>15</v>
      </c>
      <c r="K29" s="326" t="s">
        <v>16</v>
      </c>
      <c r="L29" s="326" t="s">
        <v>1747</v>
      </c>
      <c r="M29" s="326"/>
      <c r="N29" s="326"/>
      <c r="O29" s="326" t="s">
        <v>1803</v>
      </c>
    </row>
    <row r="30" spans="1:15">
      <c r="A30" s="326" t="s">
        <v>1382</v>
      </c>
      <c r="B30" s="326" t="s">
        <v>1804</v>
      </c>
      <c r="C30" s="326" t="s">
        <v>1750</v>
      </c>
      <c r="D30" s="326" t="s">
        <v>68</v>
      </c>
      <c r="E30" s="326"/>
      <c r="F30" s="334"/>
      <c r="G30" s="335"/>
      <c r="H30" s="335">
        <v>1587</v>
      </c>
      <c r="I30" s="480">
        <v>17.850000000000001</v>
      </c>
      <c r="J30" s="326" t="s">
        <v>15</v>
      </c>
      <c r="K30" s="326" t="s">
        <v>16</v>
      </c>
      <c r="L30" s="326" t="s">
        <v>1747</v>
      </c>
      <c r="M30" s="326"/>
      <c r="N30" s="326"/>
      <c r="O30" s="326" t="s">
        <v>1805</v>
      </c>
    </row>
    <row r="31" spans="1:15">
      <c r="A31" s="326" t="s">
        <v>1382</v>
      </c>
      <c r="B31" s="326" t="s">
        <v>1806</v>
      </c>
      <c r="C31" s="326" t="s">
        <v>69</v>
      </c>
      <c r="D31" s="326" t="s">
        <v>68</v>
      </c>
      <c r="E31" s="326"/>
      <c r="F31" s="334"/>
      <c r="G31" s="335"/>
      <c r="H31" s="335"/>
      <c r="I31" s="480">
        <v>169</v>
      </c>
      <c r="J31" s="326" t="s">
        <v>15</v>
      </c>
      <c r="K31" s="326" t="s">
        <v>16</v>
      </c>
      <c r="L31" s="326" t="s">
        <v>1747</v>
      </c>
      <c r="M31" s="326"/>
      <c r="N31" s="326"/>
      <c r="O31" s="326" t="s">
        <v>1805</v>
      </c>
    </row>
    <row r="32" spans="1:15">
      <c r="A32" s="326" t="s">
        <v>1382</v>
      </c>
      <c r="B32" s="336" t="s">
        <v>1807</v>
      </c>
      <c r="C32" s="326" t="s">
        <v>456</v>
      </c>
      <c r="D32" s="326" t="s">
        <v>68</v>
      </c>
      <c r="E32" s="326"/>
      <c r="F32" s="334"/>
      <c r="G32" s="335"/>
      <c r="H32" s="335"/>
      <c r="I32" s="480">
        <v>175</v>
      </c>
      <c r="J32" s="326" t="s">
        <v>15</v>
      </c>
      <c r="K32" s="326" t="s">
        <v>16</v>
      </c>
      <c r="L32" s="326" t="s">
        <v>1747</v>
      </c>
      <c r="M32" s="326"/>
      <c r="N32" s="326" t="s">
        <v>1761</v>
      </c>
      <c r="O32" s="337" t="s">
        <v>1808</v>
      </c>
    </row>
    <row r="33" spans="1:15">
      <c r="A33" s="326" t="s">
        <v>1382</v>
      </c>
      <c r="B33" s="336" t="s">
        <v>1809</v>
      </c>
      <c r="C33" s="338" t="s">
        <v>456</v>
      </c>
      <c r="D33" s="336" t="s">
        <v>68</v>
      </c>
      <c r="E33" s="338"/>
      <c r="F33" s="339"/>
      <c r="G33" s="340"/>
      <c r="H33" s="334"/>
      <c r="I33" s="480">
        <v>250.93180000000001</v>
      </c>
      <c r="J33" s="336" t="s">
        <v>15</v>
      </c>
      <c r="K33" s="326" t="s">
        <v>16</v>
      </c>
      <c r="L33" s="326" t="s">
        <v>1747</v>
      </c>
      <c r="M33" s="326"/>
      <c r="N33" s="326" t="s">
        <v>1779</v>
      </c>
      <c r="O33" s="326"/>
    </row>
    <row r="34" spans="1:15">
      <c r="A34" s="326" t="s">
        <v>1382</v>
      </c>
      <c r="B34" s="336" t="s">
        <v>1810</v>
      </c>
      <c r="C34" s="338" t="s">
        <v>1750</v>
      </c>
      <c r="D34" s="336" t="s">
        <v>68</v>
      </c>
      <c r="E34" s="338"/>
      <c r="F34" s="339"/>
      <c r="G34" s="340"/>
      <c r="H34" s="334"/>
      <c r="I34" s="480">
        <v>52.764299999999999</v>
      </c>
      <c r="J34" s="326" t="s">
        <v>15</v>
      </c>
      <c r="K34" s="326" t="s">
        <v>16</v>
      </c>
      <c r="L34" s="326" t="s">
        <v>1747</v>
      </c>
      <c r="M34" s="326"/>
      <c r="N34" s="326"/>
      <c r="O34" s="326"/>
    </row>
    <row r="35" spans="1:15">
      <c r="A35" s="326" t="s">
        <v>1382</v>
      </c>
      <c r="B35" s="336" t="s">
        <v>1076</v>
      </c>
      <c r="C35" s="338" t="s">
        <v>1750</v>
      </c>
      <c r="D35" s="336" t="s">
        <v>68</v>
      </c>
      <c r="E35" s="338"/>
      <c r="F35" s="339"/>
      <c r="G35" s="340"/>
      <c r="H35" s="334"/>
      <c r="I35" s="480">
        <v>39.058900000000001</v>
      </c>
      <c r="J35" s="326" t="s">
        <v>15</v>
      </c>
      <c r="K35" s="326" t="s">
        <v>16</v>
      </c>
      <c r="L35" s="326" t="s">
        <v>1747</v>
      </c>
      <c r="M35" s="326"/>
      <c r="N35" s="326"/>
      <c r="O35" s="326"/>
    </row>
    <row r="36" spans="1:15">
      <c r="A36" s="326" t="s">
        <v>1382</v>
      </c>
      <c r="B36" s="336" t="s">
        <v>1811</v>
      </c>
      <c r="C36" s="338" t="s">
        <v>1750</v>
      </c>
      <c r="D36" s="336" t="s">
        <v>68</v>
      </c>
      <c r="E36" s="338"/>
      <c r="F36" s="339"/>
      <c r="G36" s="340"/>
      <c r="H36" s="334"/>
      <c r="I36" s="480">
        <v>21.043099999999999</v>
      </c>
      <c r="J36" s="326" t="s">
        <v>15</v>
      </c>
      <c r="K36" s="326" t="s">
        <v>16</v>
      </c>
      <c r="L36" s="326" t="s">
        <v>1747</v>
      </c>
      <c r="M36" s="326"/>
      <c r="N36" s="326"/>
      <c r="O36" s="326"/>
    </row>
    <row r="37" spans="1:15" s="129" customFormat="1">
      <c r="A37" s="319" t="s">
        <v>1382</v>
      </c>
      <c r="B37" s="341" t="s">
        <v>1812</v>
      </c>
      <c r="C37" s="319" t="s">
        <v>69</v>
      </c>
      <c r="D37" s="319" t="s">
        <v>68</v>
      </c>
      <c r="E37" s="319"/>
      <c r="F37" s="321"/>
      <c r="G37" s="319"/>
      <c r="H37" s="319"/>
      <c r="I37" s="477">
        <v>361</v>
      </c>
      <c r="J37" s="342" t="s">
        <v>16</v>
      </c>
      <c r="K37" s="342" t="s">
        <v>17</v>
      </c>
      <c r="L37" s="319" t="s">
        <v>1813</v>
      </c>
      <c r="M37" s="319" t="s">
        <v>1814</v>
      </c>
      <c r="N37" s="319" t="s">
        <v>1815</v>
      </c>
      <c r="O37" s="319" t="s">
        <v>1816</v>
      </c>
    </row>
    <row r="38" spans="1:15" s="129" customFormat="1">
      <c r="A38" s="319" t="s">
        <v>1382</v>
      </c>
      <c r="B38" s="341" t="s">
        <v>1064</v>
      </c>
      <c r="C38" s="342" t="str">
        <f>INDEX('MARE MX'!$L$2:$L$575,MATCH("*"&amp;B38&amp;"*",'MARE MX'!$F$2:$F$575,0))</f>
        <v>No Asignado</v>
      </c>
      <c r="D38" s="342" t="str">
        <f>INDEX('MARE MX'!$K$2:$K$575,MATCH("*"&amp;B38&amp;"*",'MARE MX'!$F$2:$F$575,0))</f>
        <v>SMB</v>
      </c>
      <c r="E38" s="342"/>
      <c r="F38" s="342"/>
      <c r="G38" s="342"/>
      <c r="H38" s="342"/>
      <c r="I38" s="477">
        <v>75</v>
      </c>
      <c r="J38" s="342" t="s">
        <v>16</v>
      </c>
      <c r="K38" s="342" t="s">
        <v>17</v>
      </c>
      <c r="L38" s="319" t="s">
        <v>1813</v>
      </c>
      <c r="M38" s="342"/>
      <c r="N38" s="342"/>
      <c r="O38" s="342" t="s">
        <v>1382</v>
      </c>
    </row>
    <row r="39" spans="1:15" s="129" customFormat="1">
      <c r="A39" s="319" t="s">
        <v>1382</v>
      </c>
      <c r="B39" s="341" t="s">
        <v>1066</v>
      </c>
      <c r="C39" s="342" t="str">
        <f>INDEX('MARE MX'!$L$2:$L$575,MATCH("*"&amp;B39&amp;"*",'MARE MX'!$F$2:$F$575,0))</f>
        <v>No Asignado</v>
      </c>
      <c r="D39" s="342" t="str">
        <f>INDEX('MARE MX'!$K$2:$K$575,MATCH("*"&amp;B39&amp;"*",'MARE MX'!$F$2:$F$575,0))</f>
        <v>SMB</v>
      </c>
      <c r="E39" s="342"/>
      <c r="F39" s="342"/>
      <c r="G39" s="342"/>
      <c r="H39" s="342"/>
      <c r="I39" s="477">
        <v>74</v>
      </c>
      <c r="J39" s="342" t="s">
        <v>16</v>
      </c>
      <c r="K39" s="342" t="s">
        <v>17</v>
      </c>
      <c r="L39" s="319" t="s">
        <v>1813</v>
      </c>
      <c r="M39" s="342"/>
      <c r="N39" s="342"/>
      <c r="O39" s="342" t="s">
        <v>1382</v>
      </c>
    </row>
    <row r="40" spans="1:15" s="129" customFormat="1">
      <c r="A40" s="319" t="s">
        <v>1382</v>
      </c>
      <c r="B40" s="341" t="s">
        <v>1068</v>
      </c>
      <c r="C40" s="342" t="str">
        <f>INDEX('MARE MX'!$L$2:$L$575,MATCH("*"&amp;B40&amp;"*",'MARE MX'!$F$2:$F$575,0))</f>
        <v>No Asignado</v>
      </c>
      <c r="D40" s="342" t="str">
        <f>INDEX('MARE MX'!$K$2:$K$575,MATCH("*"&amp;B40&amp;"*",'MARE MX'!$F$2:$F$575,0))</f>
        <v>SMB</v>
      </c>
      <c r="E40" s="342"/>
      <c r="F40" s="342"/>
      <c r="G40" s="342"/>
      <c r="H40" s="342"/>
      <c r="I40" s="477">
        <v>64</v>
      </c>
      <c r="J40" s="342" t="s">
        <v>16</v>
      </c>
      <c r="K40" s="342" t="s">
        <v>17</v>
      </c>
      <c r="L40" s="319" t="s">
        <v>1813</v>
      </c>
      <c r="M40" s="342"/>
      <c r="N40" s="342"/>
      <c r="O40" s="342" t="s">
        <v>1382</v>
      </c>
    </row>
    <row r="41" spans="1:15" s="129" customFormat="1">
      <c r="A41" s="319" t="s">
        <v>1382</v>
      </c>
      <c r="B41" s="341" t="s">
        <v>1070</v>
      </c>
      <c r="C41" s="342" t="str">
        <f>INDEX('MARE MX'!$L$2:$L$575,MATCH("*"&amp;B41&amp;"*",'MARE MX'!$F$2:$F$575,0))</f>
        <v>No Asignado</v>
      </c>
      <c r="D41" s="342" t="str">
        <f>INDEX('MARE MX'!$K$2:$K$575,MATCH("*"&amp;B41&amp;"*",'MARE MX'!$F$2:$F$575,0))</f>
        <v>SMB</v>
      </c>
      <c r="E41" s="342"/>
      <c r="F41" s="342"/>
      <c r="G41" s="342"/>
      <c r="H41" s="342"/>
      <c r="I41" s="477">
        <v>58</v>
      </c>
      <c r="J41" s="342" t="s">
        <v>16</v>
      </c>
      <c r="K41" s="342" t="s">
        <v>17</v>
      </c>
      <c r="L41" s="319" t="s">
        <v>1813</v>
      </c>
      <c r="M41" s="342"/>
      <c r="N41" s="342"/>
      <c r="O41" s="342" t="s">
        <v>1382</v>
      </c>
    </row>
    <row r="42" spans="1:15" s="129" customFormat="1">
      <c r="A42" s="319" t="s">
        <v>1382</v>
      </c>
      <c r="B42" s="341" t="s">
        <v>1072</v>
      </c>
      <c r="C42" s="342" t="str">
        <f>INDEX('MARE MX'!$L$2:$L$575,MATCH("*"&amp;B42&amp;"*",'MARE MX'!$F$2:$F$575,0))</f>
        <v>No Asignado</v>
      </c>
      <c r="D42" s="342" t="str">
        <f>INDEX('MARE MX'!$K$2:$K$575,MATCH("*"&amp;B42&amp;"*",'MARE MX'!$F$2:$F$575,0))</f>
        <v>SMB</v>
      </c>
      <c r="E42" s="342"/>
      <c r="F42" s="342"/>
      <c r="G42" s="342"/>
      <c r="H42" s="342"/>
      <c r="I42" s="477">
        <v>54</v>
      </c>
      <c r="J42" s="342" t="s">
        <v>16</v>
      </c>
      <c r="K42" s="342" t="s">
        <v>17</v>
      </c>
      <c r="L42" s="319" t="s">
        <v>1813</v>
      </c>
      <c r="M42" s="342"/>
      <c r="N42" s="342"/>
      <c r="O42" s="342" t="s">
        <v>1382</v>
      </c>
    </row>
    <row r="43" spans="1:15" s="129" customFormat="1">
      <c r="A43" s="319" t="s">
        <v>1382</v>
      </c>
      <c r="B43" s="341" t="s">
        <v>1064</v>
      </c>
      <c r="C43" s="342" t="s">
        <v>733</v>
      </c>
      <c r="D43" s="342" t="s">
        <v>68</v>
      </c>
      <c r="E43" s="342"/>
      <c r="F43" s="342"/>
      <c r="G43" s="342"/>
      <c r="H43" s="342"/>
      <c r="I43" s="477">
        <v>75</v>
      </c>
      <c r="J43" s="342" t="s">
        <v>16</v>
      </c>
      <c r="K43" s="342" t="s">
        <v>17</v>
      </c>
      <c r="L43" s="319" t="s">
        <v>1813</v>
      </c>
      <c r="M43" s="342"/>
      <c r="N43" s="342"/>
      <c r="O43" s="342" t="s">
        <v>1817</v>
      </c>
    </row>
    <row r="44" spans="1:15" s="345" customFormat="1">
      <c r="A44" s="343" t="s">
        <v>1818</v>
      </c>
      <c r="B44" s="344" t="s">
        <v>887</v>
      </c>
      <c r="C44" s="345" t="str">
        <f>INDEX('MARE MX'!$L$2:$L$575,MATCH("*"&amp;B44&amp;"*",'MARE MX'!$F$2:$F$575,0))</f>
        <v>No Asignado</v>
      </c>
      <c r="D44" s="345" t="str">
        <f>INDEX('MARE MX'!$K$2:$K$575,MATCH("*"&amp;B44&amp;"*",'MARE MX'!$F$2:$F$575,0))</f>
        <v>SMB</v>
      </c>
      <c r="I44" s="481">
        <v>67</v>
      </c>
      <c r="J44" s="345" t="s">
        <v>16</v>
      </c>
      <c r="K44" s="345" t="s">
        <v>17</v>
      </c>
      <c r="L44" s="343" t="s">
        <v>1813</v>
      </c>
      <c r="O44" s="345" t="s">
        <v>1819</v>
      </c>
    </row>
    <row r="45" spans="1:15">
      <c r="A45" s="346" t="s">
        <v>1383</v>
      </c>
      <c r="B45" s="346" t="s">
        <v>99</v>
      </c>
      <c r="C45" s="327" t="str">
        <f>INDEX('MARE MX'!$L$2:$L$575,MATCH("*"&amp;B45&amp;"*",'MARE MX'!$F$2:$F$575,0))</f>
        <v>Dafne de la Rosa</v>
      </c>
      <c r="D45" s="327" t="str">
        <f>INDEX('MARE MX'!$K$2:$K$575,MATCH("*"&amp;B45&amp;"*",'MARE MX'!$F$2:$F$575,0))</f>
        <v>SMB</v>
      </c>
      <c r="E45" s="328"/>
      <c r="F45" s="329"/>
      <c r="G45" s="328"/>
      <c r="H45" s="328"/>
      <c r="I45" s="478">
        <v>308</v>
      </c>
      <c r="J45" s="327" t="s">
        <v>16</v>
      </c>
      <c r="K45" s="327" t="s">
        <v>17</v>
      </c>
      <c r="L45" s="328" t="s">
        <v>1813</v>
      </c>
      <c r="M45" s="328"/>
      <c r="N45" s="328"/>
      <c r="O45" s="328" t="s">
        <v>1820</v>
      </c>
    </row>
    <row r="46" spans="1:15">
      <c r="A46" s="346" t="s">
        <v>1383</v>
      </c>
      <c r="B46" s="346" t="s">
        <v>98</v>
      </c>
      <c r="C46" s="327" t="str">
        <f>INDEX('MARE MX'!$L$2:$L$575,MATCH("*"&amp;B46&amp;"*",'MARE MX'!$F$2:$F$575,0))</f>
        <v>Dafne de la Rosa</v>
      </c>
      <c r="D46" s="327" t="str">
        <f>INDEX('MARE MX'!$K$2:$K$575,MATCH("*"&amp;B46&amp;"*",'MARE MX'!$F$2:$F$575,0))</f>
        <v>SMB</v>
      </c>
      <c r="E46" s="327"/>
      <c r="F46" s="327"/>
      <c r="G46" s="327"/>
      <c r="H46" s="327"/>
      <c r="I46" s="478">
        <v>41</v>
      </c>
      <c r="J46" s="327" t="s">
        <v>16</v>
      </c>
      <c r="K46" s="327" t="s">
        <v>17</v>
      </c>
      <c r="L46" s="327" t="s">
        <v>1813</v>
      </c>
      <c r="M46" s="327"/>
      <c r="N46" s="327"/>
      <c r="O46" s="327" t="s">
        <v>1821</v>
      </c>
    </row>
    <row r="47" spans="1:15">
      <c r="A47" s="346" t="s">
        <v>1383</v>
      </c>
      <c r="B47" s="346" t="s">
        <v>195</v>
      </c>
      <c r="C47" s="327" t="str">
        <f>INDEX('MARE MX'!$L$2:$L$575,MATCH("*"&amp;B47&amp;"*",'MARE MX'!$F$2:$F$575,0))</f>
        <v>Dafne de la Rosa</v>
      </c>
      <c r="D47" s="327" t="str">
        <f>INDEX('MARE MX'!$K$2:$K$575,MATCH("*"&amp;B47&amp;"*",'MARE MX'!$F$2:$F$575,0))</f>
        <v>SMB</v>
      </c>
      <c r="E47" s="327"/>
      <c r="F47" s="327"/>
      <c r="G47" s="327"/>
      <c r="H47" s="327"/>
      <c r="I47" s="478">
        <v>296</v>
      </c>
      <c r="J47" s="327" t="s">
        <v>16</v>
      </c>
      <c r="K47" s="327" t="s">
        <v>17</v>
      </c>
      <c r="L47" s="327" t="s">
        <v>1813</v>
      </c>
      <c r="M47" s="327"/>
      <c r="N47" s="327"/>
      <c r="O47" s="328" t="s">
        <v>1822</v>
      </c>
    </row>
    <row r="48" spans="1:15">
      <c r="A48" s="346" t="s">
        <v>1383</v>
      </c>
      <c r="B48" s="346" t="s">
        <v>1823</v>
      </c>
      <c r="C48" s="327" t="s">
        <v>69</v>
      </c>
      <c r="D48" s="327" t="s">
        <v>1037</v>
      </c>
      <c r="E48" s="327"/>
      <c r="F48" s="327"/>
      <c r="G48" s="327"/>
      <c r="H48" s="327"/>
      <c r="I48" s="478">
        <v>511</v>
      </c>
      <c r="J48" s="327" t="s">
        <v>16</v>
      </c>
      <c r="K48" s="327" t="s">
        <v>17</v>
      </c>
      <c r="L48" s="327" t="s">
        <v>1813</v>
      </c>
      <c r="M48" s="327"/>
      <c r="N48" s="327"/>
      <c r="O48" s="328" t="s">
        <v>1824</v>
      </c>
    </row>
    <row r="49" spans="1:15" s="336" customFormat="1">
      <c r="A49" s="326" t="s">
        <v>1382</v>
      </c>
      <c r="B49" s="347" t="s">
        <v>1825</v>
      </c>
      <c r="C49" s="336" t="s">
        <v>69</v>
      </c>
      <c r="D49" s="336" t="s">
        <v>1037</v>
      </c>
      <c r="I49" s="480">
        <v>13</v>
      </c>
      <c r="J49" s="336" t="s">
        <v>17</v>
      </c>
      <c r="K49" s="336" t="s">
        <v>18</v>
      </c>
      <c r="L49" s="326" t="s">
        <v>1813</v>
      </c>
      <c r="N49" s="602" t="s">
        <v>1761</v>
      </c>
      <c r="O49" s="603" t="s">
        <v>1826</v>
      </c>
    </row>
    <row r="50" spans="1:15" s="336" customFormat="1">
      <c r="A50" s="326" t="s">
        <v>1382</v>
      </c>
      <c r="B50" s="347" t="s">
        <v>1827</v>
      </c>
      <c r="C50" s="336" t="s">
        <v>69</v>
      </c>
      <c r="D50" s="336" t="s">
        <v>1037</v>
      </c>
      <c r="I50" s="480">
        <v>44</v>
      </c>
      <c r="J50" s="336" t="s">
        <v>17</v>
      </c>
      <c r="K50" s="336" t="s">
        <v>18</v>
      </c>
      <c r="L50" s="326" t="s">
        <v>1813</v>
      </c>
      <c r="N50" s="602"/>
      <c r="O50" s="603"/>
    </row>
    <row r="51" spans="1:15" s="336" customFormat="1">
      <c r="A51" s="326" t="s">
        <v>1382</v>
      </c>
      <c r="B51" s="347" t="s">
        <v>1828</v>
      </c>
      <c r="C51" s="336" t="s">
        <v>69</v>
      </c>
      <c r="D51" s="336" t="s">
        <v>1037</v>
      </c>
      <c r="E51" s="326"/>
      <c r="F51" s="334"/>
      <c r="G51" s="334"/>
      <c r="H51" s="334"/>
      <c r="I51" s="480">
        <v>646</v>
      </c>
      <c r="J51" s="336" t="s">
        <v>17</v>
      </c>
      <c r="K51" s="336" t="s">
        <v>18</v>
      </c>
      <c r="L51" s="326" t="s">
        <v>1813</v>
      </c>
      <c r="M51" s="326"/>
      <c r="N51" s="602"/>
      <c r="O51" s="603"/>
    </row>
    <row r="52" spans="1:15" s="336" customFormat="1">
      <c r="A52" s="326" t="s">
        <v>1382</v>
      </c>
      <c r="B52" s="347" t="s">
        <v>1829</v>
      </c>
      <c r="C52" s="336" t="s">
        <v>69</v>
      </c>
      <c r="D52" s="336" t="s">
        <v>1037</v>
      </c>
      <c r="I52" s="480">
        <f>53+8</f>
        <v>61</v>
      </c>
      <c r="J52" s="336" t="s">
        <v>17</v>
      </c>
      <c r="K52" s="336" t="s">
        <v>18</v>
      </c>
      <c r="L52" s="326" t="s">
        <v>1813</v>
      </c>
      <c r="N52" s="602"/>
      <c r="O52" s="603"/>
    </row>
    <row r="53" spans="1:15" ht="15" customHeight="1">
      <c r="A53" s="318" t="s">
        <v>1382</v>
      </c>
      <c r="B53" s="318" t="s">
        <v>1092</v>
      </c>
      <c r="I53" s="483">
        <v>45</v>
      </c>
      <c r="O53" s="318" t="s">
        <v>1830</v>
      </c>
    </row>
    <row r="54" spans="1:15" ht="15" customHeight="1">
      <c r="A54" s="318" t="s">
        <v>1382</v>
      </c>
      <c r="B54" s="318" t="s">
        <v>1101</v>
      </c>
      <c r="I54" s="483">
        <v>18</v>
      </c>
      <c r="O54" s="318" t="s">
        <v>1831</v>
      </c>
    </row>
    <row r="55" spans="1:15" s="487" customFormat="1" ht="15" customHeight="1">
      <c r="A55" s="484" t="s">
        <v>1818</v>
      </c>
      <c r="B55" s="485" t="s">
        <v>717</v>
      </c>
      <c r="C55" s="486" t="s">
        <v>456</v>
      </c>
      <c r="D55" s="486" t="s">
        <v>1037</v>
      </c>
      <c r="I55" s="488">
        <v>518</v>
      </c>
      <c r="L55" s="484"/>
      <c r="N55" s="489"/>
      <c r="O55" s="490"/>
    </row>
    <row r="56" spans="1:15" s="327" customFormat="1" ht="15" customHeight="1">
      <c r="A56" s="327" t="s">
        <v>1383</v>
      </c>
      <c r="B56" s="327" t="s">
        <v>1832</v>
      </c>
      <c r="C56" s="327" t="s">
        <v>456</v>
      </c>
      <c r="D56" s="327" t="s">
        <v>68</v>
      </c>
      <c r="I56" s="498">
        <v>302</v>
      </c>
      <c r="O56" s="327" t="s">
        <v>1833</v>
      </c>
    </row>
    <row r="57" spans="1:15" s="487" customFormat="1" ht="15" customHeight="1">
      <c r="A57" s="487" t="s">
        <v>1818</v>
      </c>
      <c r="B57" s="487" t="s">
        <v>1109</v>
      </c>
      <c r="I57" s="497">
        <v>657</v>
      </c>
      <c r="O57" s="487" t="s">
        <v>1834</v>
      </c>
    </row>
    <row r="58" spans="1:15" s="487" customFormat="1" ht="15" customHeight="1">
      <c r="A58" s="487" t="s">
        <v>1818</v>
      </c>
      <c r="B58" s="487" t="s">
        <v>1324</v>
      </c>
      <c r="I58" s="497">
        <v>160</v>
      </c>
      <c r="O58" s="487" t="s">
        <v>1834</v>
      </c>
    </row>
    <row r="59" spans="1:15" s="327" customFormat="1" ht="15" customHeight="1">
      <c r="A59" s="327" t="s">
        <v>1383</v>
      </c>
      <c r="B59" s="327" t="s">
        <v>1083</v>
      </c>
      <c r="I59" s="498">
        <v>143</v>
      </c>
      <c r="O59" s="327" t="s">
        <v>1835</v>
      </c>
    </row>
    <row r="60" spans="1:15" s="487" customFormat="1" ht="15" customHeight="1">
      <c r="A60" s="487" t="s">
        <v>1818</v>
      </c>
      <c r="B60" s="487" t="s">
        <v>934</v>
      </c>
      <c r="I60" s="497">
        <v>102</v>
      </c>
      <c r="O60" s="487" t="s">
        <v>1836</v>
      </c>
    </row>
    <row r="61" spans="1:15" s="327" customFormat="1" ht="15" customHeight="1">
      <c r="A61" s="327" t="s">
        <v>1383</v>
      </c>
      <c r="B61" s="327" t="s">
        <v>1087</v>
      </c>
      <c r="I61" s="498">
        <v>56</v>
      </c>
      <c r="O61" s="327" t="s">
        <v>1837</v>
      </c>
    </row>
    <row r="62" spans="1:15" s="327" customFormat="1" ht="15" customHeight="1">
      <c r="A62" s="327" t="s">
        <v>1383</v>
      </c>
      <c r="B62" s="327" t="s">
        <v>1099</v>
      </c>
      <c r="I62" s="498">
        <v>25</v>
      </c>
      <c r="O62" s="327" t="s">
        <v>1838</v>
      </c>
    </row>
    <row r="63" spans="1:15" s="327" customFormat="1" ht="15" customHeight="1">
      <c r="A63" s="327" t="s">
        <v>1383</v>
      </c>
      <c r="B63" s="327" t="s">
        <v>1097</v>
      </c>
      <c r="I63" s="498">
        <v>30</v>
      </c>
      <c r="O63" s="327" t="s">
        <v>1838</v>
      </c>
    </row>
    <row r="64" spans="1:15" s="327" customFormat="1" ht="15" customHeight="1">
      <c r="A64" s="327" t="s">
        <v>1383</v>
      </c>
      <c r="B64" s="327" t="s">
        <v>1095</v>
      </c>
      <c r="I64" s="498">
        <v>31</v>
      </c>
      <c r="O64" s="327" t="s">
        <v>1838</v>
      </c>
    </row>
    <row r="65" spans="1:15" ht="15" customHeight="1">
      <c r="A65" s="318" t="s">
        <v>1382</v>
      </c>
      <c r="B65" s="318" t="s">
        <v>1839</v>
      </c>
      <c r="I65" s="483">
        <v>184</v>
      </c>
      <c r="J65" s="318" t="s">
        <v>19</v>
      </c>
      <c r="K65" s="318" t="s">
        <v>1349</v>
      </c>
      <c r="L65" s="318" t="s">
        <v>1813</v>
      </c>
      <c r="O65" s="318" t="s">
        <v>1840</v>
      </c>
    </row>
  </sheetData>
  <autoFilter ref="A1:O65" xr:uid="{00000000-0001-0000-0300-000000000000}"/>
  <mergeCells count="2">
    <mergeCell ref="N49:N52"/>
    <mergeCell ref="O49:O5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15A47-D0A0-4867-9E59-4CFC1BC2EB2B}">
  <dimension ref="A1:G127"/>
  <sheetViews>
    <sheetView workbookViewId="0">
      <selection activeCell="G1" sqref="G1"/>
    </sheetView>
  </sheetViews>
  <sheetFormatPr defaultColWidth="9" defaultRowHeight="15" customHeight="1"/>
  <cols>
    <col min="5" max="5" width="12" bestFit="1" customWidth="1"/>
    <col min="7" max="7" width="14.5703125" customWidth="1"/>
  </cols>
  <sheetData>
    <row r="1" spans="1:7">
      <c r="A1">
        <f>COUNTA(A3:A397)</f>
        <v>125</v>
      </c>
      <c r="G1" s="43">
        <f>SUM(G3:G397)</f>
        <v>6290.56</v>
      </c>
    </row>
    <row r="2" spans="1:7" ht="15" customHeight="1">
      <c r="G2" t="s">
        <v>16</v>
      </c>
    </row>
    <row r="3" spans="1:7">
      <c r="A3" s="63" t="s">
        <v>106</v>
      </c>
      <c r="B3" s="53"/>
      <c r="C3" s="53"/>
      <c r="D3" s="54" t="s">
        <v>68</v>
      </c>
      <c r="E3" s="53" t="s">
        <v>69</v>
      </c>
      <c r="F3" s="53"/>
      <c r="G3" s="71">
        <v>38.44</v>
      </c>
    </row>
    <row r="4" spans="1:7">
      <c r="A4" s="53" t="s">
        <v>725</v>
      </c>
      <c r="B4" s="53"/>
      <c r="C4" s="53"/>
      <c r="D4" s="62" t="s">
        <v>68</v>
      </c>
      <c r="E4" s="53" t="s">
        <v>456</v>
      </c>
      <c r="F4" s="41"/>
      <c r="G4" s="70">
        <v>70.09</v>
      </c>
    </row>
    <row r="5" spans="1:7">
      <c r="A5" s="63" t="s">
        <v>487</v>
      </c>
      <c r="B5" s="53"/>
      <c r="C5" s="53"/>
      <c r="D5" s="62" t="s">
        <v>68</v>
      </c>
      <c r="E5" s="53" t="s">
        <v>456</v>
      </c>
      <c r="F5" s="40"/>
      <c r="G5" s="69">
        <v>62.96</v>
      </c>
    </row>
    <row r="6" spans="1:7">
      <c r="A6" s="53" t="s">
        <v>484</v>
      </c>
      <c r="B6" s="53"/>
      <c r="C6" s="53"/>
      <c r="D6" s="61" t="s">
        <v>68</v>
      </c>
      <c r="E6" s="53" t="s">
        <v>456</v>
      </c>
      <c r="F6" s="41"/>
      <c r="G6" s="70">
        <v>54.9</v>
      </c>
    </row>
    <row r="7" spans="1:7">
      <c r="A7" s="53" t="s">
        <v>471</v>
      </c>
      <c r="B7" s="53"/>
      <c r="C7" s="53"/>
      <c r="D7" s="62" t="s">
        <v>68</v>
      </c>
      <c r="E7" s="53" t="s">
        <v>456</v>
      </c>
      <c r="F7" s="53"/>
      <c r="G7" s="71">
        <v>28.64</v>
      </c>
    </row>
    <row r="8" spans="1:7">
      <c r="A8" s="53" t="s">
        <v>1064</v>
      </c>
      <c r="B8" s="53"/>
      <c r="C8" s="53"/>
      <c r="D8" s="61" t="s">
        <v>68</v>
      </c>
      <c r="E8" s="53" t="s">
        <v>733</v>
      </c>
      <c r="F8" s="41"/>
      <c r="G8" s="70">
        <v>75.38</v>
      </c>
    </row>
    <row r="9" spans="1:7">
      <c r="A9" s="53" t="s">
        <v>1066</v>
      </c>
      <c r="B9" s="53"/>
      <c r="C9" s="53"/>
      <c r="D9" s="53" t="s">
        <v>68</v>
      </c>
      <c r="E9" s="53" t="s">
        <v>733</v>
      </c>
      <c r="F9" s="40"/>
      <c r="G9" s="69">
        <v>74.44</v>
      </c>
    </row>
    <row r="10" spans="1:7">
      <c r="A10" s="53" t="s">
        <v>887</v>
      </c>
      <c r="B10" s="53"/>
      <c r="C10" s="53"/>
      <c r="D10" s="61" t="s">
        <v>68</v>
      </c>
      <c r="E10" s="53" t="s">
        <v>733</v>
      </c>
      <c r="F10" s="41"/>
      <c r="G10" s="70">
        <v>67</v>
      </c>
    </row>
    <row r="11" spans="1:7">
      <c r="A11" s="53" t="s">
        <v>1068</v>
      </c>
      <c r="B11" s="53"/>
      <c r="C11" s="53"/>
      <c r="D11" s="53" t="s">
        <v>68</v>
      </c>
      <c r="E11" s="53" t="s">
        <v>733</v>
      </c>
      <c r="F11" s="41"/>
      <c r="G11" s="70">
        <v>63.79</v>
      </c>
    </row>
    <row r="12" spans="1:7">
      <c r="A12" s="53" t="s">
        <v>1070</v>
      </c>
      <c r="B12" s="53"/>
      <c r="C12" s="53"/>
      <c r="D12" s="53" t="s">
        <v>68</v>
      </c>
      <c r="E12" s="53" t="s">
        <v>733</v>
      </c>
      <c r="F12" s="40"/>
      <c r="G12" s="69">
        <v>58.41</v>
      </c>
    </row>
    <row r="13" spans="1:7">
      <c r="A13" s="53" t="s">
        <v>1072</v>
      </c>
      <c r="B13" s="53"/>
      <c r="C13" s="53"/>
      <c r="D13" s="53" t="s">
        <v>68</v>
      </c>
      <c r="E13" s="53" t="s">
        <v>733</v>
      </c>
      <c r="F13" s="40"/>
      <c r="G13" s="69">
        <v>53.85</v>
      </c>
    </row>
    <row r="14" spans="1:7">
      <c r="A14" s="53" t="s">
        <v>850</v>
      </c>
      <c r="B14" s="53"/>
      <c r="C14" s="53"/>
      <c r="D14" s="61" t="s">
        <v>68</v>
      </c>
      <c r="E14" s="53" t="s">
        <v>733</v>
      </c>
      <c r="F14" s="40"/>
      <c r="G14" s="69">
        <v>39.89</v>
      </c>
    </row>
    <row r="15" spans="1:7">
      <c r="A15" s="53" t="s">
        <v>761</v>
      </c>
      <c r="B15" s="53"/>
      <c r="C15" s="53"/>
      <c r="D15" s="61" t="s">
        <v>68</v>
      </c>
      <c r="E15" s="53" t="s">
        <v>733</v>
      </c>
      <c r="F15" s="40"/>
      <c r="G15" s="69">
        <v>20.100000000000001</v>
      </c>
    </row>
    <row r="16" spans="1:7">
      <c r="A16" s="53" t="s">
        <v>1043</v>
      </c>
      <c r="B16" s="53"/>
      <c r="C16" s="53"/>
      <c r="D16" s="61" t="s">
        <v>68</v>
      </c>
      <c r="E16" s="53" t="s">
        <v>733</v>
      </c>
      <c r="F16" s="40"/>
      <c r="G16" s="69">
        <v>24.3</v>
      </c>
    </row>
    <row r="17" spans="1:7">
      <c r="A17" s="53" t="s">
        <v>1028</v>
      </c>
      <c r="B17" s="53"/>
      <c r="C17" s="53"/>
      <c r="D17" s="53" t="s">
        <v>68</v>
      </c>
      <c r="E17" s="53" t="s">
        <v>733</v>
      </c>
      <c r="F17" s="40"/>
      <c r="G17" s="69">
        <v>65.849999999999994</v>
      </c>
    </row>
    <row r="18" spans="1:7">
      <c r="A18" s="63" t="s">
        <v>970</v>
      </c>
      <c r="B18" s="53"/>
      <c r="C18" s="53"/>
      <c r="D18" s="61" t="s">
        <v>68</v>
      </c>
      <c r="E18" s="53" t="s">
        <v>733</v>
      </c>
      <c r="F18" s="40"/>
      <c r="G18" s="69">
        <v>69.86</v>
      </c>
    </row>
    <row r="19" spans="1:7">
      <c r="A19" s="53" t="s">
        <v>1841</v>
      </c>
      <c r="B19" s="53"/>
      <c r="C19" s="53"/>
      <c r="D19" s="53" t="s">
        <v>68</v>
      </c>
      <c r="E19" s="53" t="s">
        <v>733</v>
      </c>
      <c r="F19" s="41"/>
      <c r="G19" s="70">
        <v>96.92</v>
      </c>
    </row>
    <row r="20" spans="1:7">
      <c r="A20" s="53" t="s">
        <v>926</v>
      </c>
      <c r="B20" s="53"/>
      <c r="C20" s="53"/>
      <c r="D20" s="61" t="s">
        <v>68</v>
      </c>
      <c r="E20" s="53" t="s">
        <v>733</v>
      </c>
      <c r="F20" s="41"/>
      <c r="G20" s="70">
        <v>99.41</v>
      </c>
    </row>
    <row r="21" spans="1:7">
      <c r="A21" s="53" t="s">
        <v>936</v>
      </c>
      <c r="B21" s="53"/>
      <c r="C21" s="53"/>
      <c r="D21" s="54" t="s">
        <v>68</v>
      </c>
      <c r="E21" s="53" t="s">
        <v>733</v>
      </c>
      <c r="F21" s="41"/>
      <c r="G21" s="70">
        <v>93.1</v>
      </c>
    </row>
    <row r="22" spans="1:7">
      <c r="A22" s="53" t="s">
        <v>788</v>
      </c>
      <c r="B22" s="53"/>
      <c r="C22" s="53"/>
      <c r="D22" s="53" t="s">
        <v>68</v>
      </c>
      <c r="E22" s="53" t="s">
        <v>733</v>
      </c>
      <c r="F22" s="40"/>
      <c r="G22" s="69">
        <v>91.62</v>
      </c>
    </row>
    <row r="23" spans="1:7">
      <c r="A23" s="53" t="s">
        <v>930</v>
      </c>
      <c r="B23" s="53"/>
      <c r="C23" s="53"/>
      <c r="D23" s="53" t="s">
        <v>68</v>
      </c>
      <c r="E23" s="53" t="s">
        <v>733</v>
      </c>
      <c r="F23" s="41"/>
      <c r="G23" s="70">
        <v>90.86</v>
      </c>
    </row>
    <row r="24" spans="1:7">
      <c r="A24" s="53" t="s">
        <v>924</v>
      </c>
      <c r="B24" s="53"/>
      <c r="C24" s="53"/>
      <c r="D24" s="53" t="s">
        <v>68</v>
      </c>
      <c r="E24" s="53" t="s">
        <v>733</v>
      </c>
      <c r="F24" s="40"/>
      <c r="G24" s="69">
        <v>90.46</v>
      </c>
    </row>
    <row r="25" spans="1:7">
      <c r="A25" s="53" t="s">
        <v>922</v>
      </c>
      <c r="B25" s="53"/>
      <c r="C25" s="53"/>
      <c r="D25" s="53" t="s">
        <v>68</v>
      </c>
      <c r="E25" s="53" t="s">
        <v>733</v>
      </c>
      <c r="F25" s="40"/>
      <c r="G25" s="69">
        <v>89.51</v>
      </c>
    </row>
    <row r="26" spans="1:7">
      <c r="A26" s="53" t="s">
        <v>875</v>
      </c>
      <c r="B26" s="53"/>
      <c r="C26" s="53"/>
      <c r="D26" s="53" t="s">
        <v>68</v>
      </c>
      <c r="E26" s="53" t="s">
        <v>733</v>
      </c>
      <c r="F26" s="41"/>
      <c r="G26" s="70">
        <v>88.61</v>
      </c>
    </row>
    <row r="27" spans="1:7">
      <c r="A27" s="53" t="s">
        <v>920</v>
      </c>
      <c r="B27" s="53"/>
      <c r="C27" s="53"/>
      <c r="D27" s="53" t="s">
        <v>68</v>
      </c>
      <c r="E27" s="53" t="s">
        <v>733</v>
      </c>
      <c r="F27" s="40"/>
      <c r="G27" s="69">
        <v>85.92</v>
      </c>
    </row>
    <row r="28" spans="1:7">
      <c r="A28" s="53" t="s">
        <v>911</v>
      </c>
      <c r="B28" s="53"/>
      <c r="C28" s="53"/>
      <c r="D28" s="53" t="s">
        <v>68</v>
      </c>
      <c r="E28" s="53" t="s">
        <v>733</v>
      </c>
      <c r="F28" s="41"/>
      <c r="G28" s="70">
        <v>82.07</v>
      </c>
    </row>
    <row r="29" spans="1:7">
      <c r="A29" s="53" t="s">
        <v>914</v>
      </c>
      <c r="B29" s="53"/>
      <c r="C29" s="53"/>
      <c r="D29" s="61" t="s">
        <v>68</v>
      </c>
      <c r="E29" s="53" t="s">
        <v>733</v>
      </c>
      <c r="F29" s="41"/>
      <c r="G29" s="70">
        <v>83.94</v>
      </c>
    </row>
    <row r="30" spans="1:7">
      <c r="A30" s="53" t="s">
        <v>890</v>
      </c>
      <c r="B30" s="53"/>
      <c r="C30" s="53"/>
      <c r="D30" s="61" t="s">
        <v>68</v>
      </c>
      <c r="E30" s="53" t="s">
        <v>733</v>
      </c>
      <c r="F30" s="41"/>
      <c r="G30" s="70">
        <v>69.86</v>
      </c>
    </row>
    <row r="31" spans="1:7">
      <c r="A31" s="53" t="s">
        <v>907</v>
      </c>
      <c r="B31" s="53"/>
      <c r="C31" s="53"/>
      <c r="D31" s="53" t="s">
        <v>68</v>
      </c>
      <c r="E31" s="53" t="s">
        <v>733</v>
      </c>
      <c r="F31" s="41"/>
      <c r="G31" s="70">
        <v>81.89</v>
      </c>
    </row>
    <row r="32" spans="1:7">
      <c r="A32" s="53" t="s">
        <v>909</v>
      </c>
      <c r="B32" s="53"/>
      <c r="C32" s="53"/>
      <c r="D32" s="53" t="s">
        <v>68</v>
      </c>
      <c r="E32" s="53" t="s">
        <v>733</v>
      </c>
      <c r="F32" s="41"/>
      <c r="G32" s="70">
        <v>78.739999999999995</v>
      </c>
    </row>
    <row r="33" spans="1:7">
      <c r="A33" s="53" t="s">
        <v>905</v>
      </c>
      <c r="B33" s="53"/>
      <c r="C33" s="53"/>
      <c r="D33" s="53" t="s">
        <v>68</v>
      </c>
      <c r="E33" s="53" t="s">
        <v>733</v>
      </c>
      <c r="F33" s="40"/>
      <c r="G33" s="69">
        <v>81.16</v>
      </c>
    </row>
    <row r="34" spans="1:7">
      <c r="A34" s="53" t="s">
        <v>903</v>
      </c>
      <c r="B34" s="53"/>
      <c r="C34" s="53"/>
      <c r="D34" s="53" t="s">
        <v>68</v>
      </c>
      <c r="E34" s="53" t="s">
        <v>733</v>
      </c>
      <c r="F34" s="41"/>
      <c r="G34" s="70">
        <v>80.77</v>
      </c>
    </row>
    <row r="35" spans="1:7">
      <c r="A35" s="53" t="s">
        <v>901</v>
      </c>
      <c r="B35" s="53"/>
      <c r="C35" s="53"/>
      <c r="D35" s="61" t="s">
        <v>68</v>
      </c>
      <c r="E35" s="53" t="s">
        <v>733</v>
      </c>
      <c r="F35" s="41"/>
      <c r="G35" s="70">
        <v>71.790000000000006</v>
      </c>
    </row>
    <row r="36" spans="1:7">
      <c r="A36" s="53" t="s">
        <v>899</v>
      </c>
      <c r="B36" s="53"/>
      <c r="C36" s="53"/>
      <c r="D36" s="53" t="s">
        <v>68</v>
      </c>
      <c r="E36" s="53" t="s">
        <v>733</v>
      </c>
      <c r="F36" s="41"/>
      <c r="G36" s="70">
        <v>75.2</v>
      </c>
    </row>
    <row r="37" spans="1:7">
      <c r="A37" s="53" t="s">
        <v>918</v>
      </c>
      <c r="B37" s="53"/>
      <c r="C37" s="53"/>
      <c r="D37" s="61" t="s">
        <v>68</v>
      </c>
      <c r="E37" s="53" t="s">
        <v>733</v>
      </c>
      <c r="F37" s="41"/>
      <c r="G37" s="70">
        <v>74.56</v>
      </c>
    </row>
    <row r="38" spans="1:7">
      <c r="A38" s="53" t="s">
        <v>1000</v>
      </c>
      <c r="B38" s="53"/>
      <c r="C38" s="53"/>
      <c r="D38" s="61" t="s">
        <v>68</v>
      </c>
      <c r="E38" s="53" t="s">
        <v>733</v>
      </c>
      <c r="F38" s="41"/>
      <c r="G38" s="70">
        <v>70.41</v>
      </c>
    </row>
    <row r="39" spans="1:7">
      <c r="A39" s="53" t="s">
        <v>897</v>
      </c>
      <c r="B39" s="53"/>
      <c r="C39" s="53"/>
      <c r="D39" s="53" t="s">
        <v>68</v>
      </c>
      <c r="E39" s="53" t="s">
        <v>733</v>
      </c>
      <c r="F39" s="40"/>
      <c r="G39" s="69">
        <v>72.150000000000006</v>
      </c>
    </row>
    <row r="40" spans="1:7">
      <c r="A40" s="53" t="s">
        <v>894</v>
      </c>
      <c r="B40" s="53"/>
      <c r="C40" s="53"/>
      <c r="D40" s="53" t="s">
        <v>68</v>
      </c>
      <c r="E40" s="53" t="s">
        <v>733</v>
      </c>
      <c r="F40" s="41"/>
      <c r="G40" s="70">
        <v>71.61</v>
      </c>
    </row>
    <row r="41" spans="1:7">
      <c r="A41" s="53" t="s">
        <v>1085</v>
      </c>
      <c r="B41" s="53"/>
      <c r="C41" s="53"/>
      <c r="D41" s="53" t="s">
        <v>68</v>
      </c>
      <c r="E41" s="53" t="s">
        <v>733</v>
      </c>
      <c r="F41" s="40"/>
      <c r="G41" s="69">
        <v>74.45</v>
      </c>
    </row>
    <row r="42" spans="1:7">
      <c r="A42" s="53" t="s">
        <v>916</v>
      </c>
      <c r="B42" s="53"/>
      <c r="C42" s="53"/>
      <c r="D42" s="61" t="s">
        <v>68</v>
      </c>
      <c r="E42" s="53" t="s">
        <v>733</v>
      </c>
      <c r="F42" s="40"/>
      <c r="G42" s="69">
        <v>75.11</v>
      </c>
    </row>
    <row r="43" spans="1:7">
      <c r="A43" s="53" t="s">
        <v>885</v>
      </c>
      <c r="B43" s="53"/>
      <c r="C43" s="53"/>
      <c r="D43" s="61" t="s">
        <v>68</v>
      </c>
      <c r="E43" s="53" t="s">
        <v>733</v>
      </c>
      <c r="F43" s="41"/>
      <c r="G43" s="70">
        <v>66.819999999999993</v>
      </c>
    </row>
    <row r="44" spans="1:7">
      <c r="A44" s="53" t="s">
        <v>883</v>
      </c>
      <c r="B44" s="53"/>
      <c r="C44" s="53"/>
      <c r="D44" s="61" t="s">
        <v>68</v>
      </c>
      <c r="E44" s="53" t="s">
        <v>733</v>
      </c>
      <c r="F44" s="40"/>
      <c r="G44" s="69">
        <v>66.27</v>
      </c>
    </row>
    <row r="45" spans="1:7">
      <c r="A45" s="53" t="s">
        <v>867</v>
      </c>
      <c r="B45" s="53"/>
      <c r="C45" s="53"/>
      <c r="D45" s="61" t="s">
        <v>68</v>
      </c>
      <c r="E45" s="53" t="s">
        <v>733</v>
      </c>
      <c r="F45" s="40"/>
      <c r="G45" s="69">
        <v>62.41</v>
      </c>
    </row>
    <row r="46" spans="1:7">
      <c r="A46" s="53" t="s">
        <v>879</v>
      </c>
      <c r="B46" s="53"/>
      <c r="C46" s="53"/>
      <c r="D46" s="53" t="s">
        <v>68</v>
      </c>
      <c r="E46" s="53" t="s">
        <v>733</v>
      </c>
      <c r="F46" s="41"/>
      <c r="G46" s="70">
        <v>65.38</v>
      </c>
    </row>
    <row r="47" spans="1:7">
      <c r="A47" s="53" t="s">
        <v>877</v>
      </c>
      <c r="B47" s="53"/>
      <c r="C47" s="53"/>
      <c r="D47" s="53" t="s">
        <v>68</v>
      </c>
      <c r="E47" s="53" t="s">
        <v>733</v>
      </c>
      <c r="F47" s="41"/>
      <c r="G47" s="70">
        <v>58.41</v>
      </c>
    </row>
    <row r="48" spans="1:7">
      <c r="A48" s="53" t="s">
        <v>862</v>
      </c>
      <c r="B48" s="53"/>
      <c r="C48" s="53"/>
      <c r="D48" s="53" t="s">
        <v>68</v>
      </c>
      <c r="E48" s="53" t="s">
        <v>733</v>
      </c>
      <c r="F48" s="41"/>
      <c r="G48" s="70">
        <v>64.42</v>
      </c>
    </row>
    <row r="49" spans="1:7">
      <c r="A49" s="53" t="s">
        <v>873</v>
      </c>
      <c r="B49" s="53"/>
      <c r="C49" s="53"/>
      <c r="D49" s="61" t="s">
        <v>68</v>
      </c>
      <c r="E49" s="53" t="s">
        <v>733</v>
      </c>
      <c r="F49" s="41"/>
      <c r="G49" s="70">
        <v>75.38</v>
      </c>
    </row>
    <row r="50" spans="1:7">
      <c r="A50" s="53" t="s">
        <v>854</v>
      </c>
      <c r="B50" s="53"/>
      <c r="C50" s="53"/>
      <c r="D50" s="61" t="s">
        <v>68</v>
      </c>
      <c r="E50" s="53" t="s">
        <v>733</v>
      </c>
      <c r="F50" s="41"/>
      <c r="G50" s="70">
        <v>55.23</v>
      </c>
    </row>
    <row r="51" spans="1:7">
      <c r="A51" s="53" t="s">
        <v>871</v>
      </c>
      <c r="B51" s="53"/>
      <c r="C51" s="53"/>
      <c r="D51" s="53" t="s">
        <v>68</v>
      </c>
      <c r="E51" s="53" t="s">
        <v>733</v>
      </c>
      <c r="F51" s="41"/>
      <c r="G51" s="70">
        <v>61.87</v>
      </c>
    </row>
    <row r="52" spans="1:7">
      <c r="A52" s="53" t="s">
        <v>892</v>
      </c>
      <c r="B52" s="53"/>
      <c r="C52" s="53"/>
      <c r="D52" s="53" t="s">
        <v>68</v>
      </c>
      <c r="E52" s="53" t="s">
        <v>733</v>
      </c>
      <c r="F52" s="40"/>
      <c r="G52" s="69">
        <v>53.87</v>
      </c>
    </row>
    <row r="53" spans="1:7">
      <c r="A53" s="53" t="s">
        <v>869</v>
      </c>
      <c r="B53" s="53"/>
      <c r="C53" s="53"/>
      <c r="D53" s="53" t="s">
        <v>68</v>
      </c>
      <c r="E53" s="53" t="s">
        <v>733</v>
      </c>
      <c r="F53" s="40"/>
      <c r="G53" s="69">
        <v>60.12</v>
      </c>
    </row>
    <row r="54" spans="1:7">
      <c r="A54" s="53" t="s">
        <v>866</v>
      </c>
      <c r="B54" s="53"/>
      <c r="C54" s="53"/>
      <c r="D54" s="61" t="s">
        <v>68</v>
      </c>
      <c r="E54" s="53" t="s">
        <v>733</v>
      </c>
      <c r="F54" s="41"/>
      <c r="G54" s="70">
        <v>57.99</v>
      </c>
    </row>
    <row r="55" spans="1:7">
      <c r="A55" s="53" t="s">
        <v>1053</v>
      </c>
      <c r="B55" s="53"/>
      <c r="C55" s="53"/>
      <c r="D55" s="61" t="s">
        <v>68</v>
      </c>
      <c r="E55" s="53" t="s">
        <v>733</v>
      </c>
      <c r="F55" s="40"/>
      <c r="G55" s="69">
        <v>57.99</v>
      </c>
    </row>
    <row r="56" spans="1:7">
      <c r="A56" s="53" t="s">
        <v>807</v>
      </c>
      <c r="B56" s="53"/>
      <c r="C56" s="53"/>
      <c r="D56" s="61" t="s">
        <v>68</v>
      </c>
      <c r="E56" s="53" t="s">
        <v>733</v>
      </c>
      <c r="F56" s="40"/>
      <c r="G56" s="69">
        <v>55.91</v>
      </c>
    </row>
    <row r="57" spans="1:7">
      <c r="A57" s="63" t="s">
        <v>844</v>
      </c>
      <c r="B57" s="53"/>
      <c r="C57" s="53"/>
      <c r="D57" s="53" t="s">
        <v>68</v>
      </c>
      <c r="E57" s="53" t="s">
        <v>733</v>
      </c>
      <c r="F57" s="40"/>
      <c r="G57" s="69">
        <v>48.34</v>
      </c>
    </row>
    <row r="58" spans="1:7">
      <c r="A58" s="53" t="s">
        <v>856</v>
      </c>
      <c r="B58" s="53"/>
      <c r="C58" s="53"/>
      <c r="D58" s="61" t="s">
        <v>68</v>
      </c>
      <c r="E58" s="53" t="s">
        <v>733</v>
      </c>
      <c r="F58" s="40"/>
      <c r="G58" s="69">
        <v>55.23</v>
      </c>
    </row>
    <row r="59" spans="1:7">
      <c r="A59" s="53" t="s">
        <v>858</v>
      </c>
      <c r="B59" s="53"/>
      <c r="C59" s="53"/>
      <c r="D59" s="53" t="s">
        <v>68</v>
      </c>
      <c r="E59" s="53" t="s">
        <v>733</v>
      </c>
      <c r="F59" s="40"/>
      <c r="G59" s="69">
        <v>55.23</v>
      </c>
    </row>
    <row r="60" spans="1:7">
      <c r="A60" s="53" t="s">
        <v>852</v>
      </c>
      <c r="B60" s="53"/>
      <c r="C60" s="53"/>
      <c r="D60" s="53" t="s">
        <v>68</v>
      </c>
      <c r="E60" s="53" t="s">
        <v>733</v>
      </c>
      <c r="F60" s="40"/>
      <c r="G60" s="69">
        <v>55.09</v>
      </c>
    </row>
    <row r="61" spans="1:7">
      <c r="A61" s="53" t="s">
        <v>848</v>
      </c>
      <c r="B61" s="53"/>
      <c r="C61" s="53"/>
      <c r="D61" s="53" t="s">
        <v>68</v>
      </c>
      <c r="E61" s="53" t="s">
        <v>733</v>
      </c>
      <c r="F61" s="40"/>
      <c r="G61" s="69">
        <v>54.97</v>
      </c>
    </row>
    <row r="62" spans="1:7">
      <c r="A62" s="53" t="s">
        <v>828</v>
      </c>
      <c r="B62" s="53"/>
      <c r="C62" s="53"/>
      <c r="D62" s="53" t="s">
        <v>68</v>
      </c>
      <c r="E62" s="53" t="s">
        <v>733</v>
      </c>
      <c r="F62" s="40"/>
      <c r="G62" s="69">
        <v>51.53</v>
      </c>
    </row>
    <row r="63" spans="1:7">
      <c r="A63" s="53" t="s">
        <v>846</v>
      </c>
      <c r="B63" s="53"/>
      <c r="C63" s="53"/>
      <c r="D63" s="53" t="s">
        <v>68</v>
      </c>
      <c r="E63" s="53" t="s">
        <v>733</v>
      </c>
      <c r="F63" s="41"/>
      <c r="G63" s="70">
        <v>41.06</v>
      </c>
    </row>
    <row r="64" spans="1:7">
      <c r="A64" s="53" t="s">
        <v>881</v>
      </c>
      <c r="B64" s="53"/>
      <c r="C64" s="53"/>
      <c r="D64" s="53" t="s">
        <v>68</v>
      </c>
      <c r="E64" s="53" t="s">
        <v>733</v>
      </c>
      <c r="F64" s="40"/>
      <c r="G64" s="69">
        <v>57.26</v>
      </c>
    </row>
    <row r="65" spans="1:7">
      <c r="A65" s="53" t="s">
        <v>1087</v>
      </c>
      <c r="B65" s="53"/>
      <c r="C65" s="53"/>
      <c r="D65" s="61" t="s">
        <v>68</v>
      </c>
      <c r="E65" s="53" t="s">
        <v>733</v>
      </c>
      <c r="F65" s="40"/>
      <c r="G65" s="69">
        <v>53.85</v>
      </c>
    </row>
    <row r="66" spans="1:7">
      <c r="A66" s="53" t="s">
        <v>864</v>
      </c>
      <c r="B66" s="53"/>
      <c r="C66" s="53"/>
      <c r="D66" s="53" t="s">
        <v>68</v>
      </c>
      <c r="E66" s="53" t="s">
        <v>733</v>
      </c>
      <c r="F66" s="41"/>
      <c r="G66" s="70">
        <v>53.75</v>
      </c>
    </row>
    <row r="67" spans="1:7">
      <c r="A67" s="53" t="s">
        <v>840</v>
      </c>
      <c r="B67" s="53"/>
      <c r="C67" s="53"/>
      <c r="D67" s="53" t="s">
        <v>68</v>
      </c>
      <c r="E67" s="53" t="s">
        <v>733</v>
      </c>
      <c r="F67" s="40"/>
      <c r="G67" s="69">
        <v>53.3</v>
      </c>
    </row>
    <row r="68" spans="1:7">
      <c r="A68" s="53" t="s">
        <v>842</v>
      </c>
      <c r="B68" s="53"/>
      <c r="C68" s="53"/>
      <c r="D68" s="53" t="s">
        <v>68</v>
      </c>
      <c r="E68" s="53" t="s">
        <v>733</v>
      </c>
      <c r="F68" s="40"/>
      <c r="G68" s="69">
        <v>53.3</v>
      </c>
    </row>
    <row r="69" spans="1:7">
      <c r="A69" s="53" t="s">
        <v>838</v>
      </c>
      <c r="B69" s="53"/>
      <c r="C69" s="53"/>
      <c r="D69" s="53" t="s">
        <v>68</v>
      </c>
      <c r="E69" s="53" t="s">
        <v>733</v>
      </c>
      <c r="F69" s="41"/>
      <c r="G69" s="70">
        <v>53.26</v>
      </c>
    </row>
    <row r="70" spans="1:7">
      <c r="A70" s="53" t="s">
        <v>833</v>
      </c>
      <c r="B70" s="53"/>
      <c r="C70" s="53"/>
      <c r="D70" s="53" t="s">
        <v>68</v>
      </c>
      <c r="E70" s="53" t="s">
        <v>733</v>
      </c>
      <c r="F70" s="41"/>
      <c r="G70" s="70">
        <v>51.92</v>
      </c>
    </row>
    <row r="71" spans="1:7">
      <c r="A71" s="53" t="s">
        <v>820</v>
      </c>
      <c r="B71" s="53"/>
      <c r="C71" s="53"/>
      <c r="D71" s="53" t="s">
        <v>68</v>
      </c>
      <c r="E71" s="53" t="s">
        <v>733</v>
      </c>
      <c r="F71" s="40"/>
      <c r="G71" s="69">
        <v>50.28</v>
      </c>
    </row>
    <row r="72" spans="1:7">
      <c r="A72" s="53" t="s">
        <v>822</v>
      </c>
      <c r="B72" s="53"/>
      <c r="C72" s="53"/>
      <c r="D72" s="53" t="s">
        <v>68</v>
      </c>
      <c r="E72" s="53" t="s">
        <v>733</v>
      </c>
      <c r="F72" s="41"/>
      <c r="G72" s="70">
        <v>50.28</v>
      </c>
    </row>
    <row r="73" spans="1:7">
      <c r="A73" s="53" t="s">
        <v>824</v>
      </c>
      <c r="B73" s="53"/>
      <c r="C73" s="53"/>
      <c r="D73" s="53" t="s">
        <v>68</v>
      </c>
      <c r="E73" s="53" t="s">
        <v>733</v>
      </c>
      <c r="F73" s="40"/>
      <c r="G73" s="69">
        <v>50.28</v>
      </c>
    </row>
    <row r="74" spans="1:7">
      <c r="A74" s="53" t="s">
        <v>786</v>
      </c>
      <c r="B74" s="53"/>
      <c r="C74" s="53"/>
      <c r="D74" s="61" t="s">
        <v>68</v>
      </c>
      <c r="E74" s="53" t="s">
        <v>733</v>
      </c>
      <c r="F74" s="41"/>
      <c r="G74" s="70">
        <v>50.26</v>
      </c>
    </row>
    <row r="75" spans="1:7">
      <c r="A75" s="53" t="s">
        <v>818</v>
      </c>
      <c r="B75" s="53"/>
      <c r="C75" s="53"/>
      <c r="D75" s="53" t="s">
        <v>68</v>
      </c>
      <c r="E75" s="53" t="s">
        <v>733</v>
      </c>
      <c r="F75" s="41"/>
      <c r="G75" s="70">
        <v>49.7</v>
      </c>
    </row>
    <row r="76" spans="1:7">
      <c r="A76" s="53" t="s">
        <v>836</v>
      </c>
      <c r="B76" s="53"/>
      <c r="C76" s="53"/>
      <c r="D76" s="54" t="s">
        <v>68</v>
      </c>
      <c r="E76" s="53" t="s">
        <v>733</v>
      </c>
      <c r="F76" s="40"/>
      <c r="G76" s="69">
        <v>39.76</v>
      </c>
    </row>
    <row r="77" spans="1:7">
      <c r="A77" s="53" t="s">
        <v>790</v>
      </c>
      <c r="B77" s="53"/>
      <c r="C77" s="53"/>
      <c r="D77" s="53" t="s">
        <v>68</v>
      </c>
      <c r="E77" s="53" t="s">
        <v>733</v>
      </c>
      <c r="F77" s="41"/>
      <c r="G77" s="70">
        <v>42.67</v>
      </c>
    </row>
    <row r="78" spans="1:7">
      <c r="A78" s="53" t="s">
        <v>1088</v>
      </c>
      <c r="B78" s="53"/>
      <c r="C78" s="53"/>
      <c r="D78" s="53" t="s">
        <v>68</v>
      </c>
      <c r="E78" s="53" t="s">
        <v>733</v>
      </c>
      <c r="F78" s="41"/>
      <c r="G78" s="70">
        <v>48.68</v>
      </c>
    </row>
    <row r="79" spans="1:7">
      <c r="A79" s="53" t="s">
        <v>830</v>
      </c>
      <c r="B79" s="53"/>
      <c r="C79" s="53"/>
      <c r="D79" s="53" t="s">
        <v>68</v>
      </c>
      <c r="E79" s="53" t="s">
        <v>733</v>
      </c>
      <c r="F79" s="41"/>
      <c r="G79" s="70">
        <v>42.94</v>
      </c>
    </row>
    <row r="80" spans="1:7">
      <c r="A80" s="53" t="s">
        <v>805</v>
      </c>
      <c r="B80" s="53"/>
      <c r="C80" s="53"/>
      <c r="D80" s="61" t="s">
        <v>68</v>
      </c>
      <c r="E80" s="53" t="s">
        <v>733</v>
      </c>
      <c r="F80" s="41"/>
      <c r="G80" s="70">
        <v>46.17</v>
      </c>
    </row>
    <row r="81" spans="1:7">
      <c r="A81" s="53" t="s">
        <v>1090</v>
      </c>
      <c r="B81" s="53"/>
      <c r="C81" s="53"/>
      <c r="D81" s="53" t="s">
        <v>68</v>
      </c>
      <c r="E81" s="53" t="s">
        <v>733</v>
      </c>
      <c r="F81" s="41"/>
      <c r="G81" s="70">
        <v>47.91</v>
      </c>
    </row>
    <row r="82" spans="1:7">
      <c r="A82" s="53" t="s">
        <v>812</v>
      </c>
      <c r="B82" s="53"/>
      <c r="C82" s="53"/>
      <c r="D82" s="61" t="s">
        <v>68</v>
      </c>
      <c r="E82" s="53" t="s">
        <v>733</v>
      </c>
      <c r="F82" s="41"/>
      <c r="G82" s="70">
        <v>51.69</v>
      </c>
    </row>
    <row r="83" spans="1:7">
      <c r="A83" s="53" t="s">
        <v>809</v>
      </c>
      <c r="B83" s="53"/>
      <c r="C83" s="53"/>
      <c r="D83" s="53" t="s">
        <v>68</v>
      </c>
      <c r="E83" s="53" t="s">
        <v>733</v>
      </c>
      <c r="F83" s="40"/>
      <c r="G83" s="69">
        <v>46.99</v>
      </c>
    </row>
    <row r="84" spans="1:7">
      <c r="A84" s="53" t="s">
        <v>826</v>
      </c>
      <c r="B84" s="53"/>
      <c r="C84" s="53"/>
      <c r="D84" s="53" t="s">
        <v>68</v>
      </c>
      <c r="E84" s="53" t="s">
        <v>733</v>
      </c>
      <c r="F84" s="40"/>
      <c r="G84" s="69">
        <v>37.590000000000003</v>
      </c>
    </row>
    <row r="85" spans="1:7">
      <c r="A85" s="53" t="s">
        <v>832</v>
      </c>
      <c r="B85" s="53"/>
      <c r="C85" s="53"/>
      <c r="D85" s="53" t="s">
        <v>68</v>
      </c>
      <c r="E85" s="53" t="s">
        <v>733</v>
      </c>
      <c r="F85" s="41"/>
      <c r="G85" s="70">
        <v>44.8</v>
      </c>
    </row>
    <row r="86" spans="1:7">
      <c r="A86" s="53" t="s">
        <v>795</v>
      </c>
      <c r="B86" s="53"/>
      <c r="C86" s="53"/>
      <c r="D86" s="53" t="s">
        <v>68</v>
      </c>
      <c r="E86" s="53" t="s">
        <v>733</v>
      </c>
      <c r="F86" s="41"/>
      <c r="G86" s="70">
        <v>44.76</v>
      </c>
    </row>
    <row r="87" spans="1:7">
      <c r="A87" s="53" t="s">
        <v>797</v>
      </c>
      <c r="B87" s="53"/>
      <c r="C87" s="53"/>
      <c r="D87" s="53" t="s">
        <v>68</v>
      </c>
      <c r="E87" s="53" t="s">
        <v>733</v>
      </c>
      <c r="F87" s="41"/>
      <c r="G87" s="70">
        <v>44.76</v>
      </c>
    </row>
    <row r="88" spans="1:7">
      <c r="A88" s="53" t="s">
        <v>799</v>
      </c>
      <c r="B88" s="53"/>
      <c r="C88" s="53"/>
      <c r="D88" s="53" t="s">
        <v>68</v>
      </c>
      <c r="E88" s="53" t="s">
        <v>733</v>
      </c>
      <c r="F88" s="41"/>
      <c r="G88" s="70">
        <v>44.76</v>
      </c>
    </row>
    <row r="89" spans="1:7">
      <c r="A89" s="53" t="s">
        <v>814</v>
      </c>
      <c r="B89" s="53"/>
      <c r="C89" s="53"/>
      <c r="D89" s="53" t="s">
        <v>68</v>
      </c>
      <c r="E89" s="53" t="s">
        <v>733</v>
      </c>
      <c r="F89" s="41"/>
      <c r="G89" s="70">
        <v>48.1</v>
      </c>
    </row>
    <row r="90" spans="1:7">
      <c r="A90" s="53" t="s">
        <v>793</v>
      </c>
      <c r="B90" s="53"/>
      <c r="C90" s="53"/>
      <c r="D90" s="53" t="s">
        <v>68</v>
      </c>
      <c r="E90" s="53" t="s">
        <v>733</v>
      </c>
      <c r="F90" s="40"/>
      <c r="G90" s="69">
        <v>44.66</v>
      </c>
    </row>
    <row r="91" spans="1:7">
      <c r="A91" s="53" t="s">
        <v>791</v>
      </c>
      <c r="B91" s="53"/>
      <c r="C91" s="53"/>
      <c r="D91" s="61" t="s">
        <v>68</v>
      </c>
      <c r="E91" s="53" t="s">
        <v>733</v>
      </c>
      <c r="F91" s="40"/>
      <c r="G91" s="69">
        <v>44.18</v>
      </c>
    </row>
    <row r="92" spans="1:7">
      <c r="A92" s="53" t="s">
        <v>1092</v>
      </c>
      <c r="B92" s="53"/>
      <c r="C92" s="53"/>
      <c r="D92" s="53" t="s">
        <v>68</v>
      </c>
      <c r="E92" s="53" t="s">
        <v>733</v>
      </c>
      <c r="F92" s="41"/>
      <c r="G92" s="70">
        <v>43.29</v>
      </c>
    </row>
    <row r="93" spans="1:7">
      <c r="A93" s="53" t="s">
        <v>801</v>
      </c>
      <c r="B93" s="53"/>
      <c r="C93" s="53"/>
      <c r="D93" s="53" t="s">
        <v>68</v>
      </c>
      <c r="E93" s="53" t="s">
        <v>733</v>
      </c>
      <c r="F93" s="41"/>
      <c r="G93" s="70">
        <v>40.28</v>
      </c>
    </row>
    <row r="94" spans="1:7">
      <c r="A94" s="53" t="s">
        <v>816</v>
      </c>
      <c r="B94" s="53"/>
      <c r="C94" s="53"/>
      <c r="D94" s="53" t="s">
        <v>68</v>
      </c>
      <c r="E94" s="53" t="s">
        <v>733</v>
      </c>
      <c r="F94" s="40"/>
      <c r="G94" s="69">
        <v>42.89</v>
      </c>
    </row>
    <row r="95" spans="1:7">
      <c r="A95" s="53" t="s">
        <v>803</v>
      </c>
      <c r="B95" s="53"/>
      <c r="C95" s="53"/>
      <c r="D95" s="53" t="s">
        <v>68</v>
      </c>
      <c r="E95" s="53" t="s">
        <v>733</v>
      </c>
      <c r="F95" s="41"/>
      <c r="G95" s="70">
        <v>40.28</v>
      </c>
    </row>
    <row r="96" spans="1:7">
      <c r="A96" s="53" t="s">
        <v>810</v>
      </c>
      <c r="B96" s="53"/>
      <c r="C96" s="53"/>
      <c r="D96" s="53" t="s">
        <v>68</v>
      </c>
      <c r="E96" s="53" t="s">
        <v>733</v>
      </c>
      <c r="F96" s="40"/>
      <c r="G96" s="69">
        <v>38.65</v>
      </c>
    </row>
    <row r="97" spans="1:7">
      <c r="A97" s="53" t="s">
        <v>1093</v>
      </c>
      <c r="B97" s="53"/>
      <c r="C97" s="53"/>
      <c r="D97" s="53" t="s">
        <v>68</v>
      </c>
      <c r="E97" s="53" t="s">
        <v>733</v>
      </c>
      <c r="F97" s="40"/>
      <c r="G97" s="69">
        <v>37.79</v>
      </c>
    </row>
    <row r="98" spans="1:7">
      <c r="A98" s="53" t="s">
        <v>784</v>
      </c>
      <c r="B98" s="53"/>
      <c r="C98" s="53"/>
      <c r="D98" s="61" t="s">
        <v>68</v>
      </c>
      <c r="E98" s="53" t="s">
        <v>733</v>
      </c>
      <c r="F98" s="41"/>
      <c r="G98" s="70">
        <v>44.18</v>
      </c>
    </row>
    <row r="99" spans="1:7">
      <c r="A99" s="53" t="s">
        <v>783</v>
      </c>
      <c r="B99" s="53"/>
      <c r="C99" s="53"/>
      <c r="D99" s="53" t="s">
        <v>68</v>
      </c>
      <c r="E99" s="53" t="s">
        <v>733</v>
      </c>
      <c r="F99" s="41"/>
      <c r="G99" s="70">
        <v>30.04</v>
      </c>
    </row>
    <row r="100" spans="1:7">
      <c r="A100" s="53" t="s">
        <v>780</v>
      </c>
      <c r="B100" s="53"/>
      <c r="C100" s="53"/>
      <c r="D100" s="61" t="s">
        <v>68</v>
      </c>
      <c r="E100" s="53" t="s">
        <v>733</v>
      </c>
      <c r="F100" s="41"/>
      <c r="G100" s="70">
        <v>34.79</v>
      </c>
    </row>
    <row r="101" spans="1:7">
      <c r="A101" s="53" t="s">
        <v>773</v>
      </c>
      <c r="B101" s="53"/>
      <c r="C101" s="53"/>
      <c r="D101" s="53" t="s">
        <v>68</v>
      </c>
      <c r="E101" s="53" t="s">
        <v>733</v>
      </c>
      <c r="F101" s="40"/>
      <c r="G101" s="69">
        <v>34.36</v>
      </c>
    </row>
    <row r="102" spans="1:7">
      <c r="A102" s="53" t="s">
        <v>778</v>
      </c>
      <c r="B102" s="53"/>
      <c r="C102" s="53"/>
      <c r="D102" s="53" t="s">
        <v>68</v>
      </c>
      <c r="E102" s="53" t="s">
        <v>733</v>
      </c>
      <c r="F102" s="41" t="s">
        <v>135</v>
      </c>
      <c r="G102" s="70">
        <v>32.47</v>
      </c>
    </row>
    <row r="103" spans="1:7">
      <c r="A103" s="53" t="s">
        <v>777</v>
      </c>
      <c r="B103" s="53"/>
      <c r="C103" s="53"/>
      <c r="D103" s="61" t="s">
        <v>68</v>
      </c>
      <c r="E103" s="53" t="s">
        <v>733</v>
      </c>
      <c r="F103" s="40"/>
      <c r="G103" s="69">
        <v>30.93</v>
      </c>
    </row>
    <row r="104" spans="1:7">
      <c r="A104" s="53" t="s">
        <v>1095</v>
      </c>
      <c r="B104" s="53"/>
      <c r="C104" s="53"/>
      <c r="D104" s="53" t="s">
        <v>68</v>
      </c>
      <c r="E104" s="53" t="s">
        <v>733</v>
      </c>
      <c r="F104" s="40"/>
      <c r="G104" s="69">
        <v>84.72</v>
      </c>
    </row>
    <row r="105" spans="1:7">
      <c r="A105" s="53" t="s">
        <v>1097</v>
      </c>
      <c r="B105" s="53"/>
      <c r="C105" s="53"/>
      <c r="D105" s="61" t="s">
        <v>68</v>
      </c>
      <c r="E105" s="53" t="s">
        <v>733</v>
      </c>
      <c r="F105" s="41"/>
      <c r="G105" s="70">
        <v>28.72</v>
      </c>
    </row>
    <row r="106" spans="1:7">
      <c r="A106" s="53" t="s">
        <v>771</v>
      </c>
      <c r="B106" s="53"/>
      <c r="C106" s="53"/>
      <c r="D106" s="62" t="s">
        <v>68</v>
      </c>
      <c r="E106" s="53" t="s">
        <v>733</v>
      </c>
      <c r="F106" s="40"/>
      <c r="G106" s="69">
        <v>28.29</v>
      </c>
    </row>
    <row r="107" spans="1:7">
      <c r="A107" s="53" t="s">
        <v>769</v>
      </c>
      <c r="B107" s="53"/>
      <c r="C107" s="53"/>
      <c r="D107" s="62" t="s">
        <v>68</v>
      </c>
      <c r="E107" s="53" t="s">
        <v>733</v>
      </c>
      <c r="F107" s="41"/>
      <c r="G107" s="70">
        <v>25.77</v>
      </c>
    </row>
    <row r="108" spans="1:7">
      <c r="A108" s="53" t="s">
        <v>1099</v>
      </c>
      <c r="B108" s="53"/>
      <c r="C108" s="53"/>
      <c r="D108" s="62" t="s">
        <v>68</v>
      </c>
      <c r="E108" s="53" t="s">
        <v>733</v>
      </c>
      <c r="F108" s="40"/>
      <c r="G108" s="69">
        <v>28.06</v>
      </c>
    </row>
    <row r="109" spans="1:7">
      <c r="A109" s="53" t="s">
        <v>765</v>
      </c>
      <c r="B109" s="53"/>
      <c r="C109" s="53"/>
      <c r="D109" s="62" t="s">
        <v>68</v>
      </c>
      <c r="E109" s="53" t="s">
        <v>733</v>
      </c>
      <c r="F109" s="40"/>
      <c r="G109" s="69">
        <v>24.43</v>
      </c>
    </row>
    <row r="110" spans="1:7">
      <c r="A110" s="53" t="s">
        <v>763</v>
      </c>
      <c r="B110" s="53"/>
      <c r="C110" s="53"/>
      <c r="D110" s="62" t="s">
        <v>68</v>
      </c>
      <c r="E110" s="53" t="s">
        <v>733</v>
      </c>
      <c r="F110" s="40"/>
      <c r="G110" s="69">
        <v>20.05</v>
      </c>
    </row>
    <row r="111" spans="1:7">
      <c r="A111" s="53" t="s">
        <v>759</v>
      </c>
      <c r="B111" s="53"/>
      <c r="C111" s="53"/>
      <c r="D111" s="62" t="s">
        <v>68</v>
      </c>
      <c r="E111" s="53" t="s">
        <v>733</v>
      </c>
      <c r="F111" s="40"/>
      <c r="G111" s="69">
        <v>17.899999999999999</v>
      </c>
    </row>
    <row r="112" spans="1:7">
      <c r="A112" s="53" t="s">
        <v>1101</v>
      </c>
      <c r="B112" s="53"/>
      <c r="C112" s="53"/>
      <c r="D112" s="62" t="s">
        <v>68</v>
      </c>
      <c r="E112" s="53" t="s">
        <v>733</v>
      </c>
      <c r="F112" s="41"/>
      <c r="G112" s="70">
        <v>17.18</v>
      </c>
    </row>
    <row r="113" spans="1:7">
      <c r="A113" s="53" t="s">
        <v>757</v>
      </c>
      <c r="B113" s="53"/>
      <c r="C113" s="53"/>
      <c r="D113" s="62" t="s">
        <v>68</v>
      </c>
      <c r="E113" s="53" t="s">
        <v>733</v>
      </c>
      <c r="F113" s="40"/>
      <c r="G113" s="69">
        <v>16.920000000000002</v>
      </c>
    </row>
    <row r="114" spans="1:7">
      <c r="A114" s="53" t="s">
        <v>775</v>
      </c>
      <c r="B114" s="53"/>
      <c r="C114" s="53"/>
      <c r="D114" s="61" t="s">
        <v>68</v>
      </c>
      <c r="E114" s="53" t="s">
        <v>733</v>
      </c>
      <c r="F114" s="40"/>
      <c r="G114" s="69">
        <v>16.57</v>
      </c>
    </row>
    <row r="115" spans="1:7">
      <c r="A115" s="53" t="s">
        <v>755</v>
      </c>
      <c r="B115" s="53"/>
      <c r="C115" s="53"/>
      <c r="D115" s="61" t="s">
        <v>68</v>
      </c>
      <c r="E115" s="53" t="s">
        <v>733</v>
      </c>
      <c r="F115" s="40"/>
      <c r="G115" s="69">
        <v>16.57</v>
      </c>
    </row>
    <row r="116" spans="1:7">
      <c r="A116" s="53" t="s">
        <v>753</v>
      </c>
      <c r="B116" s="53"/>
      <c r="C116" s="53"/>
      <c r="D116" s="62" t="s">
        <v>68</v>
      </c>
      <c r="E116" s="53" t="s">
        <v>733</v>
      </c>
      <c r="F116" s="40"/>
      <c r="G116" s="69">
        <v>14.6</v>
      </c>
    </row>
    <row r="117" spans="1:7">
      <c r="A117" s="53" t="s">
        <v>751</v>
      </c>
      <c r="B117" s="53"/>
      <c r="C117" s="53"/>
      <c r="D117" s="62" t="s">
        <v>68</v>
      </c>
      <c r="E117" s="53" t="s">
        <v>733</v>
      </c>
      <c r="F117" s="40"/>
      <c r="G117" s="69">
        <v>13.74</v>
      </c>
    </row>
    <row r="118" spans="1:7">
      <c r="A118" s="53" t="s">
        <v>750</v>
      </c>
      <c r="B118" s="53"/>
      <c r="C118" s="53"/>
      <c r="D118" s="62" t="s">
        <v>68</v>
      </c>
      <c r="E118" s="53" t="s">
        <v>733</v>
      </c>
      <c r="F118" s="41"/>
      <c r="G118" s="70">
        <v>16.03</v>
      </c>
    </row>
    <row r="119" spans="1:7">
      <c r="A119" s="53" t="s">
        <v>748</v>
      </c>
      <c r="B119" s="53"/>
      <c r="C119" s="53"/>
      <c r="D119" s="61" t="s">
        <v>68</v>
      </c>
      <c r="E119" s="53" t="s">
        <v>733</v>
      </c>
      <c r="F119" s="40"/>
      <c r="G119" s="69">
        <v>10.44</v>
      </c>
    </row>
    <row r="120" spans="1:7">
      <c r="A120" s="53" t="s">
        <v>746</v>
      </c>
      <c r="B120" s="53"/>
      <c r="C120" s="53"/>
      <c r="D120" s="61" t="s">
        <v>68</v>
      </c>
      <c r="E120" s="53" t="s">
        <v>733</v>
      </c>
      <c r="F120" s="40"/>
      <c r="G120" s="69">
        <v>8.9499999999999993</v>
      </c>
    </row>
    <row r="121" spans="1:7">
      <c r="A121" s="53" t="s">
        <v>745</v>
      </c>
      <c r="B121" s="53"/>
      <c r="C121" s="53"/>
      <c r="D121" s="62" t="s">
        <v>68</v>
      </c>
      <c r="E121" s="53" t="s">
        <v>733</v>
      </c>
      <c r="F121" s="41"/>
      <c r="G121" s="70">
        <v>7.52</v>
      </c>
    </row>
    <row r="122" spans="1:7">
      <c r="A122" s="53" t="s">
        <v>737</v>
      </c>
      <c r="B122" s="53"/>
      <c r="C122" s="53"/>
      <c r="D122" s="61" t="s">
        <v>68</v>
      </c>
      <c r="E122" s="53" t="s">
        <v>733</v>
      </c>
      <c r="F122" s="41"/>
      <c r="G122" s="70">
        <v>7.46</v>
      </c>
    </row>
    <row r="123" spans="1:7">
      <c r="A123" s="53" t="s">
        <v>743</v>
      </c>
      <c r="B123" s="53"/>
      <c r="C123" s="53"/>
      <c r="D123" s="61" t="s">
        <v>68</v>
      </c>
      <c r="E123" s="53" t="s">
        <v>733</v>
      </c>
      <c r="F123" s="41"/>
      <c r="G123" s="70">
        <v>7.46</v>
      </c>
    </row>
    <row r="124" spans="1:7">
      <c r="A124" s="53" t="s">
        <v>739</v>
      </c>
      <c r="B124" s="53"/>
      <c r="C124" s="53"/>
      <c r="D124" s="61" t="s">
        <v>68</v>
      </c>
      <c r="E124" s="53" t="s">
        <v>733</v>
      </c>
      <c r="F124" s="40"/>
      <c r="G124" s="69">
        <v>5.96</v>
      </c>
    </row>
    <row r="125" spans="1:7">
      <c r="A125" s="53" t="s">
        <v>741</v>
      </c>
      <c r="B125" s="53"/>
      <c r="C125" s="53"/>
      <c r="D125" s="61" t="s">
        <v>68</v>
      </c>
      <c r="E125" s="53" t="s">
        <v>733</v>
      </c>
      <c r="F125" s="40"/>
      <c r="G125" s="69">
        <v>5.96</v>
      </c>
    </row>
    <row r="126" spans="1:7">
      <c r="A126" s="53" t="s">
        <v>735</v>
      </c>
      <c r="B126" s="53"/>
      <c r="C126" s="53"/>
      <c r="D126" s="61" t="s">
        <v>68</v>
      </c>
      <c r="E126" s="53" t="s">
        <v>733</v>
      </c>
      <c r="F126" s="40"/>
      <c r="G126" s="69">
        <v>4.47</v>
      </c>
    </row>
    <row r="127" spans="1:7">
      <c r="A127" s="53" t="s">
        <v>732</v>
      </c>
      <c r="B127" s="53"/>
      <c r="C127" s="53"/>
      <c r="D127" s="62" t="s">
        <v>68</v>
      </c>
      <c r="E127" s="53" t="s">
        <v>733</v>
      </c>
      <c r="F127" s="40"/>
      <c r="G127" s="69">
        <v>3.44</v>
      </c>
    </row>
  </sheetData>
  <sheetProtection sheet="1" objects="1" scenarios="1"/>
  <conditionalFormatting sqref="G3:G127">
    <cfRule type="expression" dxfId="76" priority="79">
      <formula>AND(G3&lt;#REF!, #REF!&gt;0)</formula>
    </cfRule>
    <cfRule type="expression" dxfId="75" priority="80">
      <formula>AND(G3&gt;#REF!, #REF!&gt;0)</formula>
    </cfRule>
  </conditionalFormatting>
  <hyperlinks>
    <hyperlink ref="A3" r:id="rId1" xr:uid="{4CBC7CDA-99C2-42F5-A3F3-832F8288574D}"/>
    <hyperlink ref="A5" r:id="rId2" xr:uid="{24D29794-8693-4AD8-B264-850FF5D1C2B7}"/>
    <hyperlink ref="A18" r:id="rId3" xr:uid="{BC65532D-DBFA-4848-8872-5C96A6A108B5}"/>
    <hyperlink ref="A57" r:id="rId4" xr:uid="{E271E34B-C2C0-46D3-B0FC-4179C20C2E0C}"/>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1842</v>
      </c>
      <c r="B2" t="s">
        <v>6</v>
      </c>
      <c r="C2" t="s">
        <v>1843</v>
      </c>
      <c r="D2" t="s">
        <v>11</v>
      </c>
      <c r="E2" t="s">
        <v>1428</v>
      </c>
    </row>
    <row r="3" spans="1:5" hidden="1">
      <c r="A3" s="50" t="s">
        <v>1051</v>
      </c>
      <c r="B3" s="50"/>
      <c r="C3" s="50" t="s">
        <v>68</v>
      </c>
      <c r="D3" s="50" t="s">
        <v>733</v>
      </c>
      <c r="E3" s="104">
        <v>365.11</v>
      </c>
    </row>
    <row r="4" spans="1:5" hidden="1">
      <c r="A4" s="50" t="s">
        <v>1049</v>
      </c>
      <c r="B4" s="50"/>
      <c r="C4" s="51" t="s">
        <v>68</v>
      </c>
      <c r="D4" s="50" t="s">
        <v>733</v>
      </c>
      <c r="E4" s="105">
        <v>362.55</v>
      </c>
    </row>
    <row r="5" spans="1:5" hidden="1">
      <c r="A5" s="50" t="s">
        <v>1047</v>
      </c>
      <c r="B5" s="50"/>
      <c r="C5" s="51" t="s">
        <v>68</v>
      </c>
      <c r="D5" s="50" t="s">
        <v>733</v>
      </c>
      <c r="E5" s="104">
        <v>353.23</v>
      </c>
    </row>
    <row r="6" spans="1:5" hidden="1">
      <c r="A6" s="50" t="s">
        <v>1045</v>
      </c>
      <c r="B6" s="50"/>
      <c r="C6" s="51" t="s">
        <v>68</v>
      </c>
      <c r="D6" s="50" t="s">
        <v>733</v>
      </c>
      <c r="E6" s="104">
        <v>329.03</v>
      </c>
    </row>
    <row r="7" spans="1:5" hidden="1">
      <c r="A7" s="50" t="s">
        <v>1038</v>
      </c>
      <c r="B7" s="50"/>
      <c r="C7" s="50" t="s">
        <v>68</v>
      </c>
      <c r="D7" s="50" t="s">
        <v>733</v>
      </c>
      <c r="E7" s="104">
        <v>321.5</v>
      </c>
    </row>
    <row r="8" spans="1:5" hidden="1">
      <c r="A8" s="50" t="s">
        <v>1041</v>
      </c>
      <c r="B8" s="50"/>
      <c r="C8" s="50" t="s">
        <v>68</v>
      </c>
      <c r="D8" s="50" t="s">
        <v>733</v>
      </c>
      <c r="E8" s="105">
        <v>313.45999999999998</v>
      </c>
    </row>
    <row r="9" spans="1:5" hidden="1">
      <c r="A9" s="50" t="s">
        <v>1039</v>
      </c>
      <c r="B9" s="50"/>
      <c r="C9" s="52" t="s">
        <v>68</v>
      </c>
      <c r="D9" s="50" t="s">
        <v>733</v>
      </c>
      <c r="E9" s="105">
        <v>308</v>
      </c>
    </row>
    <row r="10" spans="1:5" hidden="1">
      <c r="A10" s="50" t="s">
        <v>1024</v>
      </c>
      <c r="B10" s="50"/>
      <c r="C10" s="50" t="s">
        <v>68</v>
      </c>
      <c r="D10" s="50" t="s">
        <v>733</v>
      </c>
      <c r="E10" s="104">
        <v>283.69</v>
      </c>
    </row>
    <row r="11" spans="1:5" hidden="1">
      <c r="A11" s="50" t="s">
        <v>1020</v>
      </c>
      <c r="B11" s="50"/>
      <c r="C11" s="50" t="s">
        <v>68</v>
      </c>
      <c r="D11" s="50" t="s">
        <v>733</v>
      </c>
      <c r="E11" s="104">
        <v>276.61</v>
      </c>
    </row>
    <row r="12" spans="1:5" hidden="1">
      <c r="A12" s="50" t="s">
        <v>1032</v>
      </c>
      <c r="B12" s="50"/>
      <c r="C12" s="51" t="s">
        <v>68</v>
      </c>
      <c r="D12" s="50" t="s">
        <v>733</v>
      </c>
      <c r="E12" s="104">
        <v>270.2</v>
      </c>
    </row>
    <row r="13" spans="1:5">
      <c r="A13" s="114" t="s">
        <v>190</v>
      </c>
      <c r="B13" s="114"/>
      <c r="C13" s="115" t="s">
        <v>68</v>
      </c>
      <c r="D13" s="114" t="s">
        <v>69</v>
      </c>
      <c r="E13" s="116">
        <v>267.82</v>
      </c>
    </row>
    <row r="14" spans="1:5">
      <c r="A14" s="114" t="s">
        <v>182</v>
      </c>
      <c r="B14" s="114"/>
      <c r="C14" s="115" t="s">
        <v>68</v>
      </c>
      <c r="D14" s="114" t="s">
        <v>69</v>
      </c>
      <c r="E14" s="116">
        <v>264.33</v>
      </c>
    </row>
    <row r="15" spans="1:5" hidden="1">
      <c r="A15" s="50" t="s">
        <v>1026</v>
      </c>
      <c r="B15" s="50"/>
      <c r="C15" s="51" t="s">
        <v>68</v>
      </c>
      <c r="D15" s="50" t="s">
        <v>733</v>
      </c>
      <c r="E15" s="104">
        <v>238.68</v>
      </c>
    </row>
    <row r="16" spans="1:5">
      <c r="A16" s="114" t="s">
        <v>186</v>
      </c>
      <c r="B16" s="114"/>
      <c r="C16" s="115" t="s">
        <v>68</v>
      </c>
      <c r="D16" s="114" t="s">
        <v>69</v>
      </c>
      <c r="E16" s="116">
        <v>230.72</v>
      </c>
    </row>
    <row r="17" spans="1:5" hidden="1">
      <c r="A17" s="50" t="s">
        <v>1015</v>
      </c>
      <c r="B17" s="50"/>
      <c r="C17" s="51" t="s">
        <v>68</v>
      </c>
      <c r="D17" s="50" t="s">
        <v>733</v>
      </c>
      <c r="E17" s="104">
        <v>228.02</v>
      </c>
    </row>
    <row r="18" spans="1:5">
      <c r="A18" s="114" t="s">
        <v>161</v>
      </c>
      <c r="B18" s="114"/>
      <c r="C18" s="115" t="s">
        <v>68</v>
      </c>
      <c r="D18" s="114" t="s">
        <v>69</v>
      </c>
      <c r="E18" s="116">
        <v>219.87</v>
      </c>
    </row>
    <row r="19" spans="1:5" hidden="1">
      <c r="A19" s="50" t="s">
        <v>1003</v>
      </c>
      <c r="B19" s="50"/>
      <c r="C19" s="51" t="s">
        <v>68</v>
      </c>
      <c r="D19" s="50" t="s">
        <v>733</v>
      </c>
      <c r="E19" s="104">
        <v>214.91</v>
      </c>
    </row>
    <row r="20" spans="1:5" hidden="1">
      <c r="A20" s="50" t="s">
        <v>1013</v>
      </c>
      <c r="B20" s="50"/>
      <c r="C20" s="50" t="s">
        <v>68</v>
      </c>
      <c r="D20" s="50" t="s">
        <v>733</v>
      </c>
      <c r="E20" s="105">
        <v>208.54</v>
      </c>
    </row>
    <row r="21" spans="1:5" hidden="1">
      <c r="A21" s="50" t="s">
        <v>1017</v>
      </c>
      <c r="B21" s="50"/>
      <c r="C21" s="51" t="s">
        <v>68</v>
      </c>
      <c r="D21" s="50" t="s">
        <v>733</v>
      </c>
      <c r="E21" s="104">
        <v>208.06</v>
      </c>
    </row>
    <row r="22" spans="1:5" hidden="1">
      <c r="A22" s="50" t="s">
        <v>1022</v>
      </c>
      <c r="B22" s="50"/>
      <c r="C22" s="50" t="s">
        <v>68</v>
      </c>
      <c r="D22" s="50" t="s">
        <v>733</v>
      </c>
      <c r="E22" s="104">
        <v>199.51</v>
      </c>
    </row>
    <row r="23" spans="1:5">
      <c r="A23" s="114" t="s">
        <v>157</v>
      </c>
      <c r="B23" s="114"/>
      <c r="C23" s="117" t="s">
        <v>68</v>
      </c>
      <c r="D23" s="114" t="s">
        <v>69</v>
      </c>
      <c r="E23" s="116">
        <v>192.08</v>
      </c>
    </row>
    <row r="24" spans="1:5" hidden="1">
      <c r="A24" s="50" t="s">
        <v>1005</v>
      </c>
      <c r="B24" s="50"/>
      <c r="C24" s="51" t="s">
        <v>68</v>
      </c>
      <c r="D24" s="50" t="s">
        <v>733</v>
      </c>
      <c r="E24" s="105">
        <v>186.23</v>
      </c>
    </row>
    <row r="25" spans="1:5" hidden="1">
      <c r="A25" s="50" t="s">
        <v>995</v>
      </c>
      <c r="B25" s="50"/>
      <c r="C25" s="51" t="s">
        <v>68</v>
      </c>
      <c r="D25" s="50" t="s">
        <v>733</v>
      </c>
      <c r="E25" s="105">
        <v>185.26</v>
      </c>
    </row>
    <row r="26" spans="1:5" hidden="1">
      <c r="A26" s="50" t="s">
        <v>1030</v>
      </c>
      <c r="B26" s="50"/>
      <c r="C26" s="50" t="s">
        <v>68</v>
      </c>
      <c r="D26" s="50" t="s">
        <v>733</v>
      </c>
      <c r="E26" s="105">
        <v>183.34</v>
      </c>
    </row>
    <row r="27" spans="1:5" hidden="1">
      <c r="A27" s="50" t="s">
        <v>987</v>
      </c>
      <c r="B27" s="50"/>
      <c r="C27" s="51" t="s">
        <v>68</v>
      </c>
      <c r="D27" s="50" t="s">
        <v>733</v>
      </c>
      <c r="E27" s="105">
        <v>177.17</v>
      </c>
    </row>
    <row r="28" spans="1:5" hidden="1">
      <c r="A28" s="50" t="s">
        <v>1081</v>
      </c>
      <c r="B28" s="50"/>
      <c r="C28" s="50" t="s">
        <v>68</v>
      </c>
      <c r="D28" s="50" t="s">
        <v>733</v>
      </c>
      <c r="E28" s="105">
        <v>174.15</v>
      </c>
    </row>
    <row r="29" spans="1:5" hidden="1">
      <c r="A29" s="50" t="s">
        <v>1009</v>
      </c>
      <c r="B29" s="50"/>
      <c r="C29" s="50" t="s">
        <v>68</v>
      </c>
      <c r="D29" s="50" t="s">
        <v>733</v>
      </c>
      <c r="E29" s="104">
        <v>173.76</v>
      </c>
    </row>
    <row r="30" spans="1:5" hidden="1">
      <c r="A30" s="50" t="s">
        <v>975</v>
      </c>
      <c r="B30" s="50"/>
      <c r="C30" s="50" t="s">
        <v>68</v>
      </c>
      <c r="D30" s="50" t="s">
        <v>733</v>
      </c>
      <c r="E30" s="105">
        <v>166.34</v>
      </c>
    </row>
    <row r="31" spans="1:5" hidden="1">
      <c r="A31" s="50" t="s">
        <v>985</v>
      </c>
      <c r="B31" s="50"/>
      <c r="C31" s="50" t="s">
        <v>68</v>
      </c>
      <c r="D31" s="50" t="s">
        <v>733</v>
      </c>
      <c r="E31" s="104">
        <v>165.51</v>
      </c>
    </row>
    <row r="32" spans="1:5" hidden="1">
      <c r="A32" s="50" t="s">
        <v>983</v>
      </c>
      <c r="B32" s="50"/>
      <c r="C32" s="50" t="s">
        <v>68</v>
      </c>
      <c r="D32" s="50" t="s">
        <v>733</v>
      </c>
      <c r="E32" s="104">
        <v>165</v>
      </c>
    </row>
    <row r="33" spans="1:5" hidden="1">
      <c r="A33" s="50" t="s">
        <v>964</v>
      </c>
      <c r="B33" s="50"/>
      <c r="C33" s="51" t="s">
        <v>68</v>
      </c>
      <c r="D33" s="50" t="s">
        <v>733</v>
      </c>
      <c r="E33" s="104">
        <v>160.75</v>
      </c>
    </row>
    <row r="34" spans="1:5">
      <c r="A34" s="114" t="s">
        <v>144</v>
      </c>
      <c r="B34" s="114"/>
      <c r="C34" s="115" t="s">
        <v>68</v>
      </c>
      <c r="D34" s="114" t="s">
        <v>69</v>
      </c>
      <c r="E34" s="116">
        <v>160.61000000000001</v>
      </c>
    </row>
    <row r="35" spans="1:5" hidden="1">
      <c r="A35" s="50" t="s">
        <v>998</v>
      </c>
      <c r="B35" s="50"/>
      <c r="C35" s="50" t="s">
        <v>68</v>
      </c>
      <c r="D35" s="50" t="s">
        <v>733</v>
      </c>
      <c r="E35" s="104">
        <v>160.16</v>
      </c>
    </row>
    <row r="36" spans="1:5" hidden="1">
      <c r="A36" s="50" t="s">
        <v>981</v>
      </c>
      <c r="B36" s="50"/>
      <c r="C36" s="50" t="s">
        <v>68</v>
      </c>
      <c r="D36" s="50" t="s">
        <v>733</v>
      </c>
      <c r="E36" s="105">
        <v>159.61000000000001</v>
      </c>
    </row>
    <row r="37" spans="1:5" hidden="1">
      <c r="A37" s="50" t="s">
        <v>979</v>
      </c>
      <c r="B37" s="50"/>
      <c r="C37" s="50" t="s">
        <v>68</v>
      </c>
      <c r="D37" s="50" t="s">
        <v>733</v>
      </c>
      <c r="E37" s="105">
        <v>159.25</v>
      </c>
    </row>
    <row r="38" spans="1:5">
      <c r="A38" s="118" t="s">
        <v>435</v>
      </c>
      <c r="B38" s="114"/>
      <c r="C38" s="115" t="s">
        <v>68</v>
      </c>
      <c r="D38" s="114" t="s">
        <v>69</v>
      </c>
      <c r="E38" s="116">
        <v>158</v>
      </c>
    </row>
    <row r="39" spans="1:5" hidden="1">
      <c r="A39" s="50" t="s">
        <v>991</v>
      </c>
      <c r="B39" s="50"/>
      <c r="C39" s="50" t="s">
        <v>68</v>
      </c>
      <c r="D39" s="50" t="s">
        <v>733</v>
      </c>
      <c r="E39" s="105">
        <v>156.59</v>
      </c>
    </row>
    <row r="40" spans="1:5" hidden="1">
      <c r="A40" s="50" t="s">
        <v>552</v>
      </c>
      <c r="B40" s="50"/>
      <c r="C40" s="51" t="s">
        <v>68</v>
      </c>
      <c r="D40" s="50" t="s">
        <v>733</v>
      </c>
      <c r="E40" s="105">
        <v>151.06</v>
      </c>
    </row>
    <row r="41" spans="1:5" hidden="1">
      <c r="A41" s="50" t="s">
        <v>972</v>
      </c>
      <c r="B41" s="50"/>
      <c r="C41" s="51" t="s">
        <v>68</v>
      </c>
      <c r="D41" s="50" t="s">
        <v>733</v>
      </c>
      <c r="E41" s="104">
        <v>148.93</v>
      </c>
    </row>
    <row r="42" spans="1:5" hidden="1">
      <c r="A42" s="50" t="s">
        <v>960</v>
      </c>
      <c r="B42" s="50"/>
      <c r="C42" s="51" t="s">
        <v>68</v>
      </c>
      <c r="D42" s="50" t="s">
        <v>733</v>
      </c>
      <c r="E42" s="104">
        <v>147.63999999999999</v>
      </c>
    </row>
    <row r="43" spans="1:5" hidden="1">
      <c r="A43" s="50" t="s">
        <v>968</v>
      </c>
      <c r="B43" s="50"/>
      <c r="C43" s="51" t="s">
        <v>68</v>
      </c>
      <c r="D43" s="50" t="s">
        <v>733</v>
      </c>
      <c r="E43" s="104">
        <v>145.59</v>
      </c>
    </row>
    <row r="44" spans="1:5" hidden="1">
      <c r="A44" s="50" t="s">
        <v>966</v>
      </c>
      <c r="B44" s="50"/>
      <c r="C44" s="51" t="s">
        <v>68</v>
      </c>
      <c r="D44" s="50" t="s">
        <v>733</v>
      </c>
      <c r="E44" s="105">
        <v>145.08000000000001</v>
      </c>
    </row>
    <row r="45" spans="1:5" hidden="1">
      <c r="A45" s="114" t="s">
        <v>1141</v>
      </c>
      <c r="B45" s="114"/>
      <c r="C45" s="115" t="s">
        <v>68</v>
      </c>
      <c r="D45" s="114" t="s">
        <v>1106</v>
      </c>
      <c r="E45" s="116">
        <v>144.79</v>
      </c>
    </row>
    <row r="46" spans="1:5" hidden="1">
      <c r="A46" s="50" t="s">
        <v>977</v>
      </c>
      <c r="B46" s="50"/>
      <c r="C46" s="50" t="s">
        <v>68</v>
      </c>
      <c r="D46" s="50" t="s">
        <v>733</v>
      </c>
      <c r="E46" s="105">
        <v>143.4</v>
      </c>
    </row>
    <row r="47" spans="1:5" hidden="1">
      <c r="A47" s="50" t="s">
        <v>1083</v>
      </c>
      <c r="B47" s="50"/>
      <c r="C47" s="51" t="s">
        <v>68</v>
      </c>
      <c r="D47" s="50" t="s">
        <v>733</v>
      </c>
      <c r="E47" s="105">
        <v>142.51</v>
      </c>
    </row>
    <row r="48" spans="1:5" hidden="1">
      <c r="A48" s="50" t="s">
        <v>962</v>
      </c>
      <c r="B48" s="50"/>
      <c r="C48" s="50" t="s">
        <v>68</v>
      </c>
      <c r="D48" s="50" t="s">
        <v>733</v>
      </c>
      <c r="E48" s="104">
        <v>132.82</v>
      </c>
    </row>
    <row r="49" spans="1:5" hidden="1">
      <c r="A49" s="50" t="s">
        <v>947</v>
      </c>
      <c r="B49" s="50"/>
      <c r="C49" s="50" t="s">
        <v>68</v>
      </c>
      <c r="D49" s="50" t="s">
        <v>733</v>
      </c>
      <c r="E49" s="104">
        <v>130.49</v>
      </c>
    </row>
    <row r="50" spans="1:5" hidden="1">
      <c r="A50" s="50" t="s">
        <v>993</v>
      </c>
      <c r="B50" s="50"/>
      <c r="C50" s="51" t="s">
        <v>68</v>
      </c>
      <c r="D50" s="50" t="s">
        <v>733</v>
      </c>
      <c r="E50" s="105">
        <v>128.83000000000001</v>
      </c>
    </row>
    <row r="51" spans="1:5" hidden="1">
      <c r="A51" s="50" t="s">
        <v>958</v>
      </c>
      <c r="B51" s="50"/>
      <c r="C51" s="50" t="s">
        <v>68</v>
      </c>
      <c r="D51" s="50" t="s">
        <v>733</v>
      </c>
      <c r="E51" s="104">
        <v>126.83</v>
      </c>
    </row>
    <row r="52" spans="1:5" hidden="1">
      <c r="A52" s="50" t="s">
        <v>954</v>
      </c>
      <c r="B52" s="50"/>
      <c r="C52" s="50" t="s">
        <v>68</v>
      </c>
      <c r="D52" s="50" t="s">
        <v>733</v>
      </c>
      <c r="E52" s="104">
        <v>125.51</v>
      </c>
    </row>
    <row r="53" spans="1:5">
      <c r="A53" s="114" t="s">
        <v>129</v>
      </c>
      <c r="B53" s="114"/>
      <c r="C53" s="117" t="s">
        <v>68</v>
      </c>
      <c r="D53" s="114" t="s">
        <v>69</v>
      </c>
      <c r="E53" s="116">
        <v>124.71</v>
      </c>
    </row>
    <row r="54" spans="1:5" hidden="1">
      <c r="A54" s="50" t="s">
        <v>956</v>
      </c>
      <c r="B54" s="50"/>
      <c r="C54" s="50" t="s">
        <v>68</v>
      </c>
      <c r="D54" s="50" t="s">
        <v>733</v>
      </c>
      <c r="E54" s="104">
        <v>122.59</v>
      </c>
    </row>
    <row r="55" spans="1:5" hidden="1">
      <c r="A55" s="50" t="s">
        <v>952</v>
      </c>
      <c r="B55" s="50"/>
      <c r="C55" s="50" t="s">
        <v>68</v>
      </c>
      <c r="D55" s="50" t="s">
        <v>733</v>
      </c>
      <c r="E55" s="105">
        <v>121.16</v>
      </c>
    </row>
    <row r="56" spans="1:5" hidden="1">
      <c r="A56" s="50" t="s">
        <v>945</v>
      </c>
      <c r="B56" s="50"/>
      <c r="C56" s="50" t="s">
        <v>68</v>
      </c>
      <c r="D56" s="50" t="s">
        <v>733</v>
      </c>
      <c r="E56" s="105">
        <v>118.2</v>
      </c>
    </row>
    <row r="57" spans="1:5" hidden="1">
      <c r="A57" s="114" t="s">
        <v>1105</v>
      </c>
      <c r="B57" s="114"/>
      <c r="C57" s="115" t="s">
        <v>68</v>
      </c>
      <c r="D57" s="114" t="s">
        <v>1106</v>
      </c>
      <c r="E57" s="116">
        <v>116.24</v>
      </c>
    </row>
    <row r="58" spans="1:5" hidden="1">
      <c r="A58" s="50" t="s">
        <v>949</v>
      </c>
      <c r="B58" s="50"/>
      <c r="C58" s="51" t="s">
        <v>68</v>
      </c>
      <c r="D58" s="50" t="s">
        <v>733</v>
      </c>
      <c r="E58" s="105">
        <v>111.16</v>
      </c>
    </row>
    <row r="59" spans="1:5" hidden="1">
      <c r="A59" s="50" t="s">
        <v>939</v>
      </c>
      <c r="B59" s="50"/>
      <c r="C59" s="50" t="s">
        <v>68</v>
      </c>
      <c r="D59" s="50" t="s">
        <v>733</v>
      </c>
      <c r="E59" s="104">
        <v>108.1</v>
      </c>
    </row>
    <row r="60" spans="1:5" hidden="1">
      <c r="A60" s="50" t="s">
        <v>928</v>
      </c>
      <c r="B60" s="50"/>
      <c r="C60" s="50" t="s">
        <v>68</v>
      </c>
      <c r="D60" s="50" t="s">
        <v>733</v>
      </c>
      <c r="E60" s="105">
        <v>107.28</v>
      </c>
    </row>
    <row r="61" spans="1:5" hidden="1">
      <c r="A61" s="50" t="s">
        <v>943</v>
      </c>
      <c r="B61" s="50"/>
      <c r="C61" s="50" t="s">
        <v>68</v>
      </c>
      <c r="D61" s="50" t="s">
        <v>733</v>
      </c>
      <c r="E61" s="105">
        <v>106.77</v>
      </c>
    </row>
    <row r="62" spans="1:5" hidden="1">
      <c r="A62" s="50" t="s">
        <v>941</v>
      </c>
      <c r="B62" s="50"/>
      <c r="C62" s="51" t="s">
        <v>68</v>
      </c>
      <c r="D62" s="50" t="s">
        <v>733</v>
      </c>
      <c r="E62" s="104">
        <v>105.8</v>
      </c>
    </row>
    <row r="63" spans="1:5" hidden="1">
      <c r="A63" s="110" t="s">
        <v>932</v>
      </c>
      <c r="B63" s="111"/>
      <c r="C63" s="111" t="s">
        <v>68</v>
      </c>
      <c r="D63" s="111" t="s">
        <v>733</v>
      </c>
      <c r="E63" s="113">
        <v>103.43</v>
      </c>
    </row>
    <row r="64" spans="1:5" hidden="1">
      <c r="A64" s="110" t="s">
        <v>448</v>
      </c>
      <c r="B64" s="111"/>
      <c r="C64" s="112" t="s">
        <v>68</v>
      </c>
      <c r="D64" s="111" t="s">
        <v>733</v>
      </c>
      <c r="E64" s="113">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74" priority="83">
      <formula>AND(E3&lt;#REF!, #REF!&gt;0,NOT(ISBLANK(#REF!)))</formula>
    </cfRule>
    <cfRule type="expression" dxfId="73" priority="84">
      <formula>AND(E3&gt;#REF!, #REF!&gt;0)</formula>
    </cfRule>
  </conditionalFormatting>
  <conditionalFormatting sqref="E65">
    <cfRule type="containsBlanks" dxfId="72" priority="5">
      <formula>LEN(TRIM(E65))=0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O21"/>
  <sheetViews>
    <sheetView workbookViewId="0">
      <selection activeCell="K18" sqref="K18:M20"/>
    </sheetView>
  </sheetViews>
  <sheetFormatPr defaultColWidth="8.85546875" defaultRowHeight="15"/>
  <cols>
    <col min="1" max="1" width="19" customWidth="1"/>
    <col min="2" max="7" width="12" customWidth="1"/>
    <col min="8" max="8" width="17.140625" customWidth="1"/>
    <col min="10" max="10" width="12.28515625" customWidth="1"/>
    <col min="12" max="12" width="10.85546875" customWidth="1"/>
    <col min="14" max="14" width="11.7109375" customWidth="1"/>
    <col min="15" max="15" width="14.28515625" customWidth="1"/>
  </cols>
  <sheetData>
    <row r="1" spans="1:15" ht="18.399999999999999">
      <c r="A1" s="433"/>
      <c r="B1" s="433" t="s">
        <v>1844</v>
      </c>
      <c r="C1" s="433"/>
      <c r="D1" s="433"/>
      <c r="E1" s="433"/>
      <c r="F1" s="433"/>
      <c r="G1" s="433"/>
      <c r="H1" s="433"/>
      <c r="K1" t="s">
        <v>1845</v>
      </c>
    </row>
    <row r="2" spans="1:15">
      <c r="A2" s="434" t="s">
        <v>11</v>
      </c>
      <c r="B2" s="434" t="s">
        <v>14</v>
      </c>
      <c r="C2" s="434" t="s">
        <v>15</v>
      </c>
      <c r="D2" s="434" t="s">
        <v>16</v>
      </c>
      <c r="E2" s="434" t="s">
        <v>17</v>
      </c>
      <c r="F2" s="434" t="s">
        <v>18</v>
      </c>
      <c r="G2" s="434" t="s">
        <v>19</v>
      </c>
      <c r="H2" s="434"/>
      <c r="K2" s="444" t="s">
        <v>1332</v>
      </c>
      <c r="L2" s="67" t="s">
        <v>1333</v>
      </c>
      <c r="M2" s="67" t="s">
        <v>1334</v>
      </c>
      <c r="N2" s="67" t="s">
        <v>1335</v>
      </c>
      <c r="O2" s="445" t="s">
        <v>1336</v>
      </c>
    </row>
    <row r="3" spans="1:15">
      <c r="A3" s="55" t="s">
        <v>456</v>
      </c>
      <c r="B3" s="43"/>
      <c r="C3" s="43"/>
      <c r="D3" s="43"/>
      <c r="E3" s="43"/>
      <c r="F3" s="43"/>
      <c r="G3" s="43"/>
      <c r="H3" s="43"/>
      <c r="K3" s="446" t="s">
        <v>1337</v>
      </c>
      <c r="L3" s="43">
        <f>SUM(B12:D12)</f>
        <v>812.18130311614732</v>
      </c>
      <c r="M3" t="s">
        <v>1342</v>
      </c>
      <c r="N3" s="455">
        <f>AVERAGE(B15:D15)</f>
        <v>9.9404014270122951E-3</v>
      </c>
      <c r="O3" s="456" t="s">
        <v>1846</v>
      </c>
    </row>
    <row r="4" spans="1:15">
      <c r="A4" t="s">
        <v>1847</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1103.7257142857143</v>
      </c>
      <c r="F4" s="43">
        <f>SUMIFS('Ventas 2026'!$N:$N,'Ventas 2026'!$G:$G,"Up Selling",'Ventas 2026'!$F:$F,$A3,'Ventas 2026'!$E:$E,F2)</f>
        <v>356.85714285714289</v>
      </c>
      <c r="G4" s="43">
        <f>SUMIFS('Ventas 2026'!$N:$N,'Ventas 2026'!$G:$G,"Up Selling",'Ventas 2026'!$F:$F,$A3,'Ventas 2026'!$E:$E,G2)</f>
        <v>26.857142857142858</v>
      </c>
      <c r="H4" s="43"/>
      <c r="K4" s="448" t="s">
        <v>1341</v>
      </c>
      <c r="L4" s="449">
        <f>SUM(B18:D18)</f>
        <v>1190.4036827195469</v>
      </c>
      <c r="M4" s="450" t="s">
        <v>1848</v>
      </c>
      <c r="N4" s="459">
        <f>AVERAGE(B21:D21)</f>
        <v>3.1255795345386957E-3</v>
      </c>
      <c r="O4" s="457" t="s">
        <v>1849</v>
      </c>
    </row>
    <row r="5" spans="1:15">
      <c r="A5" t="s">
        <v>1850</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182.85714285714286</v>
      </c>
      <c r="F5" s="43">
        <f>SUMIFS('Ventas 2026'!$N:$N,'Ventas 2026'!$G:$G,"Cross selling",'Ventas 2026'!$F:$F,$A3,'Ventas 2026'!$E:$E,F2)</f>
        <v>5.7142857142857144</v>
      </c>
      <c r="G5" s="43">
        <f>SUMIFS('Ventas 2026'!$N:$N,'Ventas 2026'!$G:$G,"Cross selling",'Ventas 2026'!$F:$F,$A3,'Ventas 2026'!$E:$E,G2)</f>
        <v>806.17142857142858</v>
      </c>
      <c r="H5" s="43"/>
      <c r="L5" s="43"/>
      <c r="M5" s="55"/>
      <c r="N5" s="43"/>
      <c r="O5" s="43"/>
    </row>
    <row r="6" spans="1:15">
      <c r="A6" t="s">
        <v>1458</v>
      </c>
      <c r="B6" s="43"/>
      <c r="C6" s="43"/>
      <c r="D6" s="43"/>
      <c r="E6" s="43"/>
      <c r="F6" s="43"/>
      <c r="G6" s="43"/>
      <c r="H6" s="43"/>
      <c r="L6" s="43"/>
      <c r="M6" s="55"/>
      <c r="N6" s="43"/>
      <c r="O6" s="43"/>
    </row>
    <row r="7" spans="1:15">
      <c r="A7" t="s">
        <v>1851</v>
      </c>
      <c r="B7" s="43">
        <f>SUMIFS('Detalle Fuga 2026'!$I:$I,'Detalle Fuga 2026'!$C:$C,$A3,'Detalle Fuga 2026'!$K:$K,B2,'Detalle Fuga 2026'!$A:$A,"Baja")</f>
        <v>274.07</v>
      </c>
      <c r="C7" s="43">
        <f>SUMIFS('Detalle Fuga 2026'!$I:$I,'Detalle Fuga 2026'!$C:$C,$A3,'Detalle Fuga 2026'!$K:$K,C2,'Detalle Fuga 2026'!$A:$A,"Baja")</f>
        <v>737</v>
      </c>
      <c r="D7" s="43">
        <f>SUMIFS('Detalle Fuga 2026'!$I:$I,'Detalle Fuga 2026'!$C:$C,$A3,'Detalle Fuga 2026'!$K:$K,D2,'Detalle Fuga 2026'!$A:$A,"Baja")</f>
        <v>425.93180000000001</v>
      </c>
      <c r="E7" s="43">
        <f>SUMIFS('Detalle Fuga 2026'!$I:$I,'Detalle Fuga 2026'!$C:$C,$A3,'Detalle Fuga 2026'!$K:$K,E2,'Detalle Fuga 2026'!$A:$A,"Baja")</f>
        <v>0</v>
      </c>
      <c r="F7" s="43">
        <f>SUMIFS('Detalle Fuga 2026'!$I:$I,'Detalle Fuga 2026'!$C:$C,$A3,'Detalle Fuga 2026'!$K:$K,F2,'Detalle Fuga 2026'!$A:$A,"Baja")</f>
        <v>0</v>
      </c>
      <c r="G7" s="43">
        <f>SUMIFS('Detalle Fuga 2026'!$I:$I,'Detalle Fuga 2026'!$C:$C,$A3,'Detalle Fuga 2026'!$K:$K,G2,'Detalle Fuga 2026'!$A:$A,"Baja")</f>
        <v>0</v>
      </c>
      <c r="H7" s="43"/>
      <c r="N7" s="43"/>
      <c r="O7" s="43"/>
    </row>
    <row r="8" spans="1:15">
      <c r="A8" t="s">
        <v>1852</v>
      </c>
      <c r="B8" s="440">
        <f>SUMIFS('MARE MX'!$O$2:$O$580,'MARE MX'!$L$2:$L$580, $A3)</f>
        <v>24992.299999999988</v>
      </c>
      <c r="C8" s="440">
        <f>SUMIFS('MARE MX'!$P$2:$P$580,'MARE MX'!$L$2:$L$580, $A3)</f>
        <v>26644.80999999999</v>
      </c>
      <c r="D8" s="440">
        <f>SUMIFS('MARE MX'!$Q$2:$Q$580,'MARE MX'!$L$2:$L$580, $A3)</f>
        <v>28613.639999999989</v>
      </c>
      <c r="E8" s="440">
        <f>SUMIFS('MARE MX'!$R$2:$R$580,'MARE MX'!$L$2:$L$580, $A3)</f>
        <v>30978.818799999994</v>
      </c>
      <c r="F8" s="440">
        <f>SUMIFS('MARE MX'!$S$2:$S$580,'MARE MX'!$L$2:$L$580, $A3)</f>
        <v>34279.398799999981</v>
      </c>
      <c r="G8" s="440">
        <f>SUMIFS('MARE MX'!$T$2:$T$580,'MARE MX'!$L$2:$L$580, $A3)</f>
        <v>32398.947999999997</v>
      </c>
      <c r="H8" s="43"/>
      <c r="N8" s="43"/>
      <c r="O8" s="43"/>
    </row>
    <row r="9" spans="1:15">
      <c r="A9" t="s">
        <v>1853</v>
      </c>
      <c r="B9" s="58">
        <f t="shared" ref="B9:G9" si="0">B7/B8</f>
        <v>1.0966177582695476E-2</v>
      </c>
      <c r="C9" s="58">
        <f t="shared" si="0"/>
        <v>2.7660170967629353E-2</v>
      </c>
      <c r="D9" s="58">
        <f t="shared" si="0"/>
        <v>1.4885620983558896E-2</v>
      </c>
      <c r="E9" s="58">
        <f t="shared" si="0"/>
        <v>0</v>
      </c>
      <c r="F9" s="58">
        <f t="shared" si="0"/>
        <v>0</v>
      </c>
      <c r="G9" s="58">
        <f t="shared" si="0"/>
        <v>0</v>
      </c>
      <c r="H9" s="43"/>
      <c r="N9" s="43"/>
      <c r="O9" s="43"/>
    </row>
    <row r="10" spans="1:15">
      <c r="A10" s="55" t="s">
        <v>69</v>
      </c>
      <c r="B10" s="43"/>
      <c r="C10" s="43"/>
      <c r="D10" s="43"/>
      <c r="E10" s="43"/>
      <c r="F10" s="43"/>
      <c r="G10" s="43"/>
      <c r="H10" s="43"/>
      <c r="N10" s="440"/>
      <c r="O10" s="440"/>
    </row>
    <row r="11" spans="1:15">
      <c r="A11" t="s">
        <v>1847</v>
      </c>
      <c r="B11" s="43">
        <f>SUMIFS('Ventas 2026'!$N:$N,'Ventas 2026'!$G:$G,"Up Selling",'Ventas 2026'!$F:$F,$A10,'Ventas 2026'!$E:$E,B2)</f>
        <v>0</v>
      </c>
      <c r="C11" s="43">
        <f>SUMIFS('Ventas 2026'!$N:$N,'Ventas 2026'!$G:$G,"Up Selling",'Ventas 2026'!$F:$F,"Dafne de la Rosa",'Ventas 2026'!$E:$E,C2)</f>
        <v>695.5240793201134</v>
      </c>
      <c r="D11" s="43">
        <f>SUMIFS('Ventas 2026'!$N:$N,'Ventas 2026'!$G:$G,"Up Selling",'Ventas 2026'!$F:$F,"Dafne de la Rosa",'Ventas 2026'!$E:$E,D2)</f>
        <v>1241.0198300283287</v>
      </c>
      <c r="E11" s="43">
        <f>SUMIFS('Ventas 2026'!$N:$N,'Ventas 2026'!$G:$G,"Up Selling",'Ventas 2026'!$F:$F,"Dafne de la Rosa",'Ventas 2026'!$E:$E,E2)</f>
        <v>0</v>
      </c>
      <c r="F11" s="43">
        <f>SUMIFS('Ventas 2026'!$N:$N,'Ventas 2026'!$G:$G,"Up Selling",'Ventas 2026'!$F:$F,"Dafne de la Rosa",'Ventas 2026'!$E:$E,F2)</f>
        <v>0</v>
      </c>
      <c r="G11" s="43">
        <f>SUMIFS('Ventas 2026'!$N:$N,'Ventas 2026'!$G:$G,"Up Selling",'Ventas 2026'!$F:$F,"Dafne de la Rosa",'Ventas 2026'!$E:$E,G2)</f>
        <v>1897.6000000000001</v>
      </c>
      <c r="H11" s="43"/>
      <c r="L11" t="s">
        <v>1348</v>
      </c>
      <c r="N11" s="58"/>
      <c r="O11" s="58"/>
    </row>
    <row r="12" spans="1:15">
      <c r="A12" t="s">
        <v>1850</v>
      </c>
      <c r="B12" s="43">
        <f>SUMIFS('Ventas 2026'!$N:$N,'Ventas 2026'!$G:$G,"Cross selling",'Ventas 2026'!$F:$F,$A10,'Ventas 2026'!$E:$E,B2)</f>
        <v>111.61473087818698</v>
      </c>
      <c r="C12" s="43">
        <f>SUMIFS('Ventas 2026'!$N:$N,'Ventas 2026'!$G:$G,"Cross selling",'Ventas 2026'!$F:$F,$A10,'Ventas 2026'!$E:$E,C2)</f>
        <v>416.94050991501422</v>
      </c>
      <c r="D12" s="43">
        <f>SUMIFS('Ventas 2026'!$N:$N,'Ventas 2026'!$G:$G,"Cross selling",'Ventas 2026'!$F:$F,$A10,'Ventas 2026'!$E:$E,D2)</f>
        <v>283.62606232294621</v>
      </c>
      <c r="E12" s="43">
        <f>SUMIFS('Ventas 2026'!$N:$N,'Ventas 2026'!$G:$G,"Cross selling",'Ventas 2026'!$F:$F,$A10,'Ventas 2026'!$E:$E,E2)</f>
        <v>0</v>
      </c>
      <c r="F12" s="43">
        <f>SUMIFS('Ventas 2026'!$N:$N,'Ventas 2026'!$G:$G,"Cross selling",'Ventas 2026'!$F:$F,$A10,'Ventas 2026'!$E:$E,F2)</f>
        <v>0</v>
      </c>
      <c r="G12" s="43">
        <f>SUMIFS('Ventas 2026'!$N:$N,'Ventas 2026'!$G:$G,"Cross selling",'Ventas 2026'!$F:$F,$A10,'Ventas 2026'!$E:$E,G2)</f>
        <v>1648</v>
      </c>
      <c r="H12" s="43"/>
      <c r="K12" s="444" t="s">
        <v>1340</v>
      </c>
      <c r="L12" s="67" t="s">
        <v>1333</v>
      </c>
      <c r="M12" s="453" t="s">
        <v>1334</v>
      </c>
      <c r="N12" s="454" t="s">
        <v>1335</v>
      </c>
      <c r="O12" s="458" t="s">
        <v>1336</v>
      </c>
    </row>
    <row r="13" spans="1:15">
      <c r="A13" t="s">
        <v>1851</v>
      </c>
      <c r="B13" s="43">
        <f>SUMIFS('Detalle Fuga 2026'!$I:$I,'Detalle Fuga 2026'!$C:$C,$A10,'Detalle Fuga 2026'!$K:$K,B2,'Detalle Fuga 2026'!$A:$A,"Baja")</f>
        <v>788.66</v>
      </c>
      <c r="C13" s="43">
        <f>SUMIFS('Detalle Fuga 2026'!$I:$I,'Detalle Fuga 2026'!$C:$C,$A10,'Detalle Fuga 2026'!$K:$K,C2,'Detalle Fuga 2026'!$A:$A,"Baja")</f>
        <v>342</v>
      </c>
      <c r="D13" s="43">
        <f>SUMIFS('Detalle Fuga 2026'!$I:$I,'Detalle Fuga 2026'!$C:$C,$A10,'Detalle Fuga 2026'!$K:$K,D2,'Detalle Fuga 2026'!$A:$A,"Baja")</f>
        <v>169</v>
      </c>
      <c r="E13" s="43">
        <f>SUMIFS('Detalle Fuga 2026'!$I:$I,'Detalle Fuga 2026'!$C:$C,$A10,'Detalle Fuga 2026'!$K:$K,E2,'Detalle Fuga 2026'!$A:$A,"Baja")</f>
        <v>361</v>
      </c>
      <c r="F13" s="43">
        <f>SUMIFS('Detalle Fuga 2026'!$I:$I,'Detalle Fuga 2026'!$C:$C,$A10,'Detalle Fuga 2026'!$K:$K,F2,'Detalle Fuga 2026'!$A:$A,"Baja")</f>
        <v>764</v>
      </c>
      <c r="G13" s="43">
        <f>SUMIFS('Detalle Fuga 2026'!$I:$I,'Detalle Fuga 2026'!$C:$C,$A10,'Detalle Fuga 2026'!$K:$K,G2,'Detalle Fuga 2026'!$A:$A,"Baja")</f>
        <v>0</v>
      </c>
      <c r="H13" s="43"/>
      <c r="K13" s="446" t="s">
        <v>1337</v>
      </c>
      <c r="L13" s="43">
        <f>SUM(E12:G12)</f>
        <v>1648</v>
      </c>
      <c r="N13" s="58">
        <f>AVERAGE(E15:F15)</f>
        <v>1.1907558154565883E-2</v>
      </c>
      <c r="O13" s="456" t="s">
        <v>1846</v>
      </c>
    </row>
    <row r="14" spans="1:15">
      <c r="A14" t="s">
        <v>1852</v>
      </c>
      <c r="B14" s="440">
        <f>SUMIFS('MARE MX'!$O$2:$O$580,'MARE MX'!$L$2:$L$580, $A10)</f>
        <v>42555.17000000002</v>
      </c>
      <c r="C14" s="440">
        <f>SUMIFS('MARE MX'!$P$2:$P$580,'MARE MX'!$L$2:$L$580, $A10)</f>
        <v>44402.779999999992</v>
      </c>
      <c r="D14" s="440">
        <f>SUMIFS('MARE MX'!$Q$2:$Q$580,'MARE MX'!$L$2:$L$580, $A10)</f>
        <v>47123.310000000012</v>
      </c>
      <c r="E14" s="440">
        <f>SUMIFS('MARE MX'!$R$2:$R$580,'MARE MX'!$L$2:$L$580, $A10)</f>
        <v>47252.340000000004</v>
      </c>
      <c r="F14" s="440">
        <f>SUMIFS('MARE MX'!$S$2:$S$580,'MARE MX'!$L$2:$L$580, $A10)</f>
        <v>47232.558400000002</v>
      </c>
      <c r="G14" s="440">
        <f>SUMIFS('MARE MX'!$T$2:$T$580,'MARE MX'!$L$2:$L$580, $A10)</f>
        <v>48429.091099999991</v>
      </c>
      <c r="H14" s="43"/>
      <c r="K14" s="448" t="s">
        <v>1341</v>
      </c>
      <c r="L14" s="449">
        <f>SUM(E18:G18)</f>
        <v>1214.6485714285714</v>
      </c>
      <c r="M14" s="450"/>
      <c r="N14" s="451">
        <f>AVERAGE(E21:F21)</f>
        <v>0</v>
      </c>
      <c r="O14" s="457" t="s">
        <v>1849</v>
      </c>
    </row>
    <row r="15" spans="1:15">
      <c r="A15" t="s">
        <v>1853</v>
      </c>
      <c r="B15" s="58">
        <f t="shared" ref="B15:G15" si="1">B13/B14</f>
        <v>1.8532648324516142E-2</v>
      </c>
      <c r="C15" s="58">
        <f t="shared" si="1"/>
        <v>7.7022204465576269E-3</v>
      </c>
      <c r="D15" s="58">
        <f t="shared" si="1"/>
        <v>3.5863355099631151E-3</v>
      </c>
      <c r="E15" s="58">
        <f t="shared" si="1"/>
        <v>7.6398332865631625E-3</v>
      </c>
      <c r="F15" s="58">
        <f t="shared" si="1"/>
        <v>1.6175283022568602E-2</v>
      </c>
      <c r="G15" s="58">
        <f t="shared" si="1"/>
        <v>0</v>
      </c>
      <c r="H15" s="43"/>
      <c r="L15" s="43"/>
      <c r="N15" s="43"/>
      <c r="O15" s="43"/>
    </row>
    <row r="16" spans="1:15">
      <c r="A16" s="55" t="s">
        <v>1106</v>
      </c>
      <c r="B16" s="43"/>
      <c r="C16" s="43"/>
      <c r="D16" s="43"/>
      <c r="E16" s="43"/>
      <c r="F16" s="43"/>
      <c r="G16" s="43"/>
      <c r="H16" s="43"/>
      <c r="N16" s="440"/>
      <c r="O16" s="440"/>
    </row>
    <row r="17" spans="1:15">
      <c r="A17" t="s">
        <v>1847</v>
      </c>
      <c r="B17" s="43">
        <f>SUMIFS('Ventas 2026'!$N:$N,'Ventas 2026'!$G:$G,"Up Selling",'Ventas 2026'!$F:$F,$A16,'Ventas 2026'!$E:$E,B2)</f>
        <v>0</v>
      </c>
      <c r="C17" s="43">
        <f>SUMIFS('Ventas 2026'!$N:$N,'Ventas 2026'!$G:$G,"Up Selling",'Ventas 2026'!$F:$F,$A16,'Ventas 2026'!$E:$E,C2)</f>
        <v>0</v>
      </c>
      <c r="D17" s="43">
        <f>SUMIFS('Ventas 2026'!$N:$N,'Ventas 2026'!$G:$G,"Up Selling",'Ventas 2026'!$F:$F,$A16,'Ventas 2026'!$E:$E,D2)</f>
        <v>191.72804532577905</v>
      </c>
      <c r="E17" s="43">
        <f>SUMIFS('Ventas 2026'!$N:$N,'Ventas 2026'!$G:$G,"Up Selling",'Ventas 2026'!$F:$F,$A16,'Ventas 2026'!$E:$E,E2)</f>
        <v>0</v>
      </c>
      <c r="F17" s="43">
        <f>SUMIFS('Ventas 2026'!$N:$N,'Ventas 2026'!$G:$G,"Up Selling",'Ventas 2026'!$F:$F,$A16,'Ventas 2026'!$E:$E,F2)</f>
        <v>397.37142857142857</v>
      </c>
      <c r="G17" s="43">
        <f>SUMIFS('Ventas 2026'!$N:$N,'Ventas 2026'!$G:$G,"Up Selling",'Ventas 2026'!$F:$F,$A16,'Ventas 2026'!$E:$E,G2)</f>
        <v>0</v>
      </c>
      <c r="H17" s="43"/>
      <c r="N17" s="58"/>
      <c r="O17" s="58"/>
    </row>
    <row r="18" spans="1:15">
      <c r="A18" t="s">
        <v>1850</v>
      </c>
      <c r="B18" s="43">
        <f>SUMIFS('Ventas 2026'!$N:$N,'Ventas 2026'!$G:$G,"Cross selling",'Ventas 2026'!$F:$F,$A16,'Ventas 2026'!$E:$E,B2)</f>
        <v>202.5</v>
      </c>
      <c r="C18" s="43">
        <f>SUMIFS('Ventas 2026'!$N:$N,'Ventas 2026'!$G:$G,"Cross selling",'Ventas 2026'!$F:$F,$A16,'Ventas 2026'!$E:$E,C2)</f>
        <v>0</v>
      </c>
      <c r="D18" s="43">
        <f>SUMIFS('Ventas 2026'!$N:$N,'Ventas 2026'!$G:$G,"Cross selling",'Ventas 2026'!$F:$F,$A16,'Ventas 2026'!$E:$E,D2)</f>
        <v>987.90368271954685</v>
      </c>
      <c r="E18" s="43">
        <f>SUMIFS('Ventas 2026'!$N:$N,'Ventas 2026'!$G:$G,"Cross selling",'Ventas 2026'!$F:$F,$A16,'Ventas 2026'!$E:$E,E2)</f>
        <v>0</v>
      </c>
      <c r="F18" s="43">
        <f>SUMIFS('Ventas 2026'!$N:$N,'Ventas 2026'!$G:$G,"Cross selling",'Ventas 2026'!$F:$F,$A16,'Ventas 2026'!$E:$E,F2)</f>
        <v>727.79142857142858</v>
      </c>
      <c r="G18" s="43">
        <f>SUMIFS('Ventas 2026'!$N:$N,'Ventas 2026'!$G:$G,"Cross selling",'Ventas 2026'!$F:$F,$A16,'Ventas 2026'!$E:$E,G2)</f>
        <v>486.85714285714283</v>
      </c>
    </row>
    <row r="19" spans="1:15">
      <c r="A19" t="s">
        <v>1851</v>
      </c>
      <c r="B19" s="43">
        <f>SUMIFS('Detalle Fuga 2026'!$I:$I,'Detalle Fuga 2026'!$C:$C,$A16,'Detalle Fuga 2026'!$K:$K,B2,'Detalle Fuga 2026'!$A:$A,"Baja")</f>
        <v>0</v>
      </c>
      <c r="C19" s="43">
        <f>SUMIFS('Detalle Fuga 2026'!$I:$I,'Detalle Fuga 2026'!$C:$C,$A16,'Detalle Fuga 2026'!$K:$K,C2,'Detalle Fuga 2026'!$A:$A,"Baja")</f>
        <v>675</v>
      </c>
      <c r="D19" s="43">
        <f>SUMIFS('Detalle Fuga 2026'!$I:$I,'Detalle Fuga 2026'!$C:$C,$A16,'Detalle Fuga 2026'!$K:$K,D2,'Detalle Fuga 2026'!$A:$A,"Baja")</f>
        <v>0</v>
      </c>
      <c r="E19" s="43">
        <f>SUMIFS('Detalle Fuga 2026'!$I:$I,'Detalle Fuga 2026'!$C:$C,$A16,'Detalle Fuga 2026'!$K:$K,E2,'Detalle Fuga 2026'!$A:$A,"Baja")</f>
        <v>0</v>
      </c>
      <c r="F19" s="43">
        <f>SUMIFS('Detalle Fuga 2026'!$I:$I,'Detalle Fuga 2026'!$C:$C,$A16,'Detalle Fuga 2026'!$K:$K,F2,'Detalle Fuga 2026'!$A:$A,"Baja")</f>
        <v>0</v>
      </c>
      <c r="G19" s="43">
        <f>SUMIFS('Detalle Fuga 2026'!$I:$I,'Detalle Fuga 2026'!$C:$C,$A16,'Detalle Fuga 2026'!$K:$K,G2,'Detalle Fuga 2026'!$A:$A,"Baja")</f>
        <v>0</v>
      </c>
    </row>
    <row r="20" spans="1:15">
      <c r="A20" t="s">
        <v>1852</v>
      </c>
      <c r="B20" s="440">
        <f>SUMIFS('MARE MX'!$O$2:$O$580,'MARE MX'!$L$2:$L$580, $A16)</f>
        <v>72950.660000000018</v>
      </c>
      <c r="C20" s="440">
        <f>SUMIFS('MARE MX'!$P$2:$P$580,'MARE MX'!$L$2:$L$580, $A16)</f>
        <v>71986.650000000009</v>
      </c>
      <c r="D20" s="440">
        <f>SUMIFS('MARE MX'!$Q$2:$Q$580,'MARE MX'!$L$2:$L$580, $A16)</f>
        <v>72841.000000000015</v>
      </c>
      <c r="E20" s="440">
        <f>SUMIFS('MARE MX'!$R$2:$R$580,'MARE MX'!$L$2:$L$580, $A16)</f>
        <v>75769.23000000001</v>
      </c>
      <c r="F20" s="440">
        <f>SUMIFS('MARE MX'!$S$2:$S$580,'MARE MX'!$L$2:$L$580, $A16)</f>
        <v>74222.822400000005</v>
      </c>
      <c r="G20" s="440">
        <f>SUMIFS('MARE MX'!$T$2:$T$580,'MARE MX'!$L$2:$L$580, $A16)</f>
        <v>75078.5</v>
      </c>
    </row>
    <row r="21" spans="1:15">
      <c r="A21" t="s">
        <v>1853</v>
      </c>
      <c r="B21" s="58">
        <f t="shared" ref="B21:G21" si="2">B19/B20</f>
        <v>0</v>
      </c>
      <c r="C21" s="58">
        <f t="shared" si="2"/>
        <v>9.3767386036160867E-3</v>
      </c>
      <c r="D21" s="58">
        <f t="shared" si="2"/>
        <v>0</v>
      </c>
      <c r="E21" s="58">
        <f t="shared" si="2"/>
        <v>0</v>
      </c>
      <c r="F21" s="58">
        <f t="shared" si="2"/>
        <v>0</v>
      </c>
      <c r="G21" s="58">
        <f t="shared" si="2"/>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U50"/>
  <sheetViews>
    <sheetView topLeftCell="G1" workbookViewId="0">
      <selection activeCell="U4" sqref="U4"/>
    </sheetView>
  </sheetViews>
  <sheetFormatPr defaultColWidth="8.85546875" defaultRowHeight="15"/>
  <cols>
    <col min="1" max="1" width="21.42578125" customWidth="1"/>
    <col min="8" max="8" width="24.85546875" customWidth="1"/>
    <col min="11" max="11" width="9.7109375" bestFit="1" customWidth="1"/>
    <col min="16" max="16" width="12.42578125" customWidth="1"/>
  </cols>
  <sheetData>
    <row r="1" spans="1:21">
      <c r="S1" s="476">
        <f>SUM(S4:S30)</f>
        <v>-2155</v>
      </c>
    </row>
    <row r="2" spans="1:21">
      <c r="A2" s="56" t="s">
        <v>1854</v>
      </c>
      <c r="B2" s="56"/>
      <c r="C2" s="56"/>
      <c r="D2" s="56"/>
      <c r="E2" s="57" t="s">
        <v>16</v>
      </c>
      <c r="H2" s="56" t="s">
        <v>1854</v>
      </c>
      <c r="I2" s="56"/>
      <c r="J2" s="56"/>
      <c r="K2" s="56"/>
      <c r="L2" s="57" t="s">
        <v>17</v>
      </c>
      <c r="P2" s="56" t="s">
        <v>1854</v>
      </c>
      <c r="Q2" s="56"/>
      <c r="R2" s="56"/>
      <c r="S2" s="56"/>
      <c r="T2" s="57" t="s">
        <v>18</v>
      </c>
    </row>
    <row r="3" spans="1:21">
      <c r="A3" s="107" t="s">
        <v>1424</v>
      </c>
      <c r="B3" s="107" t="s">
        <v>16</v>
      </c>
      <c r="C3" s="107" t="s">
        <v>15</v>
      </c>
      <c r="D3" s="107" t="s">
        <v>1855</v>
      </c>
      <c r="E3" s="107" t="s">
        <v>1856</v>
      </c>
      <c r="H3" s="107" t="s">
        <v>1424</v>
      </c>
      <c r="I3" s="107" t="s">
        <v>17</v>
      </c>
      <c r="J3" s="107" t="s">
        <v>16</v>
      </c>
      <c r="K3" s="107" t="s">
        <v>1855</v>
      </c>
      <c r="L3" s="107" t="s">
        <v>1856</v>
      </c>
      <c r="P3" s="107" t="s">
        <v>1424</v>
      </c>
      <c r="Q3" s="107" t="s">
        <v>18</v>
      </c>
      <c r="R3" s="107" t="s">
        <v>17</v>
      </c>
      <c r="S3" s="107" t="s">
        <v>1855</v>
      </c>
      <c r="T3" s="107" t="s">
        <v>1856</v>
      </c>
    </row>
    <row r="4" spans="1:21">
      <c r="A4" s="44" t="s">
        <v>729</v>
      </c>
      <c r="B4" s="44">
        <v>319</v>
      </c>
      <c r="C4" s="44">
        <v>1.07</v>
      </c>
      <c r="D4" s="44">
        <v>-750</v>
      </c>
      <c r="E4" s="49">
        <v>-0.7</v>
      </c>
      <c r="H4" s="106" t="s">
        <v>448</v>
      </c>
      <c r="I4" s="263">
        <v>21</v>
      </c>
      <c r="J4" s="263">
        <v>323</v>
      </c>
      <c r="K4" s="263">
        <f>J4-I4</f>
        <v>302</v>
      </c>
      <c r="L4" s="108">
        <v>-0.94</v>
      </c>
      <c r="M4" t="s">
        <v>1857</v>
      </c>
      <c r="P4" s="474" t="s">
        <v>1081</v>
      </c>
      <c r="Q4" s="475">
        <v>4</v>
      </c>
      <c r="R4" s="475">
        <v>174</v>
      </c>
      <c r="S4" s="475">
        <v>-170</v>
      </c>
      <c r="T4" s="400">
        <f>(Q4-R4)/R4</f>
        <v>-0.97701149425287359</v>
      </c>
      <c r="U4" s="400" t="s">
        <v>1858</v>
      </c>
    </row>
    <row r="5" spans="1:21">
      <c r="A5" s="44" t="s">
        <v>403</v>
      </c>
      <c r="B5" s="44">
        <v>1.7210000000000001</v>
      </c>
      <c r="C5" s="44">
        <v>2.0960000000000001</v>
      </c>
      <c r="D5" s="44">
        <v>-374</v>
      </c>
      <c r="E5" s="49">
        <v>-0.18</v>
      </c>
      <c r="H5" s="106" t="s">
        <v>1859</v>
      </c>
      <c r="I5" s="263">
        <v>8</v>
      </c>
      <c r="J5" s="263">
        <v>77</v>
      </c>
      <c r="K5" s="263">
        <f t="shared" ref="K5:K33" si="0">J5-I5</f>
        <v>69</v>
      </c>
      <c r="L5" s="108">
        <v>-0.9</v>
      </c>
      <c r="M5" t="s">
        <v>1860</v>
      </c>
      <c r="P5" s="474" t="s">
        <v>1105</v>
      </c>
      <c r="Q5" s="475">
        <v>41</v>
      </c>
      <c r="R5" s="475">
        <v>116</v>
      </c>
      <c r="S5" s="475">
        <v>-75</v>
      </c>
      <c r="T5" s="400">
        <f t="shared" ref="T5:T27" si="1">(Q5-R5)/R5</f>
        <v>-0.64655172413793105</v>
      </c>
      <c r="U5" t="s">
        <v>1861</v>
      </c>
    </row>
    <row r="6" spans="1:21">
      <c r="A6" s="44" t="s">
        <v>1862</v>
      </c>
      <c r="B6" s="44">
        <v>1.18</v>
      </c>
      <c r="C6" s="44">
        <v>1.389</v>
      </c>
      <c r="D6" s="44">
        <v>-209</v>
      </c>
      <c r="E6" s="49">
        <v>-0.15</v>
      </c>
      <c r="H6" s="106" t="s">
        <v>508</v>
      </c>
      <c r="I6" s="263">
        <v>80</v>
      </c>
      <c r="J6" s="263">
        <v>243</v>
      </c>
      <c r="K6" s="263">
        <f t="shared" si="0"/>
        <v>163</v>
      </c>
      <c r="L6" s="108">
        <v>-0.67</v>
      </c>
      <c r="P6" s="474" t="s">
        <v>224</v>
      </c>
      <c r="Q6" s="475">
        <v>363</v>
      </c>
      <c r="R6" s="475">
        <v>717</v>
      </c>
      <c r="S6" s="475">
        <v>-354</v>
      </c>
      <c r="T6" s="400">
        <f t="shared" si="1"/>
        <v>-0.49372384937238495</v>
      </c>
      <c r="U6" t="s">
        <v>1863</v>
      </c>
    </row>
    <row r="7" spans="1:21">
      <c r="A7" s="44" t="s">
        <v>1864</v>
      </c>
      <c r="B7" s="44">
        <v>644</v>
      </c>
      <c r="C7" s="44">
        <v>788</v>
      </c>
      <c r="D7" s="44">
        <v>-144</v>
      </c>
      <c r="E7" s="49">
        <v>-0.18</v>
      </c>
      <c r="H7" s="106" t="s">
        <v>1095</v>
      </c>
      <c r="I7" s="263">
        <v>31</v>
      </c>
      <c r="J7" s="263">
        <v>85</v>
      </c>
      <c r="K7" s="263">
        <f t="shared" si="0"/>
        <v>54</v>
      </c>
      <c r="L7" s="108">
        <v>-0.64</v>
      </c>
      <c r="P7" s="474" t="s">
        <v>531</v>
      </c>
      <c r="Q7" s="475">
        <v>144</v>
      </c>
      <c r="R7" s="475">
        <v>250</v>
      </c>
      <c r="S7" s="475">
        <v>-106</v>
      </c>
      <c r="T7" s="400">
        <f t="shared" si="1"/>
        <v>-0.42399999999999999</v>
      </c>
      <c r="U7" t="s">
        <v>1865</v>
      </c>
    </row>
    <row r="8" spans="1:21">
      <c r="A8" s="44" t="s">
        <v>1866</v>
      </c>
      <c r="B8" s="44">
        <v>297</v>
      </c>
      <c r="C8" s="44">
        <v>423</v>
      </c>
      <c r="D8" s="44">
        <v>-125</v>
      </c>
      <c r="E8" s="49">
        <v>-0.3</v>
      </c>
      <c r="H8" s="106" t="s">
        <v>462</v>
      </c>
      <c r="I8" s="263">
        <v>622</v>
      </c>
      <c r="J8" s="263">
        <v>1.5860000000000001</v>
      </c>
      <c r="K8" s="263">
        <f t="shared" si="0"/>
        <v>-620.41399999999999</v>
      </c>
      <c r="L8" s="108">
        <v>-0.61</v>
      </c>
      <c r="M8" s="44" t="s">
        <v>1857</v>
      </c>
      <c r="P8" s="474" t="s">
        <v>67</v>
      </c>
      <c r="Q8" s="475">
        <v>15</v>
      </c>
      <c r="R8" s="475">
        <v>24</v>
      </c>
      <c r="S8" s="475">
        <v>-8</v>
      </c>
      <c r="T8" s="400">
        <f t="shared" si="1"/>
        <v>-0.375</v>
      </c>
    </row>
    <row r="9" spans="1:21">
      <c r="A9" s="44" t="s">
        <v>1201</v>
      </c>
      <c r="B9" s="44">
        <v>664</v>
      </c>
      <c r="C9" s="44">
        <v>788</v>
      </c>
      <c r="D9" s="44">
        <v>-124</v>
      </c>
      <c r="E9" s="49">
        <v>-0.16</v>
      </c>
      <c r="H9" s="106" t="s">
        <v>717</v>
      </c>
      <c r="I9" s="263">
        <v>215</v>
      </c>
      <c r="J9" s="263">
        <v>507</v>
      </c>
      <c r="K9" s="263">
        <f t="shared" si="0"/>
        <v>292</v>
      </c>
      <c r="L9" s="108">
        <v>-0.57999999999999996</v>
      </c>
      <c r="M9" s="44" t="s">
        <v>1867</v>
      </c>
      <c r="P9" s="474" t="s">
        <v>454</v>
      </c>
      <c r="Q9" s="475">
        <v>222</v>
      </c>
      <c r="R9" s="475">
        <v>313</v>
      </c>
      <c r="S9" s="475">
        <v>-91</v>
      </c>
      <c r="T9" s="400">
        <f t="shared" si="1"/>
        <v>-0.29073482428115016</v>
      </c>
    </row>
    <row r="10" spans="1:21">
      <c r="A10" s="44" t="s">
        <v>1868</v>
      </c>
      <c r="B10" s="44">
        <v>775</v>
      </c>
      <c r="C10" s="44">
        <v>877</v>
      </c>
      <c r="D10" s="44">
        <v>-102</v>
      </c>
      <c r="E10" s="49">
        <v>-0.12</v>
      </c>
      <c r="H10" s="106" t="s">
        <v>331</v>
      </c>
      <c r="I10" s="263">
        <v>756</v>
      </c>
      <c r="J10" s="263">
        <v>1.5740000000000001</v>
      </c>
      <c r="K10" s="263">
        <f t="shared" si="0"/>
        <v>-754.42600000000004</v>
      </c>
      <c r="L10" s="108">
        <v>-0.52</v>
      </c>
      <c r="M10" s="44" t="s">
        <v>1857</v>
      </c>
      <c r="P10" s="474" t="s">
        <v>1869</v>
      </c>
      <c r="Q10" s="475">
        <v>252</v>
      </c>
      <c r="R10" s="475">
        <v>329</v>
      </c>
      <c r="S10" s="475">
        <v>-77</v>
      </c>
      <c r="T10" s="400">
        <f t="shared" si="1"/>
        <v>-0.23404255319148937</v>
      </c>
    </row>
    <row r="11" spans="1:21">
      <c r="A11" s="44" t="s">
        <v>1017</v>
      </c>
      <c r="B11" s="44">
        <v>204</v>
      </c>
      <c r="C11" s="44">
        <v>284</v>
      </c>
      <c r="D11" s="44">
        <v>-80</v>
      </c>
      <c r="E11" s="49">
        <v>-0.28000000000000003</v>
      </c>
      <c r="H11" s="44" t="s">
        <v>1870</v>
      </c>
      <c r="I11" s="263">
        <v>389</v>
      </c>
      <c r="J11" s="263">
        <v>729</v>
      </c>
      <c r="K11" s="263">
        <f t="shared" si="0"/>
        <v>340</v>
      </c>
      <c r="L11" s="108">
        <v>-0.47</v>
      </c>
      <c r="M11" s="44" t="s">
        <v>1871</v>
      </c>
      <c r="P11" s="474" t="s">
        <v>281</v>
      </c>
      <c r="Q11" s="475">
        <v>506</v>
      </c>
      <c r="R11" s="475">
        <v>659</v>
      </c>
      <c r="S11" s="475">
        <v>-153</v>
      </c>
      <c r="T11" s="400">
        <f t="shared" si="1"/>
        <v>-0.23216995447647951</v>
      </c>
    </row>
    <row r="12" spans="1:21">
      <c r="A12" s="44" t="s">
        <v>661</v>
      </c>
      <c r="B12" s="44">
        <v>335</v>
      </c>
      <c r="C12" s="44">
        <v>400</v>
      </c>
      <c r="D12" s="44">
        <v>-65</v>
      </c>
      <c r="E12" s="49">
        <v>-0.16</v>
      </c>
      <c r="H12" s="44" t="s">
        <v>993</v>
      </c>
      <c r="I12" s="263">
        <v>129</v>
      </c>
      <c r="J12" s="263">
        <v>237</v>
      </c>
      <c r="K12" s="263">
        <f t="shared" si="0"/>
        <v>108</v>
      </c>
      <c r="L12" s="108">
        <v>-0.46</v>
      </c>
      <c r="M12" s="44"/>
      <c r="P12" s="474" t="s">
        <v>86</v>
      </c>
      <c r="Q12" s="475">
        <v>57</v>
      </c>
      <c r="R12" s="475">
        <v>73</v>
      </c>
      <c r="S12" s="475">
        <v>-16</v>
      </c>
      <c r="T12" s="400">
        <f t="shared" si="1"/>
        <v>-0.21917808219178081</v>
      </c>
    </row>
    <row r="13" spans="1:21">
      <c r="A13" s="44" t="s">
        <v>570</v>
      </c>
      <c r="B13" s="44">
        <v>132</v>
      </c>
      <c r="C13" s="44">
        <v>180</v>
      </c>
      <c r="D13" s="44">
        <v>-48</v>
      </c>
      <c r="E13" s="49">
        <v>-0.27</v>
      </c>
      <c r="H13" s="44" t="s">
        <v>1105</v>
      </c>
      <c r="I13" s="263">
        <v>116</v>
      </c>
      <c r="J13" s="263">
        <v>198</v>
      </c>
      <c r="K13" s="263">
        <f t="shared" si="0"/>
        <v>82</v>
      </c>
      <c r="L13" s="108">
        <v>-0.41</v>
      </c>
      <c r="M13" s="44"/>
      <c r="P13" s="474" t="s">
        <v>786</v>
      </c>
      <c r="Q13" s="475">
        <v>40</v>
      </c>
      <c r="R13" s="475">
        <v>52</v>
      </c>
      <c r="S13" s="475">
        <v>-11</v>
      </c>
      <c r="T13" s="400">
        <f t="shared" si="1"/>
        <v>-0.23076923076923078</v>
      </c>
    </row>
    <row r="14" spans="1:21">
      <c r="A14" s="44" t="s">
        <v>1105</v>
      </c>
      <c r="B14" s="44">
        <v>198</v>
      </c>
      <c r="C14" s="44">
        <v>246</v>
      </c>
      <c r="D14" s="44">
        <v>-48</v>
      </c>
      <c r="E14" s="49">
        <v>-0.2</v>
      </c>
      <c r="H14" s="44" t="s">
        <v>1872</v>
      </c>
      <c r="I14" s="263">
        <v>132</v>
      </c>
      <c r="J14" s="263">
        <v>222</v>
      </c>
      <c r="K14" s="263">
        <f t="shared" si="0"/>
        <v>90</v>
      </c>
      <c r="L14" s="108">
        <v>-0.4</v>
      </c>
      <c r="M14" s="44"/>
      <c r="P14" s="474" t="s">
        <v>1873</v>
      </c>
      <c r="Q14" s="475">
        <v>75</v>
      </c>
      <c r="R14" s="475">
        <v>96</v>
      </c>
      <c r="S14" s="475">
        <v>-21</v>
      </c>
      <c r="T14" s="400">
        <f t="shared" si="1"/>
        <v>-0.21875</v>
      </c>
    </row>
    <row r="15" spans="1:21">
      <c r="A15" s="44" t="s">
        <v>1081</v>
      </c>
      <c r="B15" s="44">
        <v>140</v>
      </c>
      <c r="C15" s="44">
        <v>185</v>
      </c>
      <c r="D15" s="44">
        <v>-45</v>
      </c>
      <c r="E15" s="49">
        <v>-0.24</v>
      </c>
      <c r="H15" s="44" t="s">
        <v>659</v>
      </c>
      <c r="I15" s="263">
        <v>235</v>
      </c>
      <c r="J15" s="263">
        <v>359</v>
      </c>
      <c r="K15" s="263">
        <f t="shared" si="0"/>
        <v>124</v>
      </c>
      <c r="L15" s="108">
        <v>-0.35</v>
      </c>
      <c r="M15" s="44" t="s">
        <v>1874</v>
      </c>
      <c r="P15" s="474" t="s">
        <v>348</v>
      </c>
      <c r="Q15" s="475">
        <v>831</v>
      </c>
      <c r="R15" s="475">
        <v>1061</v>
      </c>
      <c r="S15" s="475">
        <v>-230</v>
      </c>
      <c r="T15" s="400">
        <f t="shared" si="1"/>
        <v>-0.21677662582469368</v>
      </c>
      <c r="U15" t="s">
        <v>1875</v>
      </c>
    </row>
    <row r="16" spans="1:21">
      <c r="A16" s="44" t="s">
        <v>598</v>
      </c>
      <c r="B16" s="44">
        <v>186</v>
      </c>
      <c r="C16" s="44">
        <v>227</v>
      </c>
      <c r="D16" s="44">
        <v>-42</v>
      </c>
      <c r="E16" s="49">
        <v>-0.18</v>
      </c>
      <c r="H16" s="44" t="s">
        <v>750</v>
      </c>
      <c r="I16" s="263">
        <v>12</v>
      </c>
      <c r="J16" s="263">
        <v>16</v>
      </c>
      <c r="K16" s="263">
        <f t="shared" si="0"/>
        <v>4</v>
      </c>
      <c r="L16" s="108">
        <v>-0.23</v>
      </c>
      <c r="M16" s="44"/>
      <c r="P16" s="474" t="s">
        <v>316</v>
      </c>
      <c r="Q16" s="475">
        <v>638</v>
      </c>
      <c r="R16" s="475">
        <v>810</v>
      </c>
      <c r="S16" s="475">
        <v>-171</v>
      </c>
      <c r="T16" s="400">
        <f t="shared" si="1"/>
        <v>-0.21234567901234569</v>
      </c>
    </row>
    <row r="17" spans="1:21">
      <c r="A17" s="44" t="s">
        <v>784</v>
      </c>
      <c r="B17" s="44">
        <v>44</v>
      </c>
      <c r="C17" s="44">
        <v>85</v>
      </c>
      <c r="D17" s="44">
        <v>-41</v>
      </c>
      <c r="E17" s="49">
        <v>-0.48</v>
      </c>
      <c r="H17" s="44" t="s">
        <v>217</v>
      </c>
      <c r="I17" s="263">
        <v>302</v>
      </c>
      <c r="J17" s="263">
        <v>388</v>
      </c>
      <c r="K17" s="263">
        <f t="shared" si="0"/>
        <v>86</v>
      </c>
      <c r="L17" s="108">
        <v>-0.22</v>
      </c>
      <c r="M17" s="44"/>
      <c r="P17" s="474" t="s">
        <v>862</v>
      </c>
      <c r="Q17" s="475">
        <v>54</v>
      </c>
      <c r="R17" s="475">
        <v>66</v>
      </c>
      <c r="S17" s="475">
        <v>-13</v>
      </c>
      <c r="T17" s="400">
        <f t="shared" si="1"/>
        <v>-0.18181818181818182</v>
      </c>
    </row>
    <row r="18" spans="1:21">
      <c r="A18" s="44" t="s">
        <v>595</v>
      </c>
      <c r="B18" s="44">
        <v>278</v>
      </c>
      <c r="C18" s="44">
        <v>316</v>
      </c>
      <c r="D18" s="44">
        <v>-38</v>
      </c>
      <c r="E18" s="49">
        <v>-0.12</v>
      </c>
      <c r="H18" s="44" t="s">
        <v>1876</v>
      </c>
      <c r="I18" s="263">
        <v>1.0089999999999999</v>
      </c>
      <c r="J18" s="263">
        <v>1.2549999999999999</v>
      </c>
      <c r="K18" s="263">
        <f t="shared" si="0"/>
        <v>0.246</v>
      </c>
      <c r="L18" s="108">
        <v>-0.2</v>
      </c>
      <c r="M18" s="44" t="s">
        <v>1877</v>
      </c>
      <c r="P18" s="474" t="s">
        <v>443</v>
      </c>
      <c r="Q18" s="475">
        <v>9</v>
      </c>
      <c r="R18" s="475">
        <v>11</v>
      </c>
      <c r="S18" s="475">
        <v>-2</v>
      </c>
      <c r="T18" s="400">
        <f t="shared" si="1"/>
        <v>-0.18181818181818182</v>
      </c>
    </row>
    <row r="19" spans="1:21">
      <c r="A19" s="44" t="s">
        <v>508</v>
      </c>
      <c r="B19" s="44">
        <v>243</v>
      </c>
      <c r="C19" s="44">
        <v>270</v>
      </c>
      <c r="D19" s="44">
        <v>-27</v>
      </c>
      <c r="E19" s="49">
        <v>-0.1</v>
      </c>
      <c r="H19" s="44" t="s">
        <v>281</v>
      </c>
      <c r="I19" s="263">
        <v>659</v>
      </c>
      <c r="J19" s="263">
        <v>807</v>
      </c>
      <c r="K19" s="263">
        <f t="shared" si="0"/>
        <v>148</v>
      </c>
      <c r="L19" s="108">
        <v>-0.18</v>
      </c>
      <c r="M19" s="44" t="s">
        <v>1877</v>
      </c>
      <c r="P19" s="474" t="s">
        <v>788</v>
      </c>
      <c r="Q19" s="475">
        <v>77</v>
      </c>
      <c r="R19" s="475">
        <v>95</v>
      </c>
      <c r="S19" s="475">
        <v>-18</v>
      </c>
      <c r="T19" s="400">
        <f t="shared" si="1"/>
        <v>-0.18947368421052632</v>
      </c>
    </row>
    <row r="20" spans="1:21">
      <c r="A20" s="44" t="s">
        <v>573</v>
      </c>
      <c r="B20" s="44">
        <v>178</v>
      </c>
      <c r="C20" s="44">
        <v>204</v>
      </c>
      <c r="D20" s="44">
        <v>-26</v>
      </c>
      <c r="E20" s="49">
        <v>-0.13</v>
      </c>
      <c r="H20" s="44" t="s">
        <v>1186</v>
      </c>
      <c r="I20" s="263">
        <v>433</v>
      </c>
      <c r="J20" s="263">
        <v>517</v>
      </c>
      <c r="K20" s="263">
        <f t="shared" si="0"/>
        <v>84</v>
      </c>
      <c r="L20" s="108">
        <v>-0.16</v>
      </c>
      <c r="M20" s="44"/>
      <c r="P20" s="474" t="s">
        <v>1878</v>
      </c>
      <c r="Q20" s="475">
        <v>916</v>
      </c>
      <c r="R20" s="475">
        <v>1128</v>
      </c>
      <c r="S20" s="475">
        <v>-212</v>
      </c>
      <c r="T20" s="400">
        <f t="shared" si="1"/>
        <v>-0.18794326241134751</v>
      </c>
      <c r="U20" t="s">
        <v>1879</v>
      </c>
    </row>
    <row r="21" spans="1:21">
      <c r="A21" s="44" t="s">
        <v>1009</v>
      </c>
      <c r="B21" s="44">
        <v>172</v>
      </c>
      <c r="C21" s="44">
        <v>195</v>
      </c>
      <c r="D21" s="44">
        <v>-23</v>
      </c>
      <c r="E21" s="49">
        <v>-0.12</v>
      </c>
      <c r="H21" s="44" t="s">
        <v>784</v>
      </c>
      <c r="I21" s="263">
        <v>37</v>
      </c>
      <c r="J21" s="263">
        <v>44</v>
      </c>
      <c r="K21" s="263">
        <f t="shared" si="0"/>
        <v>7</v>
      </c>
      <c r="L21" s="108">
        <v>-0.16</v>
      </c>
      <c r="M21" s="44"/>
      <c r="P21" s="474" t="s">
        <v>1178</v>
      </c>
      <c r="Q21" s="475">
        <v>1512</v>
      </c>
      <c r="R21" s="475">
        <v>1778</v>
      </c>
      <c r="S21" s="475">
        <v>-266</v>
      </c>
      <c r="T21" s="400">
        <f t="shared" si="1"/>
        <v>-0.14960629921259844</v>
      </c>
      <c r="U21" t="s">
        <v>1879</v>
      </c>
    </row>
    <row r="22" spans="1:21">
      <c r="A22" s="44" t="s">
        <v>1143</v>
      </c>
      <c r="B22" s="44">
        <v>143</v>
      </c>
      <c r="C22" s="44">
        <v>166</v>
      </c>
      <c r="D22" s="44">
        <v>-23</v>
      </c>
      <c r="E22" s="49">
        <v>-0.14000000000000001</v>
      </c>
      <c r="H22" s="44" t="s">
        <v>938</v>
      </c>
      <c r="I22" s="263">
        <v>101</v>
      </c>
      <c r="J22" s="263">
        <v>120</v>
      </c>
      <c r="K22" s="263">
        <f t="shared" si="0"/>
        <v>19</v>
      </c>
      <c r="L22" s="108">
        <v>-0.16</v>
      </c>
      <c r="M22" s="44"/>
      <c r="P22" s="474" t="s">
        <v>595</v>
      </c>
      <c r="Q22" s="475">
        <v>215</v>
      </c>
      <c r="R22" s="475">
        <v>251</v>
      </c>
      <c r="S22" s="475">
        <v>-36</v>
      </c>
      <c r="T22" s="400">
        <f t="shared" si="1"/>
        <v>-0.14342629482071714</v>
      </c>
    </row>
    <row r="23" spans="1:21">
      <c r="A23" s="44" t="s">
        <v>956</v>
      </c>
      <c r="B23" s="44">
        <v>115</v>
      </c>
      <c r="C23" s="44">
        <v>137</v>
      </c>
      <c r="D23" s="44">
        <v>-22</v>
      </c>
      <c r="E23" s="49">
        <v>-0.16</v>
      </c>
      <c r="H23" s="44" t="s">
        <v>707</v>
      </c>
      <c r="I23" s="263">
        <v>1.3580000000000001</v>
      </c>
      <c r="J23" s="263">
        <v>1.6040000000000001</v>
      </c>
      <c r="K23" s="263">
        <f t="shared" si="0"/>
        <v>0.246</v>
      </c>
      <c r="L23" s="108">
        <v>-0.15</v>
      </c>
      <c r="M23" s="44" t="s">
        <v>1874</v>
      </c>
      <c r="P23" s="474" t="s">
        <v>672</v>
      </c>
      <c r="Q23" s="475">
        <v>468</v>
      </c>
      <c r="R23" s="475">
        <v>537</v>
      </c>
      <c r="S23" s="475">
        <v>-69</v>
      </c>
      <c r="T23" s="400">
        <f t="shared" si="1"/>
        <v>-0.12849162011173185</v>
      </c>
    </row>
    <row r="24" spans="1:21">
      <c r="A24" s="44" t="s">
        <v>911</v>
      </c>
      <c r="B24" s="44">
        <v>82</v>
      </c>
      <c r="C24" s="44">
        <v>103</v>
      </c>
      <c r="D24" s="44">
        <v>-21</v>
      </c>
      <c r="E24" s="49">
        <v>-0.21</v>
      </c>
      <c r="H24" s="44" t="s">
        <v>1880</v>
      </c>
      <c r="I24" s="263">
        <v>13</v>
      </c>
      <c r="J24" s="263">
        <v>15</v>
      </c>
      <c r="K24" s="263">
        <f t="shared" si="0"/>
        <v>2</v>
      </c>
      <c r="L24" s="108">
        <v>-0.14000000000000001</v>
      </c>
      <c r="P24" s="474" t="s">
        <v>905</v>
      </c>
      <c r="Q24" s="475">
        <v>73</v>
      </c>
      <c r="R24" s="475">
        <v>84</v>
      </c>
      <c r="S24" s="475">
        <v>-11</v>
      </c>
      <c r="T24" s="400">
        <f t="shared" si="1"/>
        <v>-0.13095238095238096</v>
      </c>
    </row>
    <row r="25" spans="1:21">
      <c r="A25" s="44" t="s">
        <v>998</v>
      </c>
      <c r="B25" s="44">
        <v>151</v>
      </c>
      <c r="C25" s="44">
        <v>171</v>
      </c>
      <c r="D25" s="44">
        <v>-20</v>
      </c>
      <c r="E25" s="49">
        <v>-0.12</v>
      </c>
      <c r="H25" s="44" t="s">
        <v>1320</v>
      </c>
      <c r="I25" s="263">
        <v>439</v>
      </c>
      <c r="J25" s="263">
        <v>509</v>
      </c>
      <c r="K25" s="263">
        <f t="shared" si="0"/>
        <v>70</v>
      </c>
      <c r="L25" s="108">
        <v>-0.14000000000000001</v>
      </c>
      <c r="P25" s="474" t="s">
        <v>134</v>
      </c>
      <c r="Q25" s="475">
        <v>156</v>
      </c>
      <c r="R25" s="475">
        <v>178</v>
      </c>
      <c r="S25" s="475">
        <v>-22</v>
      </c>
      <c r="T25" s="400">
        <f t="shared" si="1"/>
        <v>-0.12359550561797752</v>
      </c>
    </row>
    <row r="26" spans="1:21">
      <c r="A26" s="44" t="s">
        <v>1806</v>
      </c>
      <c r="B26" s="44">
        <v>149</v>
      </c>
      <c r="C26" s="44">
        <v>169</v>
      </c>
      <c r="D26" s="44">
        <v>-19</v>
      </c>
      <c r="E26" s="49">
        <v>-0.12</v>
      </c>
      <c r="H26" s="44" t="s">
        <v>1881</v>
      </c>
      <c r="I26" s="263">
        <v>173</v>
      </c>
      <c r="J26" s="263">
        <v>200</v>
      </c>
      <c r="K26" s="263">
        <f t="shared" si="0"/>
        <v>27</v>
      </c>
      <c r="L26" s="108">
        <v>-0.13</v>
      </c>
      <c r="P26" s="474" t="s">
        <v>481</v>
      </c>
      <c r="Q26" s="475">
        <v>45</v>
      </c>
      <c r="R26" s="475">
        <v>51</v>
      </c>
      <c r="S26" s="475">
        <v>-6</v>
      </c>
      <c r="T26" s="400">
        <f t="shared" si="1"/>
        <v>-0.11764705882352941</v>
      </c>
    </row>
    <row r="27" spans="1:21">
      <c r="A27" s="44" t="s">
        <v>1068</v>
      </c>
      <c r="B27" s="44">
        <v>64</v>
      </c>
      <c r="C27" s="44">
        <v>83</v>
      </c>
      <c r="D27" s="44">
        <v>-19</v>
      </c>
      <c r="E27" s="49">
        <v>-0.23</v>
      </c>
      <c r="H27" s="44" t="s">
        <v>157</v>
      </c>
      <c r="I27" s="263">
        <v>192</v>
      </c>
      <c r="J27" s="263">
        <v>220</v>
      </c>
      <c r="K27" s="263">
        <f t="shared" si="0"/>
        <v>28</v>
      </c>
      <c r="L27" s="108">
        <v>-0.13</v>
      </c>
      <c r="P27" s="474" t="s">
        <v>1126</v>
      </c>
      <c r="Q27" s="475">
        <v>136</v>
      </c>
      <c r="R27" s="475">
        <v>153</v>
      </c>
      <c r="S27" s="475">
        <v>-17</v>
      </c>
      <c r="T27" s="400">
        <f t="shared" si="1"/>
        <v>-0.1111111111111111</v>
      </c>
    </row>
    <row r="28" spans="1:21">
      <c r="A28" s="44" t="s">
        <v>846</v>
      </c>
      <c r="B28" s="44">
        <v>41</v>
      </c>
      <c r="C28" s="44">
        <v>58</v>
      </c>
      <c r="D28" s="44">
        <v>-17</v>
      </c>
      <c r="E28" s="49">
        <v>-0.28999999999999998</v>
      </c>
      <c r="H28" s="44" t="s">
        <v>873</v>
      </c>
      <c r="I28" s="263">
        <v>66</v>
      </c>
      <c r="J28" s="263">
        <v>75</v>
      </c>
      <c r="K28" s="263">
        <f t="shared" si="0"/>
        <v>9</v>
      </c>
      <c r="L28" s="108">
        <v>-0.13</v>
      </c>
    </row>
    <row r="29" spans="1:21">
      <c r="A29" s="44" t="s">
        <v>86</v>
      </c>
      <c r="B29" s="44">
        <v>71</v>
      </c>
      <c r="C29" s="44">
        <v>85</v>
      </c>
      <c r="D29" s="44">
        <v>-14</v>
      </c>
      <c r="E29" s="49">
        <v>-0.17</v>
      </c>
      <c r="H29" s="44" t="s">
        <v>1099</v>
      </c>
      <c r="I29" s="263">
        <v>25</v>
      </c>
      <c r="J29" s="263">
        <v>28</v>
      </c>
      <c r="K29" s="263">
        <f t="shared" si="0"/>
        <v>3</v>
      </c>
      <c r="L29" s="108">
        <v>-0.12</v>
      </c>
    </row>
    <row r="30" spans="1:21">
      <c r="A30" s="44" t="s">
        <v>938</v>
      </c>
      <c r="B30" s="44">
        <v>120</v>
      </c>
      <c r="C30" s="44">
        <v>134</v>
      </c>
      <c r="D30" s="44">
        <v>-14</v>
      </c>
      <c r="E30" s="49">
        <v>-0.11</v>
      </c>
      <c r="H30" s="44" t="s">
        <v>1882</v>
      </c>
      <c r="I30" s="263">
        <v>177</v>
      </c>
      <c r="J30" s="263">
        <v>199</v>
      </c>
      <c r="K30" s="263">
        <f t="shared" si="0"/>
        <v>22</v>
      </c>
      <c r="L30" s="108">
        <v>-0.11</v>
      </c>
    </row>
    <row r="31" spans="1:21">
      <c r="A31" s="44" t="s">
        <v>899</v>
      </c>
      <c r="B31" s="44">
        <v>75</v>
      </c>
      <c r="C31" s="44">
        <v>86</v>
      </c>
      <c r="D31" s="44">
        <v>-11</v>
      </c>
      <c r="E31" s="49">
        <v>-0.13</v>
      </c>
      <c r="H31" s="44" t="s">
        <v>558</v>
      </c>
      <c r="I31" s="263">
        <v>152</v>
      </c>
      <c r="J31" s="263">
        <v>170</v>
      </c>
      <c r="K31" s="263">
        <f t="shared" si="0"/>
        <v>18</v>
      </c>
      <c r="L31" s="108">
        <v>-0.11</v>
      </c>
    </row>
    <row r="32" spans="1:21">
      <c r="A32" s="44" t="s">
        <v>805</v>
      </c>
      <c r="B32" s="44">
        <v>46</v>
      </c>
      <c r="C32" s="44">
        <v>57</v>
      </c>
      <c r="D32" s="44">
        <v>-11</v>
      </c>
      <c r="E32" s="49">
        <v>-0.19</v>
      </c>
      <c r="H32" s="44" t="s">
        <v>1864</v>
      </c>
      <c r="I32" s="263">
        <v>576</v>
      </c>
      <c r="J32" s="263">
        <v>644</v>
      </c>
      <c r="K32" s="263">
        <f t="shared" si="0"/>
        <v>68</v>
      </c>
      <c r="L32" s="108">
        <v>-0.11</v>
      </c>
    </row>
    <row r="33" spans="1:12">
      <c r="A33" s="44" t="s">
        <v>826</v>
      </c>
      <c r="B33" s="44">
        <v>38</v>
      </c>
      <c r="C33" s="44">
        <v>48</v>
      </c>
      <c r="D33" s="44">
        <v>-10</v>
      </c>
      <c r="E33" s="49">
        <v>-0.22</v>
      </c>
      <c r="H33" s="44" t="s">
        <v>1806</v>
      </c>
      <c r="I33" s="263">
        <v>134</v>
      </c>
      <c r="J33" s="263">
        <v>149</v>
      </c>
      <c r="K33" s="263">
        <f t="shared" si="0"/>
        <v>15</v>
      </c>
      <c r="L33" s="108">
        <v>-0.1</v>
      </c>
    </row>
    <row r="34" spans="1:12">
      <c r="A34" s="44" t="s">
        <v>1070</v>
      </c>
      <c r="B34" s="44">
        <v>58</v>
      </c>
      <c r="C34" s="44">
        <v>68</v>
      </c>
      <c r="D34" s="44">
        <v>-10</v>
      </c>
      <c r="E34" s="49">
        <v>-0.15</v>
      </c>
      <c r="H34" s="44"/>
      <c r="I34" s="44"/>
      <c r="J34" s="44"/>
      <c r="K34" s="109"/>
      <c r="L34" s="108"/>
    </row>
    <row r="35" spans="1:12">
      <c r="A35" s="44" t="s">
        <v>877</v>
      </c>
      <c r="B35" s="44">
        <v>58</v>
      </c>
      <c r="C35" s="44">
        <v>68</v>
      </c>
      <c r="D35" s="44">
        <v>-10</v>
      </c>
      <c r="E35" s="49">
        <v>-0.15</v>
      </c>
    </row>
    <row r="36" spans="1:12">
      <c r="A36" s="44" t="s">
        <v>920</v>
      </c>
      <c r="B36" s="44">
        <v>86</v>
      </c>
      <c r="C36" s="44">
        <v>96</v>
      </c>
      <c r="D36" s="44">
        <v>-10</v>
      </c>
      <c r="E36" s="49">
        <v>-0.1</v>
      </c>
    </row>
    <row r="37" spans="1:12">
      <c r="A37" s="44" t="s">
        <v>890</v>
      </c>
      <c r="B37" s="44">
        <v>70</v>
      </c>
      <c r="C37" s="44">
        <v>80</v>
      </c>
      <c r="D37" s="44">
        <v>-10</v>
      </c>
      <c r="E37" s="49">
        <v>-0.12</v>
      </c>
      <c r="K37" s="43">
        <f>SUM(K4:K34)</f>
        <v>859.65199999999993</v>
      </c>
    </row>
    <row r="38" spans="1:12">
      <c r="A38" s="44" t="s">
        <v>1028</v>
      </c>
      <c r="B38" s="44">
        <v>66</v>
      </c>
      <c r="C38" s="44">
        <v>75</v>
      </c>
      <c r="D38" s="44">
        <v>-9</v>
      </c>
      <c r="E38" s="49">
        <v>-0.12</v>
      </c>
    </row>
    <row r="39" spans="1:12">
      <c r="A39" s="44" t="s">
        <v>115</v>
      </c>
      <c r="B39" s="44">
        <v>68</v>
      </c>
      <c r="C39" s="44">
        <v>77</v>
      </c>
      <c r="D39" s="44">
        <v>-9</v>
      </c>
      <c r="E39" s="49">
        <v>-0.12</v>
      </c>
    </row>
    <row r="40" spans="1:12">
      <c r="A40" s="44" t="s">
        <v>830</v>
      </c>
      <c r="B40" s="44">
        <v>43</v>
      </c>
      <c r="C40" s="44">
        <v>51</v>
      </c>
      <c r="D40" s="44">
        <v>-8</v>
      </c>
      <c r="E40" s="49">
        <v>-0.16</v>
      </c>
    </row>
    <row r="41" spans="1:12">
      <c r="A41" s="44" t="s">
        <v>148</v>
      </c>
      <c r="B41" s="44">
        <v>65</v>
      </c>
      <c r="C41" s="44">
        <v>72</v>
      </c>
      <c r="D41" s="44">
        <v>-8</v>
      </c>
      <c r="E41" s="49">
        <v>-0.1</v>
      </c>
    </row>
    <row r="42" spans="1:12">
      <c r="A42" s="44" t="s">
        <v>93</v>
      </c>
      <c r="B42" s="44">
        <v>36</v>
      </c>
      <c r="C42" s="44">
        <v>43</v>
      </c>
      <c r="D42" s="44">
        <v>-7</v>
      </c>
      <c r="E42" s="49">
        <v>-0.17</v>
      </c>
    </row>
    <row r="43" spans="1:12">
      <c r="A43" s="44" t="s">
        <v>783</v>
      </c>
      <c r="B43" s="44">
        <v>30</v>
      </c>
      <c r="C43" s="44">
        <v>37</v>
      </c>
      <c r="D43" s="44">
        <v>-7</v>
      </c>
      <c r="E43" s="49">
        <v>-0.18</v>
      </c>
    </row>
    <row r="44" spans="1:12">
      <c r="A44" s="44" t="s">
        <v>479</v>
      </c>
      <c r="B44" s="44">
        <v>50</v>
      </c>
      <c r="C44" s="44">
        <v>56</v>
      </c>
      <c r="D44" s="44">
        <v>-6</v>
      </c>
      <c r="E44" s="49">
        <v>-0.11</v>
      </c>
    </row>
    <row r="45" spans="1:12">
      <c r="A45" s="44" t="s">
        <v>828</v>
      </c>
      <c r="B45" s="44">
        <v>52</v>
      </c>
      <c r="C45" s="44">
        <v>58</v>
      </c>
      <c r="D45" s="44">
        <v>-6</v>
      </c>
      <c r="E45" s="49">
        <v>-0.11</v>
      </c>
    </row>
    <row r="46" spans="1:12">
      <c r="A46" s="44" t="s">
        <v>1099</v>
      </c>
      <c r="B46" s="44">
        <v>28</v>
      </c>
      <c r="C46" s="44">
        <v>34</v>
      </c>
      <c r="D46" s="44">
        <v>-6</v>
      </c>
      <c r="E46" s="49">
        <v>-0.17</v>
      </c>
    </row>
    <row r="47" spans="1:12">
      <c r="A47" s="44" t="s">
        <v>102</v>
      </c>
      <c r="B47" s="44">
        <v>13</v>
      </c>
      <c r="C47" s="44">
        <v>18</v>
      </c>
      <c r="D47" s="44">
        <v>-5</v>
      </c>
      <c r="E47" s="49">
        <v>-0.28999999999999998</v>
      </c>
    </row>
    <row r="48" spans="1:12">
      <c r="A48" s="44" t="s">
        <v>750</v>
      </c>
      <c r="B48" s="44">
        <v>16</v>
      </c>
      <c r="C48" s="44">
        <v>21</v>
      </c>
      <c r="D48" s="44">
        <v>-5</v>
      </c>
      <c r="E48" s="49">
        <v>-0.24</v>
      </c>
    </row>
    <row r="49" spans="1:5">
      <c r="A49" s="44" t="s">
        <v>850</v>
      </c>
      <c r="B49" s="44">
        <v>40</v>
      </c>
      <c r="C49" s="44">
        <v>45</v>
      </c>
      <c r="D49" s="44">
        <v>-5</v>
      </c>
      <c r="E49" s="49">
        <v>-0.11</v>
      </c>
    </row>
    <row r="50" spans="1:5">
      <c r="A50" s="44" t="s">
        <v>82</v>
      </c>
      <c r="B50" s="44">
        <v>30</v>
      </c>
      <c r="C50" s="44">
        <v>35</v>
      </c>
      <c r="D50" s="44">
        <v>-5</v>
      </c>
      <c r="E50" s="49">
        <v>-0.13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16"/>
  <sheetViews>
    <sheetView workbookViewId="0">
      <selection activeCell="A16" sqref="A16:CC16"/>
    </sheetView>
  </sheetViews>
  <sheetFormatPr defaultColWidth="9.140625" defaultRowHeight="15"/>
  <cols>
    <col min="1" max="5" width="9.140625" style="48"/>
    <col min="6" max="6" width="34.42578125" style="48" customWidth="1"/>
    <col min="7" max="16384" width="9.140625" style="48"/>
  </cols>
  <sheetData>
    <row r="2" spans="1:16383" ht="66.2">
      <c r="A2" s="284" t="s">
        <v>0</v>
      </c>
      <c r="B2" s="284" t="s">
        <v>1</v>
      </c>
      <c r="C2" s="285" t="s">
        <v>1883</v>
      </c>
      <c r="D2" s="285" t="s">
        <v>3</v>
      </c>
      <c r="E2" s="285" t="s">
        <v>4</v>
      </c>
      <c r="F2" s="284" t="s">
        <v>5</v>
      </c>
      <c r="G2" s="284" t="s">
        <v>6</v>
      </c>
      <c r="H2" s="284" t="s">
        <v>9</v>
      </c>
      <c r="I2" s="286" t="s">
        <v>10</v>
      </c>
      <c r="J2" s="284" t="s">
        <v>11</v>
      </c>
      <c r="K2" s="284" t="s">
        <v>12</v>
      </c>
      <c r="L2" s="284" t="s">
        <v>13</v>
      </c>
      <c r="M2" s="287" t="s">
        <v>14</v>
      </c>
      <c r="N2" s="287" t="s">
        <v>15</v>
      </c>
      <c r="O2" s="288" t="s">
        <v>16</v>
      </c>
      <c r="P2" s="289" t="s">
        <v>17</v>
      </c>
      <c r="Q2" s="290" t="s">
        <v>20</v>
      </c>
      <c r="R2" s="289" t="s">
        <v>21</v>
      </c>
      <c r="S2" s="291" t="s">
        <v>22</v>
      </c>
      <c r="T2" s="292" t="s">
        <v>23</v>
      </c>
      <c r="U2" s="292" t="s">
        <v>24</v>
      </c>
      <c r="V2" s="293" t="s">
        <v>25</v>
      </c>
      <c r="W2" s="289" t="s">
        <v>26</v>
      </c>
      <c r="X2" s="294" t="s">
        <v>27</v>
      </c>
      <c r="Y2" s="295" t="s">
        <v>28</v>
      </c>
      <c r="Z2" s="296" t="s">
        <v>29</v>
      </c>
      <c r="AA2" s="295" t="s">
        <v>7</v>
      </c>
      <c r="AB2" s="296" t="s">
        <v>30</v>
      </c>
      <c r="AC2" s="296" t="s">
        <v>31</v>
      </c>
      <c r="AD2" s="296" t="s">
        <v>32</v>
      </c>
      <c r="AE2" s="297" t="s">
        <v>33</v>
      </c>
      <c r="AF2" s="297" t="s">
        <v>34</v>
      </c>
      <c r="AG2" s="298" t="s">
        <v>35</v>
      </c>
      <c r="AH2" s="298" t="s">
        <v>36</v>
      </c>
      <c r="AI2" s="299" t="s">
        <v>37</v>
      </c>
      <c r="AJ2" s="300" t="s">
        <v>38</v>
      </c>
      <c r="AK2" s="301" t="s">
        <v>39</v>
      </c>
      <c r="AL2" s="302" t="s">
        <v>40</v>
      </c>
      <c r="AM2" s="303" t="s">
        <v>41</v>
      </c>
      <c r="AN2" s="304" t="s">
        <v>42</v>
      </c>
      <c r="AO2" s="305" t="s">
        <v>43</v>
      </c>
      <c r="AP2" s="306" t="s">
        <v>44</v>
      </c>
      <c r="AQ2" s="298" t="s">
        <v>45</v>
      </c>
      <c r="AR2" s="298" t="s">
        <v>46</v>
      </c>
      <c r="AS2" s="307" t="s">
        <v>47</v>
      </c>
      <c r="AT2" s="307" t="s">
        <v>48</v>
      </c>
      <c r="AU2" s="307" t="s">
        <v>49</v>
      </c>
      <c r="AV2" s="307" t="s">
        <v>50</v>
      </c>
      <c r="AW2" s="308" t="s">
        <v>51</v>
      </c>
      <c r="AX2" s="297" t="s">
        <v>52</v>
      </c>
      <c r="AY2" s="297" t="s">
        <v>53</v>
      </c>
      <c r="AZ2" s="309" t="s">
        <v>54</v>
      </c>
      <c r="BA2" s="309"/>
      <c r="BB2" s="310"/>
      <c r="BC2" s="310"/>
      <c r="BD2" s="310"/>
      <c r="BE2" s="310"/>
      <c r="BF2" s="310"/>
      <c r="BG2" s="310"/>
      <c r="BH2" s="310"/>
      <c r="BI2" s="310"/>
      <c r="BJ2" s="310"/>
      <c r="BK2" s="310"/>
      <c r="BL2" s="310"/>
      <c r="BM2" s="310"/>
      <c r="BN2" s="310"/>
      <c r="BO2" s="310"/>
      <c r="BP2" s="310"/>
      <c r="BQ2" s="310"/>
      <c r="BR2" s="310"/>
      <c r="BS2" s="310"/>
      <c r="BT2" s="310"/>
      <c r="BU2" s="310"/>
      <c r="BV2" s="310"/>
      <c r="BW2" s="310" t="s">
        <v>56</v>
      </c>
      <c r="BX2" s="311"/>
      <c r="BY2" s="312" t="s">
        <v>57</v>
      </c>
      <c r="BZ2" s="311"/>
    </row>
    <row r="3" spans="1:16383">
      <c r="A3" s="264">
        <v>19963</v>
      </c>
      <c r="B3" s="264" t="s">
        <v>1884</v>
      </c>
      <c r="C3" s="265"/>
      <c r="D3" s="121">
        <f t="shared" ref="D3:D8" si="0">COUNTIF(AG3:AU3,"*OK*")</f>
        <v>0</v>
      </c>
      <c r="E3" s="121"/>
      <c r="F3" s="266" t="s">
        <v>1859</v>
      </c>
      <c r="G3" s="266"/>
      <c r="H3" s="266"/>
      <c r="I3" s="267" t="s">
        <v>68</v>
      </c>
      <c r="J3" s="266" t="s">
        <v>69</v>
      </c>
      <c r="K3" s="266"/>
      <c r="L3" s="266"/>
      <c r="M3" s="265">
        <v>103.2</v>
      </c>
      <c r="N3" s="265">
        <v>81.96</v>
      </c>
      <c r="O3" s="265">
        <v>76.84</v>
      </c>
      <c r="P3" s="268">
        <v>75.78</v>
      </c>
      <c r="Q3" s="269"/>
      <c r="R3" s="270">
        <v>300</v>
      </c>
      <c r="S3" s="271" t="s">
        <v>1885</v>
      </c>
      <c r="T3" s="272" t="s">
        <v>200</v>
      </c>
      <c r="U3" s="273" t="s">
        <v>162</v>
      </c>
      <c r="V3" s="217" t="s">
        <v>1886</v>
      </c>
      <c r="W3" s="270" t="s">
        <v>162</v>
      </c>
      <c r="X3" s="274" t="s">
        <v>240</v>
      </c>
      <c r="Y3" s="275" t="s">
        <v>1401</v>
      </c>
      <c r="Z3" s="121"/>
      <c r="AA3" s="275"/>
      <c r="AB3" s="121"/>
      <c r="AC3" s="121"/>
      <c r="AD3" s="121"/>
      <c r="AE3" s="121"/>
      <c r="AF3" s="214" t="s">
        <v>127</v>
      </c>
      <c r="AG3" s="214" t="s">
        <v>59</v>
      </c>
      <c r="AH3" s="214" t="s">
        <v>59</v>
      </c>
      <c r="AI3" s="214" t="s">
        <v>59</v>
      </c>
      <c r="AJ3" s="214" t="s">
        <v>59</v>
      </c>
      <c r="AK3" s="214" t="s">
        <v>59</v>
      </c>
      <c r="AL3" s="214" t="s">
        <v>59</v>
      </c>
      <c r="AM3" s="214" t="s">
        <v>59</v>
      </c>
      <c r="AN3" s="214" t="s">
        <v>59</v>
      </c>
      <c r="AO3" s="214" t="s">
        <v>59</v>
      </c>
      <c r="AP3" s="214" t="s">
        <v>59</v>
      </c>
      <c r="AQ3" s="214"/>
      <c r="AR3" s="214" t="s">
        <v>59</v>
      </c>
      <c r="AS3" s="214" t="s">
        <v>59</v>
      </c>
      <c r="AT3" s="214" t="s">
        <v>59</v>
      </c>
      <c r="AU3" s="214"/>
      <c r="AV3" s="214" t="s">
        <v>59</v>
      </c>
      <c r="AW3" s="214" t="s">
        <v>59</v>
      </c>
      <c r="AX3" s="121">
        <f t="shared" ref="AX3:AX14" si="1">(COUNTIF(AG3:AI3,"*OK*")*3) + (COUNTIF(AJ3:AL3,"*OK*")*2) + COUNTIF(AM3:AO3,"*OK*")+COUNTIF(AW3:AW3,"SI")*0.5</f>
        <v>0</v>
      </c>
      <c r="AY3" s="121" t="str">
        <f t="shared" ref="AY3:AY14" si="2">IF(AX3&lt;0.6,"Demasiado Riesgo",IF(AX3&lt;=5,"Riesgo Medio",IF(AX3&lt;=11,"Riesgo Bajo","Cliente Blindado")))</f>
        <v>Demasiado Riesgo</v>
      </c>
      <c r="AZ3" s="121"/>
      <c r="BA3" s="121"/>
      <c r="BB3" s="121"/>
      <c r="BC3" s="121"/>
      <c r="BD3" s="121"/>
      <c r="BE3" s="121"/>
      <c r="BF3" s="121"/>
      <c r="BG3" s="121"/>
      <c r="BH3" s="121"/>
      <c r="BI3" s="121"/>
      <c r="BJ3" s="121"/>
      <c r="BK3" s="121"/>
      <c r="BL3" s="121"/>
      <c r="BM3" s="121"/>
      <c r="BN3" s="121"/>
      <c r="BO3" s="121"/>
      <c r="BP3" s="121"/>
      <c r="BQ3" s="121"/>
      <c r="BR3" s="121"/>
      <c r="BS3" s="121"/>
      <c r="BT3" s="121"/>
      <c r="BU3" s="121"/>
      <c r="BV3" s="121"/>
      <c r="BW3" s="121">
        <f t="shared" ref="BW3:BW13" si="3">COUNTIF(AF3:AT3,"*OK*")</f>
        <v>0</v>
      </c>
      <c r="BX3" s="121"/>
      <c r="BY3" s="121">
        <f t="shared" ref="BY3:BY13" si="4">COUNTIF(AF3:AT3,"*OP*")</f>
        <v>0</v>
      </c>
      <c r="BZ3" s="121"/>
    </row>
    <row r="4" spans="1:16383">
      <c r="A4" s="264">
        <v>19963</v>
      </c>
      <c r="B4" s="264" t="s">
        <v>1884</v>
      </c>
      <c r="C4" s="265"/>
      <c r="D4" s="121">
        <f t="shared" si="0"/>
        <v>0</v>
      </c>
      <c r="E4" s="121"/>
      <c r="F4" s="266" t="s">
        <v>1887</v>
      </c>
      <c r="G4" s="266" t="s">
        <v>1888</v>
      </c>
      <c r="H4" s="266"/>
      <c r="I4" s="276" t="s">
        <v>79</v>
      </c>
      <c r="J4" s="266" t="s">
        <v>69</v>
      </c>
      <c r="K4" s="266"/>
      <c r="L4" s="266"/>
      <c r="M4" s="265">
        <v>674.77</v>
      </c>
      <c r="N4" s="265">
        <v>682.08</v>
      </c>
      <c r="O4" s="265">
        <v>652.53</v>
      </c>
      <c r="P4" s="268">
        <v>575.62</v>
      </c>
      <c r="Q4" s="269"/>
      <c r="R4" s="270">
        <v>300</v>
      </c>
      <c r="S4" s="271" t="s">
        <v>1889</v>
      </c>
      <c r="T4" s="273" t="s">
        <v>200</v>
      </c>
      <c r="U4" s="273" t="s">
        <v>162</v>
      </c>
      <c r="V4" s="217" t="s">
        <v>1886</v>
      </c>
      <c r="W4" s="270" t="s">
        <v>162</v>
      </c>
      <c r="X4" s="274" t="s">
        <v>65</v>
      </c>
      <c r="Y4" s="275" t="s">
        <v>1401</v>
      </c>
      <c r="Z4" s="121"/>
      <c r="AA4" s="275"/>
      <c r="AB4" s="121"/>
      <c r="AC4" s="121"/>
      <c r="AD4" s="121"/>
      <c r="AE4" s="121"/>
      <c r="AF4" s="217" t="s">
        <v>127</v>
      </c>
      <c r="AG4" s="214" t="s">
        <v>59</v>
      </c>
      <c r="AH4" s="214" t="s">
        <v>59</v>
      </c>
      <c r="AI4" s="214" t="s">
        <v>59</v>
      </c>
      <c r="AJ4" s="214" t="s">
        <v>59</v>
      </c>
      <c r="AK4" s="214" t="s">
        <v>59</v>
      </c>
      <c r="AL4" s="214" t="s">
        <v>59</v>
      </c>
      <c r="AM4" s="214" t="s">
        <v>59</v>
      </c>
      <c r="AN4" s="214" t="s">
        <v>59</v>
      </c>
      <c r="AO4" s="214" t="s">
        <v>59</v>
      </c>
      <c r="AP4" s="214" t="s">
        <v>59</v>
      </c>
      <c r="AQ4" s="214"/>
      <c r="AR4" s="214" t="s">
        <v>59</v>
      </c>
      <c r="AS4" s="214" t="s">
        <v>59</v>
      </c>
      <c r="AT4" s="214" t="s">
        <v>59</v>
      </c>
      <c r="AU4" s="214"/>
      <c r="AV4" s="214" t="s">
        <v>59</v>
      </c>
      <c r="AW4" s="217" t="s">
        <v>59</v>
      </c>
      <c r="AX4" s="121">
        <f t="shared" si="1"/>
        <v>0</v>
      </c>
      <c r="AY4" s="121" t="str">
        <f t="shared" si="2"/>
        <v>Demasiado Riesgo</v>
      </c>
      <c r="AZ4" s="121"/>
      <c r="BA4" s="121"/>
      <c r="BB4" s="121"/>
      <c r="BC4" s="121"/>
      <c r="BD4" s="121"/>
      <c r="BE4" s="121"/>
      <c r="BF4" s="121"/>
      <c r="BG4" s="121"/>
      <c r="BH4" s="121"/>
      <c r="BI4" s="121"/>
      <c r="BJ4" s="121"/>
      <c r="BK4" s="121"/>
      <c r="BL4" s="121"/>
      <c r="BM4" s="121"/>
      <c r="BN4" s="121"/>
      <c r="BO4" s="121"/>
      <c r="BP4" s="121"/>
      <c r="BQ4" s="121"/>
      <c r="BR4" s="121"/>
      <c r="BS4" s="121"/>
      <c r="BT4" s="121"/>
      <c r="BU4" s="121"/>
      <c r="BV4" s="121"/>
      <c r="BW4" s="121">
        <f t="shared" si="3"/>
        <v>0</v>
      </c>
      <c r="BX4" s="121"/>
      <c r="BY4" s="121">
        <f t="shared" si="4"/>
        <v>0</v>
      </c>
      <c r="BZ4" s="121"/>
    </row>
    <row r="5" spans="1:16383">
      <c r="A5" s="264"/>
      <c r="B5" s="264"/>
      <c r="C5" s="265"/>
      <c r="D5" s="121">
        <f t="shared" si="0"/>
        <v>0</v>
      </c>
      <c r="E5" s="121"/>
      <c r="F5" s="266" t="s">
        <v>1890</v>
      </c>
      <c r="G5" s="266"/>
      <c r="H5" s="266"/>
      <c r="I5" s="267" t="s">
        <v>68</v>
      </c>
      <c r="J5" s="266" t="s">
        <v>69</v>
      </c>
      <c r="K5" s="266"/>
      <c r="L5" s="266"/>
      <c r="M5" s="265">
        <v>340.86</v>
      </c>
      <c r="N5" s="265">
        <v>378.6</v>
      </c>
      <c r="O5" s="265">
        <v>360.8</v>
      </c>
      <c r="P5" s="268">
        <v>0</v>
      </c>
      <c r="Q5" s="269"/>
      <c r="R5" s="270">
        <v>5000</v>
      </c>
      <c r="S5" s="271"/>
      <c r="T5" s="272" t="s">
        <v>705</v>
      </c>
      <c r="U5" s="273" t="s">
        <v>313</v>
      </c>
      <c r="V5" s="217" t="s">
        <v>1891</v>
      </c>
      <c r="W5" s="270" t="s">
        <v>59</v>
      </c>
      <c r="X5" s="274" t="s">
        <v>1892</v>
      </c>
      <c r="Y5" s="275" t="s">
        <v>1401</v>
      </c>
      <c r="Z5" s="121"/>
      <c r="AA5" s="275"/>
      <c r="AB5" s="121"/>
      <c r="AC5" s="121"/>
      <c r="AD5" s="121"/>
      <c r="AE5" s="121"/>
      <c r="AF5" s="214" t="s">
        <v>59</v>
      </c>
      <c r="AG5" s="214" t="s">
        <v>59</v>
      </c>
      <c r="AH5" s="214" t="s">
        <v>59</v>
      </c>
      <c r="AI5" s="214" t="s">
        <v>59</v>
      </c>
      <c r="AJ5" s="214" t="s">
        <v>59</v>
      </c>
      <c r="AK5" s="214" t="s">
        <v>59</v>
      </c>
      <c r="AL5" s="214" t="s">
        <v>59</v>
      </c>
      <c r="AM5" s="214" t="s">
        <v>59</v>
      </c>
      <c r="AN5" s="214" t="s">
        <v>59</v>
      </c>
      <c r="AO5" s="214" t="s">
        <v>59</v>
      </c>
      <c r="AP5" s="214" t="s">
        <v>59</v>
      </c>
      <c r="AQ5" s="214"/>
      <c r="AR5" s="214" t="s">
        <v>59</v>
      </c>
      <c r="AS5" s="214" t="s">
        <v>59</v>
      </c>
      <c r="AT5" s="214" t="s">
        <v>59</v>
      </c>
      <c r="AU5" s="214"/>
      <c r="AV5" s="214" t="s">
        <v>59</v>
      </c>
      <c r="AW5" s="214" t="s">
        <v>59</v>
      </c>
      <c r="AX5" s="121">
        <f t="shared" si="1"/>
        <v>0</v>
      </c>
      <c r="AY5" s="121" t="str">
        <f t="shared" si="2"/>
        <v>Demasiado Riesgo</v>
      </c>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f t="shared" si="3"/>
        <v>0</v>
      </c>
      <c r="BX5" s="121"/>
      <c r="BY5" s="121">
        <f t="shared" si="4"/>
        <v>0</v>
      </c>
      <c r="BZ5" s="121"/>
    </row>
    <row r="6" spans="1:16383">
      <c r="A6" s="264"/>
      <c r="B6" s="264"/>
      <c r="C6" s="265"/>
      <c r="D6" s="121">
        <f t="shared" si="0"/>
        <v>0</v>
      </c>
      <c r="E6" s="121"/>
      <c r="F6" s="266" t="s">
        <v>1103</v>
      </c>
      <c r="G6" s="266" t="s">
        <v>1888</v>
      </c>
      <c r="H6" s="266"/>
      <c r="I6" s="277" t="s">
        <v>79</v>
      </c>
      <c r="J6" s="266" t="s">
        <v>69</v>
      </c>
      <c r="K6" s="266"/>
      <c r="L6" s="266"/>
      <c r="M6" s="265">
        <v>55.57</v>
      </c>
      <c r="N6" s="265">
        <v>54.2</v>
      </c>
      <c r="O6" s="265">
        <v>55.43</v>
      </c>
      <c r="P6" s="268">
        <v>0</v>
      </c>
      <c r="Q6" s="269"/>
      <c r="R6" s="270">
        <v>100</v>
      </c>
      <c r="S6" s="271"/>
      <c r="T6" s="272" t="s">
        <v>441</v>
      </c>
      <c r="U6" s="273" t="s">
        <v>162</v>
      </c>
      <c r="V6" s="217" t="s">
        <v>1893</v>
      </c>
      <c r="W6" s="270" t="s">
        <v>59</v>
      </c>
      <c r="X6" s="274" t="s">
        <v>240</v>
      </c>
      <c r="Y6" s="275" t="s">
        <v>1401</v>
      </c>
      <c r="Z6" s="121"/>
      <c r="AA6" s="275"/>
      <c r="AB6" s="121"/>
      <c r="AC6" s="121"/>
      <c r="AD6" s="121"/>
      <c r="AE6" s="121"/>
      <c r="AF6" s="278" t="s">
        <v>59</v>
      </c>
      <c r="AG6" s="214" t="s">
        <v>59</v>
      </c>
      <c r="AH6" s="214" t="s">
        <v>59</v>
      </c>
      <c r="AI6" s="214" t="s">
        <v>59</v>
      </c>
      <c r="AJ6" s="214" t="s">
        <v>59</v>
      </c>
      <c r="AK6" s="214" t="s">
        <v>59</v>
      </c>
      <c r="AL6" s="214" t="s">
        <v>59</v>
      </c>
      <c r="AM6" s="214" t="s">
        <v>59</v>
      </c>
      <c r="AN6" s="214" t="s">
        <v>59</v>
      </c>
      <c r="AO6" s="214" t="s">
        <v>59</v>
      </c>
      <c r="AP6" s="214" t="s">
        <v>59</v>
      </c>
      <c r="AQ6" s="214"/>
      <c r="AR6" s="214" t="s">
        <v>59</v>
      </c>
      <c r="AS6" s="214" t="s">
        <v>59</v>
      </c>
      <c r="AT6" s="214" t="s">
        <v>59</v>
      </c>
      <c r="AU6" s="214"/>
      <c r="AV6" s="214" t="s">
        <v>59</v>
      </c>
      <c r="AW6" s="214" t="s">
        <v>59</v>
      </c>
      <c r="AX6" s="121">
        <f t="shared" si="1"/>
        <v>0</v>
      </c>
      <c r="AY6" s="121" t="str">
        <f t="shared" si="2"/>
        <v>Demasiado Riesgo</v>
      </c>
      <c r="AZ6" s="121"/>
      <c r="BA6" s="121"/>
      <c r="BB6" s="121"/>
      <c r="BC6" s="121"/>
      <c r="BD6" s="121"/>
      <c r="BE6" s="121"/>
      <c r="BF6" s="121"/>
      <c r="BG6" s="121"/>
      <c r="BH6" s="121"/>
      <c r="BI6" s="121"/>
      <c r="BJ6" s="121"/>
      <c r="BK6" s="121"/>
      <c r="BL6" s="121"/>
      <c r="BM6" s="121"/>
      <c r="BN6" s="121"/>
      <c r="BO6" s="121"/>
      <c r="BP6" s="121"/>
      <c r="BQ6" s="121"/>
      <c r="BR6" s="121"/>
      <c r="BS6" s="121"/>
      <c r="BT6" s="121"/>
      <c r="BU6" s="121"/>
      <c r="BV6" s="121"/>
      <c r="BW6" s="121">
        <f t="shared" si="3"/>
        <v>0</v>
      </c>
      <c r="BX6" s="121"/>
      <c r="BY6" s="121">
        <f t="shared" si="4"/>
        <v>0</v>
      </c>
      <c r="BZ6" s="121"/>
    </row>
    <row r="7" spans="1:16383">
      <c r="A7" s="264"/>
      <c r="B7" s="264"/>
      <c r="C7" s="265"/>
      <c r="D7" s="121">
        <f t="shared" si="0"/>
        <v>0</v>
      </c>
      <c r="E7" s="121"/>
      <c r="F7" s="266" t="s">
        <v>1894</v>
      </c>
      <c r="G7" s="266" t="s">
        <v>1888</v>
      </c>
      <c r="H7" s="266"/>
      <c r="I7" s="267" t="s">
        <v>68</v>
      </c>
      <c r="J7" s="266" t="s">
        <v>69</v>
      </c>
      <c r="K7" s="266"/>
      <c r="L7" s="266"/>
      <c r="M7" s="265"/>
      <c r="N7" s="265">
        <v>44.94</v>
      </c>
      <c r="O7" s="265">
        <v>44.09</v>
      </c>
      <c r="P7" s="268">
        <v>44.21</v>
      </c>
      <c r="Q7" s="269"/>
      <c r="R7" s="270">
        <v>50</v>
      </c>
      <c r="S7" s="271"/>
      <c r="T7" s="273" t="s">
        <v>441</v>
      </c>
      <c r="U7" s="273" t="s">
        <v>80</v>
      </c>
      <c r="V7" s="217" t="s">
        <v>1895</v>
      </c>
      <c r="W7" s="270" t="s">
        <v>59</v>
      </c>
      <c r="X7" s="274" t="s">
        <v>65</v>
      </c>
      <c r="Y7" s="275" t="s">
        <v>1401</v>
      </c>
      <c r="Z7" s="121"/>
      <c r="AA7" s="275"/>
      <c r="AB7" s="121"/>
      <c r="AC7" s="121"/>
      <c r="AD7" s="121"/>
      <c r="AE7" s="121"/>
      <c r="AF7" s="278" t="s">
        <v>59</v>
      </c>
      <c r="AG7" s="214" t="s">
        <v>59</v>
      </c>
      <c r="AH7" s="214" t="s">
        <v>59</v>
      </c>
      <c r="AI7" s="214" t="s">
        <v>59</v>
      </c>
      <c r="AJ7" s="214" t="s">
        <v>59</v>
      </c>
      <c r="AK7" s="214" t="s">
        <v>59</v>
      </c>
      <c r="AL7" s="214" t="s">
        <v>59</v>
      </c>
      <c r="AM7" s="214" t="s">
        <v>59</v>
      </c>
      <c r="AN7" s="214" t="s">
        <v>59</v>
      </c>
      <c r="AO7" s="214" t="s">
        <v>59</v>
      </c>
      <c r="AP7" s="214" t="s">
        <v>59</v>
      </c>
      <c r="AQ7" s="214"/>
      <c r="AR7" s="214" t="s">
        <v>59</v>
      </c>
      <c r="AS7" s="214" t="s">
        <v>59</v>
      </c>
      <c r="AT7" s="214" t="s">
        <v>59</v>
      </c>
      <c r="AU7" s="214"/>
      <c r="AV7" s="214" t="s">
        <v>59</v>
      </c>
      <c r="AW7" s="214" t="s">
        <v>59</v>
      </c>
      <c r="AX7" s="121">
        <f t="shared" si="1"/>
        <v>0</v>
      </c>
      <c r="AY7" s="121" t="str">
        <f t="shared" si="2"/>
        <v>Demasiado Riesgo</v>
      </c>
      <c r="AZ7" s="121"/>
      <c r="BA7" s="121"/>
      <c r="BB7" s="121"/>
      <c r="BC7" s="121"/>
      <c r="BD7" s="121"/>
      <c r="BE7" s="121"/>
      <c r="BF7" s="121"/>
      <c r="BG7" s="121"/>
      <c r="BH7" s="121"/>
      <c r="BI7" s="121"/>
      <c r="BJ7" s="121"/>
      <c r="BK7" s="121"/>
      <c r="BL7" s="121"/>
      <c r="BM7" s="121"/>
      <c r="BN7" s="121"/>
      <c r="BO7" s="121"/>
      <c r="BP7" s="121"/>
      <c r="BQ7" s="121"/>
      <c r="BR7" s="121"/>
      <c r="BS7" s="121"/>
      <c r="BT7" s="121"/>
      <c r="BU7" s="121"/>
      <c r="BV7" s="121"/>
      <c r="BW7" s="121">
        <f t="shared" si="3"/>
        <v>0</v>
      </c>
      <c r="BX7" s="121"/>
      <c r="BY7" s="121">
        <f t="shared" si="4"/>
        <v>0</v>
      </c>
      <c r="BZ7" s="121"/>
    </row>
    <row r="8" spans="1:16383">
      <c r="A8" s="264">
        <v>25707</v>
      </c>
      <c r="B8" s="264" t="s">
        <v>1896</v>
      </c>
      <c r="C8" s="265"/>
      <c r="D8" s="121">
        <f t="shared" si="0"/>
        <v>0</v>
      </c>
      <c r="E8" s="121"/>
      <c r="F8" s="266" t="s">
        <v>1897</v>
      </c>
      <c r="G8" s="266"/>
      <c r="H8" s="266"/>
      <c r="I8" s="267" t="s">
        <v>68</v>
      </c>
      <c r="J8" s="266" t="s">
        <v>69</v>
      </c>
      <c r="K8" s="266"/>
      <c r="L8" s="266"/>
      <c r="M8" s="265">
        <v>342.12</v>
      </c>
      <c r="N8" s="265">
        <v>346.13</v>
      </c>
      <c r="O8" s="265"/>
      <c r="P8" s="279">
        <v>0</v>
      </c>
      <c r="Q8" s="269"/>
      <c r="R8" s="270">
        <v>200</v>
      </c>
      <c r="S8" s="271" t="s">
        <v>1898</v>
      </c>
      <c r="T8" s="272" t="s">
        <v>1898</v>
      </c>
      <c r="U8" s="273" t="s">
        <v>152</v>
      </c>
      <c r="V8" s="217" t="s">
        <v>1899</v>
      </c>
      <c r="W8" s="270" t="s">
        <v>147</v>
      </c>
      <c r="X8" s="274" t="s">
        <v>65</v>
      </c>
      <c r="Y8" s="275" t="s">
        <v>1401</v>
      </c>
      <c r="Z8" s="121"/>
      <c r="AA8" s="275"/>
      <c r="AB8" s="121"/>
      <c r="AC8" s="121"/>
      <c r="AD8" s="121"/>
      <c r="AE8" s="121"/>
      <c r="AF8" s="217" t="s">
        <v>59</v>
      </c>
      <c r="AG8" s="214" t="s">
        <v>59</v>
      </c>
      <c r="AH8" s="214" t="s">
        <v>59</v>
      </c>
      <c r="AI8" s="214" t="s">
        <v>59</v>
      </c>
      <c r="AJ8" s="214" t="s">
        <v>59</v>
      </c>
      <c r="AK8" s="214" t="s">
        <v>59</v>
      </c>
      <c r="AL8" s="214" t="s">
        <v>59</v>
      </c>
      <c r="AM8" s="214" t="s">
        <v>59</v>
      </c>
      <c r="AN8" s="214" t="s">
        <v>59</v>
      </c>
      <c r="AO8" s="214" t="s">
        <v>59</v>
      </c>
      <c r="AP8" s="214" t="s">
        <v>59</v>
      </c>
      <c r="AQ8" s="214"/>
      <c r="AR8" s="214" t="s">
        <v>59</v>
      </c>
      <c r="AS8" s="214" t="s">
        <v>59</v>
      </c>
      <c r="AT8" s="214" t="s">
        <v>59</v>
      </c>
      <c r="AU8" s="214"/>
      <c r="AV8" s="214" t="s">
        <v>59</v>
      </c>
      <c r="AW8" s="217" t="s">
        <v>59</v>
      </c>
      <c r="AX8" s="121">
        <f t="shared" si="1"/>
        <v>0</v>
      </c>
      <c r="AY8" s="121" t="str">
        <f t="shared" si="2"/>
        <v>Demasiado Riesgo</v>
      </c>
      <c r="AZ8" s="121"/>
      <c r="BA8" s="121"/>
      <c r="BB8" s="121"/>
      <c r="BC8" s="121"/>
      <c r="BD8" s="121"/>
      <c r="BE8" s="121"/>
      <c r="BF8" s="121"/>
      <c r="BG8" s="121"/>
      <c r="BH8" s="121"/>
      <c r="BI8" s="121"/>
      <c r="BJ8" s="121"/>
      <c r="BK8" s="121"/>
      <c r="BL8" s="121"/>
      <c r="BM8" s="121"/>
      <c r="BN8" s="121"/>
      <c r="BO8" s="121"/>
      <c r="BP8" s="121"/>
      <c r="BQ8" s="121"/>
      <c r="BR8" s="121"/>
      <c r="BS8" s="121"/>
      <c r="BT8" s="121"/>
      <c r="BU8" s="121"/>
      <c r="BV8" s="121"/>
      <c r="BW8" s="121">
        <f t="shared" si="3"/>
        <v>0</v>
      </c>
      <c r="BX8" s="121"/>
      <c r="BY8" s="121">
        <f t="shared" si="4"/>
        <v>0</v>
      </c>
      <c r="BZ8" s="121"/>
    </row>
    <row r="9" spans="1:16383">
      <c r="A9" s="121"/>
      <c r="B9" s="121"/>
      <c r="C9" s="280"/>
      <c r="D9" s="121">
        <f>COUNTIF(AK9:AV9,"OK")</f>
        <v>0</v>
      </c>
      <c r="E9" s="121"/>
      <c r="F9" s="264" t="s">
        <v>1900</v>
      </c>
      <c r="G9" s="264" t="s">
        <v>196</v>
      </c>
      <c r="H9" s="264" t="s">
        <v>59</v>
      </c>
      <c r="I9" s="264" t="s">
        <v>68</v>
      </c>
      <c r="J9" s="264" t="s">
        <v>69</v>
      </c>
      <c r="K9" s="264" t="s">
        <v>59</v>
      </c>
      <c r="L9" s="264" t="s">
        <v>59</v>
      </c>
      <c r="M9" s="264">
        <v>401.97</v>
      </c>
      <c r="N9" s="264" t="s">
        <v>59</v>
      </c>
      <c r="O9" s="264" t="s">
        <v>59</v>
      </c>
      <c r="P9" s="278">
        <v>2903.24</v>
      </c>
      <c r="Q9" s="269"/>
      <c r="R9" s="270" t="s">
        <v>59</v>
      </c>
      <c r="S9" s="121"/>
      <c r="T9" s="272"/>
      <c r="U9" s="273"/>
      <c r="V9" s="217"/>
      <c r="W9" s="278" t="s">
        <v>59</v>
      </c>
      <c r="X9" s="217" t="s">
        <v>65</v>
      </c>
      <c r="Y9" s="275" t="s">
        <v>1401</v>
      </c>
      <c r="Z9" s="121"/>
      <c r="AA9" s="275"/>
      <c r="AB9" s="121"/>
      <c r="AC9" s="121"/>
      <c r="AD9" s="121"/>
      <c r="AE9" s="121"/>
      <c r="AF9" s="217" t="s">
        <v>59</v>
      </c>
      <c r="AG9" s="214" t="s">
        <v>59</v>
      </c>
      <c r="AH9" s="214" t="s">
        <v>59</v>
      </c>
      <c r="AI9" s="217" t="s">
        <v>59</v>
      </c>
      <c r="AJ9" s="214" t="s">
        <v>59</v>
      </c>
      <c r="AK9" s="214" t="s">
        <v>59</v>
      </c>
      <c r="AL9" s="214" t="s">
        <v>59</v>
      </c>
      <c r="AM9" s="214" t="s">
        <v>59</v>
      </c>
      <c r="AN9" s="214" t="s">
        <v>59</v>
      </c>
      <c r="AO9" s="214" t="s">
        <v>59</v>
      </c>
      <c r="AP9" s="214" t="s">
        <v>59</v>
      </c>
      <c r="AQ9" s="214"/>
      <c r="AR9" s="214" t="s">
        <v>59</v>
      </c>
      <c r="AS9" s="214" t="s">
        <v>59</v>
      </c>
      <c r="AT9" s="214" t="s">
        <v>59</v>
      </c>
      <c r="AU9" s="214"/>
      <c r="AV9" s="214" t="s">
        <v>59</v>
      </c>
      <c r="AW9" s="217" t="s">
        <v>59</v>
      </c>
      <c r="AX9" s="121">
        <f t="shared" si="1"/>
        <v>0</v>
      </c>
      <c r="AY9" s="121" t="str">
        <f t="shared" si="2"/>
        <v>Demasiado Riesgo</v>
      </c>
      <c r="AZ9" s="121"/>
      <c r="BA9" s="121"/>
      <c r="BB9" s="121"/>
      <c r="BC9" s="121"/>
      <c r="BD9" s="121"/>
      <c r="BE9" s="121"/>
      <c r="BF9" s="121"/>
      <c r="BG9" s="121"/>
      <c r="BH9" s="121"/>
      <c r="BI9" s="121"/>
      <c r="BJ9" s="121"/>
      <c r="BK9" s="121"/>
      <c r="BL9" s="121"/>
      <c r="BM9" s="121"/>
      <c r="BN9" s="121"/>
      <c r="BO9" s="121"/>
      <c r="BP9" s="121"/>
      <c r="BQ9" s="121"/>
      <c r="BR9" s="121"/>
      <c r="BS9" s="121"/>
      <c r="BT9" s="121"/>
      <c r="BU9" s="121"/>
      <c r="BV9" s="121"/>
      <c r="BW9" s="121">
        <f t="shared" si="3"/>
        <v>0</v>
      </c>
      <c r="BX9" s="121"/>
      <c r="BY9" s="121">
        <f t="shared" si="4"/>
        <v>0</v>
      </c>
      <c r="BZ9" s="121"/>
    </row>
    <row r="10" spans="1:16383">
      <c r="A10" s="121"/>
      <c r="B10" s="121"/>
      <c r="C10" s="265"/>
      <c r="D10" s="121">
        <f>COUNTIF(AG10:AU10,"*OK*")</f>
        <v>0</v>
      </c>
      <c r="E10" s="121"/>
      <c r="F10" s="266" t="s">
        <v>1807</v>
      </c>
      <c r="G10" s="266"/>
      <c r="H10" s="266"/>
      <c r="I10" s="276" t="s">
        <v>68</v>
      </c>
      <c r="J10" s="266" t="s">
        <v>456</v>
      </c>
      <c r="K10" s="266"/>
      <c r="L10" s="266"/>
      <c r="M10" s="265">
        <v>191.55</v>
      </c>
      <c r="N10" s="265">
        <v>174.55</v>
      </c>
      <c r="O10" s="265"/>
      <c r="P10" s="279" t="s">
        <v>59</v>
      </c>
      <c r="Q10" s="269"/>
      <c r="R10" s="270">
        <v>100</v>
      </c>
      <c r="S10" s="271"/>
      <c r="T10" s="281" t="s">
        <v>70</v>
      </c>
      <c r="U10" s="273" t="s">
        <v>89</v>
      </c>
      <c r="V10" s="217" t="s">
        <v>1901</v>
      </c>
      <c r="W10" s="270" t="s">
        <v>59</v>
      </c>
      <c r="X10" s="274" t="s">
        <v>61</v>
      </c>
      <c r="Y10" s="275" t="s">
        <v>1401</v>
      </c>
      <c r="Z10" s="121"/>
      <c r="AA10" s="275"/>
      <c r="AB10" s="121"/>
      <c r="AC10" s="121"/>
      <c r="AD10" s="121"/>
      <c r="AE10" s="121"/>
      <c r="AF10" s="278" t="s">
        <v>59</v>
      </c>
      <c r="AG10" s="214" t="s">
        <v>59</v>
      </c>
      <c r="AH10" s="214" t="s">
        <v>59</v>
      </c>
      <c r="AI10" s="214" t="s">
        <v>59</v>
      </c>
      <c r="AJ10" s="214" t="s">
        <v>59</v>
      </c>
      <c r="AK10" s="214" t="s">
        <v>59</v>
      </c>
      <c r="AL10" s="214" t="s">
        <v>59</v>
      </c>
      <c r="AM10" s="214" t="s">
        <v>59</v>
      </c>
      <c r="AN10" s="214" t="s">
        <v>59</v>
      </c>
      <c r="AO10" s="214" t="s">
        <v>59</v>
      </c>
      <c r="AP10" s="214" t="s">
        <v>59</v>
      </c>
      <c r="AQ10" s="214"/>
      <c r="AR10" s="214" t="s">
        <v>59</v>
      </c>
      <c r="AS10" s="214" t="s">
        <v>59</v>
      </c>
      <c r="AT10" s="214" t="s">
        <v>59</v>
      </c>
      <c r="AU10" s="214"/>
      <c r="AV10" s="214" t="s">
        <v>59</v>
      </c>
      <c r="AW10" s="214" t="s">
        <v>178</v>
      </c>
      <c r="AX10" s="121">
        <f t="shared" si="1"/>
        <v>0</v>
      </c>
      <c r="AY10" s="121" t="str">
        <f t="shared" si="2"/>
        <v>Demasiado Riesgo</v>
      </c>
      <c r="AZ10" s="121"/>
      <c r="BA10" s="121"/>
      <c r="BB10" s="121"/>
      <c r="BC10" s="121"/>
      <c r="BD10" s="121"/>
      <c r="BE10" s="121"/>
      <c r="BF10" s="121"/>
      <c r="BG10" s="121"/>
      <c r="BH10" s="121"/>
      <c r="BI10" s="121"/>
      <c r="BJ10" s="121"/>
      <c r="BK10" s="121"/>
      <c r="BL10" s="121"/>
      <c r="BM10" s="121"/>
      <c r="BN10" s="121"/>
      <c r="BO10" s="121"/>
      <c r="BP10" s="121"/>
      <c r="BQ10" s="121"/>
      <c r="BR10" s="121"/>
      <c r="BS10" s="121"/>
      <c r="BT10" s="121"/>
      <c r="BU10" s="121"/>
      <c r="BV10" s="121"/>
      <c r="BW10" s="121">
        <f t="shared" si="3"/>
        <v>0</v>
      </c>
      <c r="BX10" s="121"/>
      <c r="BY10" s="121">
        <f t="shared" si="4"/>
        <v>0</v>
      </c>
      <c r="BZ10" s="121"/>
    </row>
    <row r="11" spans="1:16383">
      <c r="A11" s="121">
        <v>20141</v>
      </c>
      <c r="B11" s="121" t="s">
        <v>1902</v>
      </c>
      <c r="C11" s="265"/>
      <c r="D11" s="121">
        <f>COUNTIF(AG11:AU11,"*OK*")</f>
        <v>0</v>
      </c>
      <c r="E11" s="121"/>
      <c r="F11" s="266" t="s">
        <v>1809</v>
      </c>
      <c r="G11" s="266"/>
      <c r="H11" s="266"/>
      <c r="I11" s="276" t="s">
        <v>68</v>
      </c>
      <c r="J11" s="266" t="s">
        <v>456</v>
      </c>
      <c r="K11" s="266"/>
      <c r="L11" s="266"/>
      <c r="M11" s="265">
        <v>251.16</v>
      </c>
      <c r="N11" s="265">
        <v>250.93</v>
      </c>
      <c r="O11" s="265"/>
      <c r="P11" s="279" t="s">
        <v>59</v>
      </c>
      <c r="Q11" s="269"/>
      <c r="R11" s="270">
        <v>200</v>
      </c>
      <c r="S11" s="271"/>
      <c r="T11" s="282" t="s">
        <v>70</v>
      </c>
      <c r="U11" s="273" t="s">
        <v>80</v>
      </c>
      <c r="V11" s="217" t="s">
        <v>1903</v>
      </c>
      <c r="W11" s="270" t="s">
        <v>59</v>
      </c>
      <c r="X11" s="274" t="s">
        <v>159</v>
      </c>
      <c r="Y11" s="275" t="s">
        <v>1401</v>
      </c>
      <c r="Z11" s="121"/>
      <c r="AA11" s="275"/>
      <c r="AB11" s="121"/>
      <c r="AC11" s="121"/>
      <c r="AD11" s="121"/>
      <c r="AE11" s="121"/>
      <c r="AF11" s="278" t="s">
        <v>127</v>
      </c>
      <c r="AG11" s="214" t="s">
        <v>59</v>
      </c>
      <c r="AH11" s="214" t="s">
        <v>59</v>
      </c>
      <c r="AI11" s="214" t="s">
        <v>59</v>
      </c>
      <c r="AJ11" s="214" t="s">
        <v>59</v>
      </c>
      <c r="AK11" s="214" t="s">
        <v>59</v>
      </c>
      <c r="AL11" s="214" t="s">
        <v>59</v>
      </c>
      <c r="AM11" s="214" t="s">
        <v>59</v>
      </c>
      <c r="AN11" s="214" t="s">
        <v>59</v>
      </c>
      <c r="AO11" s="214" t="s">
        <v>59</v>
      </c>
      <c r="AP11" s="214" t="s">
        <v>59</v>
      </c>
      <c r="AQ11" s="214"/>
      <c r="AR11" s="214" t="s">
        <v>59</v>
      </c>
      <c r="AS11" s="214" t="s">
        <v>59</v>
      </c>
      <c r="AT11" s="214" t="s">
        <v>59</v>
      </c>
      <c r="AU11" s="214"/>
      <c r="AV11" s="214" t="s">
        <v>59</v>
      </c>
      <c r="AW11" s="214" t="s">
        <v>178</v>
      </c>
      <c r="AX11" s="121">
        <f t="shared" si="1"/>
        <v>0</v>
      </c>
      <c r="AY11" s="121" t="str">
        <f t="shared" si="2"/>
        <v>Demasiado Riesgo</v>
      </c>
      <c r="AZ11" s="121"/>
      <c r="BA11" s="121"/>
      <c r="BB11" s="121"/>
      <c r="BC11" s="121"/>
      <c r="BD11" s="121"/>
      <c r="BE11" s="121"/>
      <c r="BF11" s="121"/>
      <c r="BG11" s="121"/>
      <c r="BH11" s="121"/>
      <c r="BI11" s="121"/>
      <c r="BJ11" s="121"/>
      <c r="BK11" s="121"/>
      <c r="BL11" s="121"/>
      <c r="BM11" s="121"/>
      <c r="BN11" s="121"/>
      <c r="BO11" s="121"/>
      <c r="BP11" s="121"/>
      <c r="BQ11" s="121"/>
      <c r="BR11" s="121"/>
      <c r="BS11" s="121"/>
      <c r="BT11" s="121"/>
      <c r="BU11" s="121"/>
      <c r="BV11" s="121"/>
      <c r="BW11" s="121">
        <f t="shared" si="3"/>
        <v>0</v>
      </c>
      <c r="BX11" s="121"/>
      <c r="BY11" s="121">
        <f t="shared" si="4"/>
        <v>0</v>
      </c>
      <c r="BZ11" s="121"/>
    </row>
    <row r="12" spans="1:16383">
      <c r="A12" s="121"/>
      <c r="B12" s="121"/>
      <c r="C12" s="265"/>
      <c r="D12" s="121">
        <f>COUNTIF(AG12:AU12,"*OK*")</f>
        <v>0</v>
      </c>
      <c r="E12" s="121"/>
      <c r="F12" s="266" t="s">
        <v>1811</v>
      </c>
      <c r="G12" s="266"/>
      <c r="H12" s="266"/>
      <c r="I12" s="276" t="s">
        <v>68</v>
      </c>
      <c r="J12" s="266" t="s">
        <v>733</v>
      </c>
      <c r="K12" s="266"/>
      <c r="L12" s="266"/>
      <c r="M12" s="265">
        <v>21.06</v>
      </c>
      <c r="N12" s="265">
        <v>21.04</v>
      </c>
      <c r="O12" s="265"/>
      <c r="P12" s="279" t="s">
        <v>59</v>
      </c>
      <c r="Q12" s="269"/>
      <c r="R12" s="270">
        <v>50</v>
      </c>
      <c r="S12" s="271"/>
      <c r="T12" s="281" t="s">
        <v>70</v>
      </c>
      <c r="U12" s="273" t="s">
        <v>302</v>
      </c>
      <c r="V12" s="217" t="s">
        <v>1904</v>
      </c>
      <c r="W12" s="270" t="s">
        <v>59</v>
      </c>
      <c r="X12" s="274" t="s">
        <v>65</v>
      </c>
      <c r="Y12" s="275" t="s">
        <v>1401</v>
      </c>
      <c r="Z12" s="121"/>
      <c r="AA12" s="275"/>
      <c r="AB12" s="121"/>
      <c r="AC12" s="121"/>
      <c r="AD12" s="121"/>
      <c r="AE12" s="121"/>
      <c r="AF12" s="214" t="s">
        <v>59</v>
      </c>
      <c r="AG12" s="214" t="s">
        <v>59</v>
      </c>
      <c r="AH12" s="214" t="s">
        <v>59</v>
      </c>
      <c r="AI12" s="214" t="s">
        <v>59</v>
      </c>
      <c r="AJ12" s="214" t="s">
        <v>59</v>
      </c>
      <c r="AK12" s="214" t="s">
        <v>59</v>
      </c>
      <c r="AL12" s="214" t="s">
        <v>59</v>
      </c>
      <c r="AM12" s="214" t="s">
        <v>59</v>
      </c>
      <c r="AN12" s="214" t="s">
        <v>59</v>
      </c>
      <c r="AO12" s="214" t="s">
        <v>59</v>
      </c>
      <c r="AP12" s="214" t="s">
        <v>59</v>
      </c>
      <c r="AQ12" s="214"/>
      <c r="AR12" s="214" t="s">
        <v>59</v>
      </c>
      <c r="AS12" s="214" t="s">
        <v>59</v>
      </c>
      <c r="AT12" s="214" t="s">
        <v>59</v>
      </c>
      <c r="AU12" s="214"/>
      <c r="AV12" s="214" t="s">
        <v>59</v>
      </c>
      <c r="AW12" s="214" t="s">
        <v>59</v>
      </c>
      <c r="AX12" s="121">
        <f t="shared" si="1"/>
        <v>0</v>
      </c>
      <c r="AY12" s="121" t="str">
        <f t="shared" si="2"/>
        <v>Demasiado Riesgo</v>
      </c>
      <c r="AZ12" s="121"/>
      <c r="BA12" s="121"/>
      <c r="BB12" s="121"/>
      <c r="BC12" s="121"/>
      <c r="BD12" s="121"/>
      <c r="BE12" s="121"/>
      <c r="BF12" s="121"/>
      <c r="BG12" s="121"/>
      <c r="BH12" s="121"/>
      <c r="BI12" s="121"/>
      <c r="BJ12" s="121"/>
      <c r="BK12" s="121"/>
      <c r="BL12" s="121"/>
      <c r="BM12" s="121"/>
      <c r="BN12" s="121"/>
      <c r="BO12" s="121"/>
      <c r="BP12" s="121"/>
      <c r="BQ12" s="121"/>
      <c r="BR12" s="121"/>
      <c r="BS12" s="121"/>
      <c r="BT12" s="121"/>
      <c r="BU12" s="121"/>
      <c r="BV12" s="121"/>
      <c r="BW12" s="121">
        <f t="shared" si="3"/>
        <v>0</v>
      </c>
      <c r="BX12" s="121"/>
      <c r="BY12" s="121">
        <f t="shared" si="4"/>
        <v>0</v>
      </c>
      <c r="BZ12" s="121"/>
    </row>
    <row r="13" spans="1:16383">
      <c r="A13" s="121"/>
      <c r="B13" s="121"/>
      <c r="C13" s="265"/>
      <c r="D13" s="121">
        <f>COUNTIF(AG13:AU13,"*OK*")</f>
        <v>0</v>
      </c>
      <c r="E13" s="121"/>
      <c r="F13" s="266" t="s">
        <v>1810</v>
      </c>
      <c r="G13" s="266"/>
      <c r="H13" s="266"/>
      <c r="I13" s="276" t="s">
        <v>68</v>
      </c>
      <c r="J13" s="266" t="s">
        <v>733</v>
      </c>
      <c r="K13" s="266"/>
      <c r="L13" s="266"/>
      <c r="M13" s="265">
        <v>52.81</v>
      </c>
      <c r="N13" s="265">
        <v>52.76</v>
      </c>
      <c r="O13" s="265"/>
      <c r="P13" s="279" t="s">
        <v>59</v>
      </c>
      <c r="Q13" s="269"/>
      <c r="R13" s="270">
        <v>50</v>
      </c>
      <c r="S13" s="271"/>
      <c r="T13" s="281" t="s">
        <v>70</v>
      </c>
      <c r="U13" s="273" t="s">
        <v>71</v>
      </c>
      <c r="V13" s="217" t="s">
        <v>1905</v>
      </c>
      <c r="W13" s="270" t="s">
        <v>59</v>
      </c>
      <c r="X13" s="274" t="s">
        <v>65</v>
      </c>
      <c r="Y13" s="275" t="s">
        <v>1401</v>
      </c>
      <c r="Z13" s="121"/>
      <c r="AA13" s="275"/>
      <c r="AB13" s="121"/>
      <c r="AC13" s="121"/>
      <c r="AD13" s="121"/>
      <c r="AE13" s="121"/>
      <c r="AF13" s="278" t="s">
        <v>59</v>
      </c>
      <c r="AG13" s="214" t="s">
        <v>59</v>
      </c>
      <c r="AH13" s="214" t="s">
        <v>59</v>
      </c>
      <c r="AI13" s="214" t="s">
        <v>59</v>
      </c>
      <c r="AJ13" s="214" t="s">
        <v>59</v>
      </c>
      <c r="AK13" s="214" t="s">
        <v>59</v>
      </c>
      <c r="AL13" s="214" t="s">
        <v>59</v>
      </c>
      <c r="AM13" s="214" t="s">
        <v>59</v>
      </c>
      <c r="AN13" s="214" t="s">
        <v>59</v>
      </c>
      <c r="AO13" s="214" t="s">
        <v>59</v>
      </c>
      <c r="AP13" s="214" t="s">
        <v>59</v>
      </c>
      <c r="AQ13" s="214"/>
      <c r="AR13" s="214" t="s">
        <v>59</v>
      </c>
      <c r="AS13" s="214" t="s">
        <v>59</v>
      </c>
      <c r="AT13" s="214" t="s">
        <v>59</v>
      </c>
      <c r="AU13" s="214"/>
      <c r="AV13" s="214" t="s">
        <v>59</v>
      </c>
      <c r="AW13" s="214" t="s">
        <v>59</v>
      </c>
      <c r="AX13" s="121">
        <f t="shared" si="1"/>
        <v>0</v>
      </c>
      <c r="AY13" s="121" t="str">
        <f t="shared" si="2"/>
        <v>Demasiado Riesgo</v>
      </c>
      <c r="AZ13" s="121"/>
      <c r="BA13" s="121"/>
      <c r="BB13" s="121"/>
      <c r="BC13" s="121"/>
      <c r="BD13" s="121"/>
      <c r="BE13" s="121"/>
      <c r="BF13" s="121"/>
      <c r="BG13" s="121"/>
      <c r="BH13" s="121"/>
      <c r="BI13" s="121"/>
      <c r="BJ13" s="121"/>
      <c r="BK13" s="121"/>
      <c r="BL13" s="121"/>
      <c r="BM13" s="121"/>
      <c r="BN13" s="121"/>
      <c r="BO13" s="121"/>
      <c r="BP13" s="121"/>
      <c r="BQ13" s="121"/>
      <c r="BR13" s="121"/>
      <c r="BS13" s="121"/>
      <c r="BT13" s="121"/>
      <c r="BU13" s="121"/>
      <c r="BV13" s="121"/>
      <c r="BW13" s="121">
        <f t="shared" si="3"/>
        <v>0</v>
      </c>
      <c r="BX13" s="121"/>
      <c r="BY13" s="121">
        <f t="shared" si="4"/>
        <v>0</v>
      </c>
      <c r="BZ13" s="121"/>
    </row>
    <row r="14" spans="1:16383">
      <c r="A14" s="283"/>
      <c r="B14" s="283"/>
      <c r="C14" s="265">
        <f>P14</f>
        <v>500.84</v>
      </c>
      <c r="D14" s="121">
        <f>COUNTIF(AG14:AU14,"*OK*")</f>
        <v>0</v>
      </c>
      <c r="E14" s="121"/>
      <c r="F14" s="266" t="s">
        <v>1823</v>
      </c>
      <c r="G14" s="266" t="s">
        <v>134</v>
      </c>
      <c r="H14" s="266"/>
      <c r="I14" s="276" t="s">
        <v>79</v>
      </c>
      <c r="J14" s="266" t="s">
        <v>69</v>
      </c>
      <c r="K14" s="266"/>
      <c r="L14" s="266"/>
      <c r="M14" s="265">
        <v>528.54999999999995</v>
      </c>
      <c r="N14" s="265">
        <v>440.48</v>
      </c>
      <c r="O14" s="265">
        <v>510.97</v>
      </c>
      <c r="P14" s="268">
        <v>500.84</v>
      </c>
      <c r="Q14" s="269"/>
      <c r="R14" s="270">
        <v>200</v>
      </c>
      <c r="S14" s="271"/>
      <c r="T14" s="272" t="s">
        <v>253</v>
      </c>
      <c r="U14" s="273" t="s">
        <v>270</v>
      </c>
      <c r="V14" s="217" t="s">
        <v>1906</v>
      </c>
      <c r="W14" s="270" t="s">
        <v>59</v>
      </c>
      <c r="X14" s="274" t="s">
        <v>65</v>
      </c>
      <c r="Y14" s="275" t="s">
        <v>1401</v>
      </c>
      <c r="Z14" s="121"/>
      <c r="AA14" s="275"/>
      <c r="AB14" s="121"/>
      <c r="AC14" s="121"/>
      <c r="AD14" s="121"/>
      <c r="AE14" s="121"/>
      <c r="AF14" s="278" t="s">
        <v>59</v>
      </c>
      <c r="AG14" s="214" t="s">
        <v>59</v>
      </c>
      <c r="AH14" s="214" t="s">
        <v>59</v>
      </c>
      <c r="AI14" s="214" t="s">
        <v>59</v>
      </c>
      <c r="AJ14" s="214" t="s">
        <v>59</v>
      </c>
      <c r="AK14" s="214" t="s">
        <v>59</v>
      </c>
      <c r="AL14" s="214" t="s">
        <v>59</v>
      </c>
      <c r="AM14" s="214" t="s">
        <v>59</v>
      </c>
      <c r="AN14" s="214" t="s">
        <v>59</v>
      </c>
      <c r="AO14" s="214" t="s">
        <v>59</v>
      </c>
      <c r="AP14" s="214" t="s">
        <v>59</v>
      </c>
      <c r="AQ14" s="214"/>
      <c r="AR14" s="214"/>
      <c r="AS14" s="214"/>
      <c r="AT14" s="214"/>
      <c r="AU14" s="214"/>
      <c r="AV14" s="214" t="s">
        <v>59</v>
      </c>
      <c r="AW14" s="214" t="s">
        <v>59</v>
      </c>
      <c r="AX14" s="121">
        <f t="shared" si="1"/>
        <v>0</v>
      </c>
      <c r="AY14" s="121" t="str">
        <f t="shared" si="2"/>
        <v>Demasiado Riesgo</v>
      </c>
      <c r="AZ14" s="121"/>
      <c r="BA14" s="121"/>
      <c r="BB14" s="121">
        <v>0</v>
      </c>
      <c r="BC14" s="121"/>
      <c r="BD14" s="121"/>
      <c r="BE14" s="121"/>
      <c r="BF14" s="121"/>
      <c r="BG14" s="121"/>
      <c r="BH14" s="121"/>
      <c r="BI14" s="121"/>
      <c r="BJ14" s="121"/>
      <c r="BK14" s="121"/>
      <c r="BL14" s="121"/>
      <c r="BM14" s="121"/>
      <c r="BN14" s="121"/>
      <c r="BO14" s="121"/>
      <c r="BP14" s="121"/>
      <c r="BQ14" s="121"/>
      <c r="BR14" s="121"/>
      <c r="BS14" s="121"/>
      <c r="BT14" s="121"/>
      <c r="BU14" s="121"/>
      <c r="BV14" s="121"/>
      <c r="BW14" s="121"/>
      <c r="BX14" s="121">
        <f>COUNTIF(AG14:AU14,"*OK*")</f>
        <v>0</v>
      </c>
      <c r="BY14" s="121"/>
      <c r="BZ14" s="121">
        <f>COUNTIF(AG14:AU14,"*OP*")</f>
        <v>0</v>
      </c>
    </row>
    <row r="15" spans="1:16383">
      <c r="A15" s="500">
        <v>5637</v>
      </c>
      <c r="B15" s="173">
        <v>24082020</v>
      </c>
      <c r="C15" s="468">
        <f>R15</f>
        <v>0</v>
      </c>
      <c r="D15" s="171">
        <f>COUNTIF(AI15:AW15,"*OK*")</f>
        <v>0</v>
      </c>
      <c r="E15" s="171"/>
      <c r="F15" s="183" t="s">
        <v>1806</v>
      </c>
      <c r="G15" s="183"/>
      <c r="H15" s="179"/>
      <c r="I15" s="183"/>
      <c r="J15" s="192" t="s">
        <v>68</v>
      </c>
      <c r="K15" s="183" t="s">
        <v>69</v>
      </c>
      <c r="L15" s="183"/>
      <c r="M15" s="183"/>
      <c r="N15" s="172">
        <v>201.19</v>
      </c>
      <c r="O15" s="172">
        <v>168.84</v>
      </c>
      <c r="P15" s="172">
        <v>149.41</v>
      </c>
      <c r="Q15" s="193">
        <v>134.44999999999999</v>
      </c>
      <c r="R15" s="460">
        <v>0</v>
      </c>
      <c r="S15" s="252"/>
      <c r="T15" s="175"/>
      <c r="U15" s="176">
        <v>100</v>
      </c>
      <c r="V15" s="194" t="s">
        <v>70</v>
      </c>
      <c r="W15" s="209" t="s">
        <v>70</v>
      </c>
      <c r="X15" s="177" t="s">
        <v>152</v>
      </c>
      <c r="Y15" s="178" t="s">
        <v>1907</v>
      </c>
      <c r="Z15" s="176" t="s">
        <v>147</v>
      </c>
      <c r="AA15" s="195" t="s">
        <v>65</v>
      </c>
      <c r="AB15" s="179" t="s">
        <v>1401</v>
      </c>
      <c r="AC15" s="171"/>
      <c r="AD15" s="171"/>
      <c r="AE15" s="171"/>
      <c r="AF15" s="171"/>
      <c r="AG15" s="171"/>
      <c r="AH15" s="174" t="s">
        <v>59</v>
      </c>
      <c r="AI15" s="170"/>
      <c r="AJ15" s="170"/>
      <c r="AK15" s="170"/>
      <c r="AL15" s="170"/>
      <c r="AM15" s="170"/>
      <c r="AN15" s="170"/>
      <c r="AO15" s="170"/>
      <c r="AP15" s="170"/>
      <c r="AQ15" s="170"/>
      <c r="AR15" s="170"/>
      <c r="AS15" s="170"/>
      <c r="AT15" s="170"/>
      <c r="AU15" s="170"/>
      <c r="AV15" s="170"/>
      <c r="AW15" s="170"/>
      <c r="AX15" s="170"/>
      <c r="AY15" s="180" t="s">
        <v>59</v>
      </c>
      <c r="AZ15" s="171">
        <f>(COUNTIF(AI15:AK15,"*OK*")*3) + (COUNTIF(AL15:AN15,"*OK*")*2) + COUNTIF(AO15:AQ15,"*OK*")+COUNTIF(AY15:AY15,"SI")*0.5</f>
        <v>0</v>
      </c>
      <c r="BA15" s="171" t="str">
        <f>IF(AZ15&lt;0.6,"Demasiado Riesgo",IF(AZ15&lt;=5,"Riesgo Medio",IF(AZ15&lt;=11,"Riesgo Bajo","Cliente Blindado")))</f>
        <v>Demasiado Riesgo</v>
      </c>
      <c r="BB15" s="171"/>
      <c r="BC15" s="171"/>
      <c r="BD15" s="171">
        <v>0</v>
      </c>
      <c r="BE15" s="171"/>
      <c r="BF15" s="171"/>
      <c r="BG15" s="171"/>
      <c r="BH15" s="171"/>
      <c r="BI15" s="171"/>
      <c r="BJ15" s="171"/>
      <c r="BK15" s="171"/>
      <c r="BL15" s="171"/>
      <c r="BM15" s="171"/>
      <c r="BN15" s="171"/>
      <c r="BO15" s="171"/>
      <c r="BP15" s="171"/>
      <c r="BQ15" s="171"/>
      <c r="BR15" s="171"/>
      <c r="BS15" s="171"/>
      <c r="BT15" s="171"/>
      <c r="BU15" s="171"/>
      <c r="BV15" s="171"/>
      <c r="BW15" s="171"/>
      <c r="BX15" s="171"/>
      <c r="BY15" s="171"/>
      <c r="BZ15" s="171">
        <f>COUNTIF(AI15:AW15,"*OK*")</f>
        <v>0</v>
      </c>
      <c r="CA15" s="171"/>
      <c r="CB15" s="171">
        <f>COUNTIF(AI15:AW15,"*OP*")</f>
        <v>0</v>
      </c>
      <c r="CC15" s="122"/>
      <c r="CD15" s="122"/>
      <c r="CE15" s="122"/>
      <c r="CF15" s="122"/>
      <c r="CG15" s="122"/>
      <c r="CH15" s="122"/>
      <c r="CI15" s="122"/>
      <c r="CJ15" s="122"/>
      <c r="CK15" s="122"/>
      <c r="CL15" s="122"/>
      <c r="CM15" s="122"/>
      <c r="CN15" s="122"/>
      <c r="CO15" s="122"/>
      <c r="CP15" s="122"/>
      <c r="CQ15" s="122"/>
      <c r="CR15" s="122"/>
      <c r="CS15" s="122"/>
      <c r="CT15" s="122"/>
      <c r="CU15" s="122"/>
      <c r="CV15" s="122"/>
      <c r="CW15" s="122"/>
      <c r="CX15" s="122"/>
      <c r="CY15" s="122"/>
      <c r="CZ15" s="122"/>
      <c r="DA15" s="122"/>
      <c r="DB15" s="122"/>
      <c r="DC15" s="122"/>
      <c r="DD15" s="122"/>
      <c r="DE15" s="122"/>
      <c r="DF15" s="122"/>
      <c r="DG15" s="122"/>
      <c r="DH15" s="122"/>
      <c r="DI15" s="122"/>
      <c r="DJ15" s="122"/>
      <c r="DK15" s="122"/>
      <c r="DL15" s="122"/>
      <c r="DM15" s="122"/>
      <c r="DN15" s="122"/>
      <c r="DO15" s="122"/>
      <c r="DP15" s="122"/>
      <c r="DQ15" s="122"/>
      <c r="DR15" s="122"/>
      <c r="DS15" s="122"/>
      <c r="DT15" s="122"/>
      <c r="DU15" s="122"/>
      <c r="DV15" s="122"/>
      <c r="DW15" s="122"/>
      <c r="DX15" s="122"/>
      <c r="DY15" s="122"/>
      <c r="DZ15" s="122"/>
      <c r="EA15" s="122"/>
      <c r="EB15" s="122"/>
      <c r="EC15" s="122"/>
      <c r="ED15" s="122"/>
      <c r="EE15" s="122"/>
      <c r="EF15" s="122"/>
      <c r="EG15" s="122"/>
      <c r="EH15" s="122"/>
      <c r="EI15" s="122"/>
      <c r="EJ15" s="122"/>
      <c r="EK15" s="122"/>
      <c r="EL15" s="122"/>
      <c r="EM15" s="122"/>
      <c r="EN15" s="122"/>
      <c r="EO15" s="122"/>
      <c r="EP15" s="122"/>
      <c r="EQ15" s="122"/>
      <c r="ER15" s="122"/>
      <c r="ES15" s="122"/>
      <c r="ET15" s="122"/>
      <c r="EU15" s="122"/>
      <c r="EV15" s="122"/>
      <c r="EW15" s="122"/>
      <c r="EX15" s="122"/>
      <c r="EY15" s="122"/>
      <c r="EZ15" s="122"/>
      <c r="FA15" s="122"/>
      <c r="FB15" s="122"/>
      <c r="FC15" s="122"/>
      <c r="FD15" s="122"/>
      <c r="FE15" s="122"/>
      <c r="FF15" s="122"/>
      <c r="FG15" s="122"/>
      <c r="FH15" s="122"/>
      <c r="FI15" s="122"/>
      <c r="FJ15" s="122"/>
      <c r="FK15" s="122"/>
      <c r="FL15" s="122"/>
      <c r="FM15" s="122"/>
      <c r="FN15" s="122"/>
      <c r="FO15" s="122"/>
      <c r="FP15" s="122"/>
      <c r="FQ15" s="122"/>
      <c r="FR15" s="122"/>
      <c r="FS15" s="122"/>
      <c r="FT15" s="122"/>
      <c r="FU15" s="122"/>
      <c r="FV15" s="122"/>
      <c r="FW15" s="122"/>
      <c r="FX15" s="122"/>
      <c r="FY15" s="122"/>
      <c r="FZ15" s="122"/>
      <c r="GA15" s="122"/>
      <c r="GB15" s="122"/>
      <c r="GC15" s="122"/>
      <c r="GD15" s="122"/>
      <c r="GE15" s="122"/>
      <c r="GF15" s="122"/>
      <c r="GG15" s="122"/>
      <c r="GH15" s="122"/>
      <c r="GI15" s="122"/>
      <c r="GJ15" s="122"/>
      <c r="GK15" s="122"/>
      <c r="GL15" s="122"/>
      <c r="GM15" s="122"/>
      <c r="GN15" s="122"/>
      <c r="GO15" s="122"/>
      <c r="GP15" s="122"/>
      <c r="GQ15" s="122"/>
      <c r="GR15" s="122"/>
      <c r="GS15" s="122"/>
      <c r="GT15" s="122"/>
      <c r="GU15" s="122"/>
      <c r="GV15" s="122"/>
      <c r="GW15" s="122"/>
      <c r="GX15" s="122"/>
      <c r="GY15" s="122"/>
      <c r="GZ15" s="122"/>
      <c r="HA15" s="122"/>
      <c r="HB15" s="122"/>
      <c r="HC15" s="122"/>
      <c r="HD15" s="122"/>
      <c r="HE15" s="122"/>
      <c r="HF15" s="122"/>
      <c r="HG15" s="122"/>
      <c r="HH15" s="122"/>
      <c r="HI15" s="122"/>
      <c r="HJ15" s="122"/>
      <c r="HK15" s="122"/>
      <c r="HL15" s="122"/>
      <c r="HM15" s="122"/>
      <c r="HN15" s="122"/>
      <c r="HO15" s="122"/>
      <c r="HP15" s="122"/>
      <c r="HQ15" s="122"/>
      <c r="HR15" s="122"/>
      <c r="HS15" s="122"/>
      <c r="HT15" s="122"/>
      <c r="HU15" s="122"/>
      <c r="HV15" s="122"/>
      <c r="HW15" s="122"/>
      <c r="HX15" s="122"/>
      <c r="HY15" s="122"/>
      <c r="HZ15" s="122"/>
      <c r="IA15" s="122"/>
      <c r="IB15" s="122"/>
      <c r="IC15" s="122"/>
      <c r="ID15" s="122"/>
      <c r="IE15" s="122"/>
      <c r="IF15" s="122"/>
      <c r="IG15" s="122"/>
      <c r="IH15" s="122"/>
      <c r="II15" s="122"/>
      <c r="IJ15" s="122"/>
      <c r="IK15" s="122"/>
      <c r="IL15" s="122"/>
      <c r="IM15" s="122"/>
      <c r="IN15" s="122"/>
      <c r="IO15" s="122"/>
      <c r="IP15" s="122"/>
      <c r="IQ15" s="122"/>
      <c r="IR15" s="122"/>
      <c r="IS15" s="122"/>
      <c r="IT15" s="122"/>
      <c r="IU15" s="122"/>
      <c r="IV15" s="122"/>
      <c r="IW15" s="122"/>
      <c r="IX15" s="122"/>
      <c r="IY15" s="122"/>
      <c r="IZ15" s="122"/>
      <c r="JA15" s="122"/>
      <c r="JB15" s="122"/>
      <c r="JC15" s="122"/>
      <c r="JD15" s="122"/>
      <c r="JE15" s="122"/>
      <c r="JF15" s="122"/>
      <c r="JG15" s="122"/>
      <c r="JH15" s="122"/>
      <c r="JI15" s="122"/>
      <c r="JJ15" s="122"/>
      <c r="JK15" s="122"/>
      <c r="JL15" s="122"/>
      <c r="JM15" s="122"/>
      <c r="JN15" s="122"/>
      <c r="JO15" s="122"/>
      <c r="JP15" s="122"/>
      <c r="JQ15" s="122"/>
      <c r="JR15" s="122"/>
      <c r="JS15" s="122"/>
      <c r="JT15" s="122"/>
      <c r="JU15" s="122"/>
      <c r="JV15" s="122"/>
      <c r="JW15" s="122"/>
      <c r="JX15" s="122"/>
      <c r="JY15" s="122"/>
      <c r="JZ15" s="122"/>
      <c r="KA15" s="122"/>
      <c r="KB15" s="122"/>
      <c r="KC15" s="122"/>
      <c r="KD15" s="122"/>
      <c r="KE15" s="122"/>
      <c r="KF15" s="122"/>
      <c r="KG15" s="122"/>
      <c r="KH15" s="122"/>
      <c r="KI15" s="122"/>
      <c r="KJ15" s="122"/>
      <c r="KK15" s="122"/>
      <c r="KL15" s="122"/>
      <c r="KM15" s="122"/>
      <c r="KN15" s="122"/>
      <c r="KO15" s="122"/>
      <c r="KP15" s="122"/>
      <c r="KQ15" s="122"/>
      <c r="KR15" s="122"/>
      <c r="KS15" s="122"/>
      <c r="KT15" s="122"/>
      <c r="KU15" s="122"/>
      <c r="KV15" s="122"/>
      <c r="KW15" s="122"/>
      <c r="KX15" s="122"/>
      <c r="KY15" s="122"/>
      <c r="KZ15" s="122"/>
      <c r="LA15" s="122"/>
      <c r="LB15" s="122"/>
      <c r="LC15" s="122"/>
      <c r="LD15" s="122"/>
      <c r="LE15" s="122"/>
      <c r="LF15" s="122"/>
      <c r="LG15" s="122"/>
      <c r="LH15" s="122"/>
      <c r="LI15" s="122"/>
      <c r="LJ15" s="122"/>
      <c r="LK15" s="122"/>
      <c r="LL15" s="122"/>
      <c r="LM15" s="122"/>
      <c r="LN15" s="122"/>
      <c r="LO15" s="122"/>
      <c r="LP15" s="122"/>
      <c r="LQ15" s="122"/>
      <c r="LR15" s="122"/>
      <c r="LS15" s="122"/>
      <c r="LT15" s="122"/>
      <c r="LU15" s="122"/>
      <c r="LV15" s="122"/>
      <c r="LW15" s="122"/>
      <c r="LX15" s="122"/>
      <c r="LY15" s="122"/>
      <c r="LZ15" s="122"/>
      <c r="MA15" s="122"/>
      <c r="MB15" s="122"/>
      <c r="MC15" s="122"/>
      <c r="MD15" s="122"/>
      <c r="ME15" s="122"/>
      <c r="MF15" s="122"/>
      <c r="MG15" s="122"/>
      <c r="MH15" s="122"/>
      <c r="MI15" s="122"/>
      <c r="MJ15" s="122"/>
      <c r="MK15" s="122"/>
      <c r="ML15" s="122"/>
      <c r="MM15" s="122"/>
      <c r="MN15" s="122"/>
      <c r="MO15" s="122"/>
      <c r="MP15" s="122"/>
      <c r="MQ15" s="122"/>
      <c r="MR15" s="122"/>
      <c r="MS15" s="122"/>
      <c r="MT15" s="122"/>
      <c r="MU15" s="122"/>
      <c r="MV15" s="122"/>
      <c r="MW15" s="122"/>
      <c r="MX15" s="122"/>
      <c r="MY15" s="122"/>
      <c r="MZ15" s="122"/>
      <c r="NA15" s="122"/>
      <c r="NB15" s="122"/>
      <c r="NC15" s="122"/>
      <c r="ND15" s="122"/>
      <c r="NE15" s="122"/>
      <c r="NF15" s="122"/>
      <c r="NG15" s="122"/>
      <c r="NH15" s="122"/>
      <c r="NI15" s="122"/>
      <c r="NJ15" s="122"/>
      <c r="NK15" s="122"/>
      <c r="NL15" s="122"/>
      <c r="NM15" s="122"/>
      <c r="NN15" s="122"/>
      <c r="NO15" s="122"/>
      <c r="NP15" s="122"/>
      <c r="NQ15" s="122"/>
      <c r="NR15" s="122"/>
      <c r="NS15" s="122"/>
      <c r="NT15" s="122"/>
      <c r="NU15" s="122"/>
      <c r="NV15" s="122"/>
      <c r="NW15" s="122"/>
      <c r="NX15" s="122"/>
      <c r="NY15" s="122"/>
      <c r="NZ15" s="122"/>
      <c r="OA15" s="122"/>
      <c r="OB15" s="122"/>
      <c r="OC15" s="122"/>
      <c r="OD15" s="122"/>
      <c r="OE15" s="122"/>
      <c r="OF15" s="122"/>
      <c r="OG15" s="122"/>
      <c r="OH15" s="122"/>
      <c r="OI15" s="122"/>
      <c r="OJ15" s="122"/>
      <c r="OK15" s="122"/>
      <c r="OL15" s="122"/>
      <c r="OM15" s="122"/>
      <c r="ON15" s="122"/>
      <c r="OO15" s="122"/>
      <c r="OP15" s="122"/>
      <c r="OQ15" s="122"/>
      <c r="OR15" s="122"/>
      <c r="OS15" s="122"/>
      <c r="OT15" s="122"/>
      <c r="OU15" s="122"/>
      <c r="OV15" s="122"/>
      <c r="OW15" s="122"/>
      <c r="OX15" s="122"/>
      <c r="OY15" s="122"/>
      <c r="OZ15" s="122"/>
      <c r="PA15" s="122"/>
      <c r="PB15" s="122"/>
      <c r="PC15" s="122"/>
      <c r="PD15" s="122"/>
      <c r="PE15" s="122"/>
      <c r="PF15" s="122"/>
      <c r="PG15" s="122"/>
      <c r="PH15" s="122"/>
      <c r="PI15" s="122"/>
      <c r="PJ15" s="122"/>
      <c r="PK15" s="122"/>
      <c r="PL15" s="122"/>
      <c r="PM15" s="122"/>
      <c r="PN15" s="122"/>
      <c r="PO15" s="122"/>
      <c r="PP15" s="122"/>
      <c r="PQ15" s="122"/>
      <c r="PR15" s="122"/>
      <c r="PS15" s="122"/>
      <c r="PT15" s="122"/>
      <c r="PU15" s="122"/>
      <c r="PV15" s="122"/>
      <c r="PW15" s="122"/>
      <c r="PX15" s="122"/>
      <c r="PY15" s="122"/>
      <c r="PZ15" s="122"/>
      <c r="QA15" s="122"/>
      <c r="QB15" s="122"/>
      <c r="QC15" s="122"/>
      <c r="QD15" s="122"/>
      <c r="QE15" s="122"/>
      <c r="QF15" s="122"/>
      <c r="QG15" s="122"/>
      <c r="QH15" s="122"/>
      <c r="QI15" s="122"/>
      <c r="QJ15" s="122"/>
      <c r="QK15" s="122"/>
      <c r="QL15" s="122"/>
      <c r="QM15" s="122"/>
      <c r="QN15" s="122"/>
      <c r="QO15" s="122"/>
      <c r="QP15" s="122"/>
      <c r="QQ15" s="122"/>
      <c r="QR15" s="122"/>
      <c r="QS15" s="122"/>
      <c r="QT15" s="122"/>
      <c r="QU15" s="122"/>
      <c r="QV15" s="122"/>
      <c r="QW15" s="122"/>
      <c r="QX15" s="122"/>
      <c r="QY15" s="122"/>
      <c r="QZ15" s="122"/>
      <c r="RA15" s="122"/>
      <c r="RB15" s="122"/>
      <c r="RC15" s="122"/>
      <c r="RD15" s="122"/>
      <c r="RE15" s="122"/>
      <c r="RF15" s="122"/>
      <c r="RG15" s="122"/>
      <c r="RH15" s="122"/>
      <c r="RI15" s="122"/>
      <c r="RJ15" s="122"/>
      <c r="RK15" s="122"/>
      <c r="RL15" s="122"/>
      <c r="RM15" s="122"/>
      <c r="RN15" s="122"/>
      <c r="RO15" s="122"/>
      <c r="RP15" s="122"/>
      <c r="RQ15" s="122"/>
      <c r="RR15" s="122"/>
      <c r="RS15" s="122"/>
      <c r="RT15" s="122"/>
      <c r="RU15" s="122"/>
      <c r="RV15" s="122"/>
      <c r="RW15" s="122"/>
      <c r="RX15" s="122"/>
      <c r="RY15" s="122"/>
      <c r="RZ15" s="122"/>
      <c r="SA15" s="122"/>
      <c r="SB15" s="122"/>
      <c r="SC15" s="122"/>
      <c r="SD15" s="122"/>
      <c r="SE15" s="122"/>
      <c r="SF15" s="122"/>
      <c r="SG15" s="122"/>
      <c r="SH15" s="122"/>
      <c r="SI15" s="122"/>
      <c r="SJ15" s="122"/>
      <c r="SK15" s="122"/>
      <c r="SL15" s="122"/>
      <c r="SM15" s="122"/>
      <c r="SN15" s="122"/>
      <c r="SO15" s="122"/>
      <c r="SP15" s="122"/>
      <c r="SQ15" s="122"/>
      <c r="SR15" s="122"/>
      <c r="SS15" s="122"/>
      <c r="ST15" s="122"/>
      <c r="SU15" s="122"/>
      <c r="SV15" s="122"/>
      <c r="SW15" s="122"/>
      <c r="SX15" s="122"/>
      <c r="SY15" s="122"/>
      <c r="SZ15" s="122"/>
      <c r="TA15" s="122"/>
      <c r="TB15" s="122"/>
      <c r="TC15" s="122"/>
      <c r="TD15" s="122"/>
      <c r="TE15" s="122"/>
      <c r="TF15" s="122"/>
      <c r="TG15" s="122"/>
      <c r="TH15" s="122"/>
      <c r="TI15" s="122"/>
      <c r="TJ15" s="122"/>
      <c r="TK15" s="122"/>
      <c r="TL15" s="122"/>
      <c r="TM15" s="122"/>
      <c r="TN15" s="122"/>
      <c r="TO15" s="122"/>
      <c r="TP15" s="122"/>
      <c r="TQ15" s="122"/>
      <c r="TR15" s="122"/>
      <c r="TS15" s="122"/>
      <c r="TT15" s="122"/>
      <c r="TU15" s="122"/>
      <c r="TV15" s="122"/>
      <c r="TW15" s="122"/>
      <c r="TX15" s="122"/>
      <c r="TY15" s="122"/>
      <c r="TZ15" s="122"/>
      <c r="UA15" s="122"/>
      <c r="UB15" s="122"/>
      <c r="UC15" s="122"/>
      <c r="UD15" s="122"/>
      <c r="UE15" s="122"/>
      <c r="UF15" s="122"/>
      <c r="UG15" s="122"/>
      <c r="UH15" s="122"/>
      <c r="UI15" s="122"/>
      <c r="UJ15" s="122"/>
      <c r="UK15" s="122"/>
      <c r="UL15" s="122"/>
      <c r="UM15" s="122"/>
      <c r="UN15" s="122"/>
      <c r="UO15" s="122"/>
      <c r="UP15" s="122"/>
      <c r="UQ15" s="122"/>
      <c r="UR15" s="122"/>
      <c r="US15" s="122"/>
      <c r="UT15" s="122"/>
      <c r="UU15" s="122"/>
      <c r="UV15" s="122"/>
      <c r="UW15" s="122"/>
      <c r="UX15" s="122"/>
      <c r="UY15" s="122"/>
      <c r="UZ15" s="122"/>
      <c r="VA15" s="122"/>
      <c r="VB15" s="122"/>
      <c r="VC15" s="122"/>
      <c r="VD15" s="122"/>
      <c r="VE15" s="122"/>
      <c r="VF15" s="122"/>
      <c r="VG15" s="122"/>
      <c r="VH15" s="122"/>
      <c r="VI15" s="122"/>
      <c r="VJ15" s="122"/>
      <c r="VK15" s="122"/>
      <c r="VL15" s="122"/>
      <c r="VM15" s="122"/>
      <c r="VN15" s="122"/>
      <c r="VO15" s="122"/>
      <c r="VP15" s="122"/>
      <c r="VQ15" s="122"/>
      <c r="VR15" s="122"/>
      <c r="VS15" s="122"/>
      <c r="VT15" s="122"/>
      <c r="VU15" s="122"/>
      <c r="VV15" s="122"/>
      <c r="VW15" s="122"/>
      <c r="VX15" s="122"/>
      <c r="VY15" s="122"/>
      <c r="VZ15" s="122"/>
      <c r="WA15" s="122"/>
      <c r="WB15" s="122"/>
      <c r="WC15" s="122"/>
      <c r="WD15" s="122"/>
      <c r="WE15" s="122"/>
      <c r="WF15" s="122"/>
      <c r="WG15" s="122"/>
      <c r="WH15" s="122"/>
      <c r="WI15" s="122"/>
      <c r="WJ15" s="122"/>
      <c r="WK15" s="122"/>
      <c r="WL15" s="122"/>
      <c r="WM15" s="122"/>
      <c r="WN15" s="122"/>
      <c r="WO15" s="122"/>
      <c r="WP15" s="122"/>
      <c r="WQ15" s="122"/>
      <c r="WR15" s="122"/>
      <c r="WS15" s="122"/>
      <c r="WT15" s="122"/>
      <c r="WU15" s="122"/>
      <c r="WV15" s="122"/>
      <c r="WW15" s="122"/>
      <c r="WX15" s="122"/>
      <c r="WY15" s="122"/>
      <c r="WZ15" s="122"/>
      <c r="XA15" s="122"/>
      <c r="XB15" s="122"/>
      <c r="XC15" s="122"/>
      <c r="XD15" s="122"/>
      <c r="XE15" s="122"/>
      <c r="XF15" s="122"/>
      <c r="XG15" s="122"/>
      <c r="XH15" s="122"/>
      <c r="XI15" s="122"/>
      <c r="XJ15" s="122"/>
      <c r="XK15" s="122"/>
      <c r="XL15" s="122"/>
      <c r="XM15" s="122"/>
      <c r="XN15" s="122"/>
      <c r="XO15" s="122"/>
      <c r="XP15" s="122"/>
      <c r="XQ15" s="122"/>
      <c r="XR15" s="122"/>
      <c r="XS15" s="122"/>
      <c r="XT15" s="122"/>
      <c r="XU15" s="122"/>
      <c r="XV15" s="122"/>
      <c r="XW15" s="122"/>
      <c r="XX15" s="122"/>
      <c r="XY15" s="122"/>
      <c r="XZ15" s="122"/>
      <c r="YA15" s="122"/>
      <c r="YB15" s="122"/>
      <c r="YC15" s="122"/>
      <c r="YD15" s="122"/>
      <c r="YE15" s="122"/>
      <c r="YF15" s="122"/>
      <c r="YG15" s="122"/>
      <c r="YH15" s="122"/>
      <c r="YI15" s="122"/>
      <c r="YJ15" s="122"/>
      <c r="YK15" s="122"/>
      <c r="YL15" s="122"/>
      <c r="YM15" s="122"/>
      <c r="YN15" s="122"/>
      <c r="YO15" s="122"/>
      <c r="YP15" s="122"/>
      <c r="YQ15" s="122"/>
      <c r="YR15" s="122"/>
      <c r="YS15" s="122"/>
      <c r="YT15" s="122"/>
      <c r="YU15" s="122"/>
      <c r="YV15" s="122"/>
      <c r="YW15" s="122"/>
      <c r="YX15" s="122"/>
      <c r="YY15" s="122"/>
      <c r="YZ15" s="122"/>
      <c r="ZA15" s="122"/>
      <c r="ZB15" s="122"/>
      <c r="ZC15" s="122"/>
      <c r="ZD15" s="122"/>
      <c r="ZE15" s="122"/>
      <c r="ZF15" s="122"/>
      <c r="ZG15" s="122"/>
      <c r="ZH15" s="122"/>
      <c r="ZI15" s="122"/>
      <c r="ZJ15" s="122"/>
      <c r="ZK15" s="122"/>
      <c r="ZL15" s="122"/>
      <c r="ZM15" s="122"/>
      <c r="ZN15" s="122"/>
      <c r="ZO15" s="122"/>
      <c r="ZP15" s="122"/>
      <c r="ZQ15" s="122"/>
      <c r="ZR15" s="122"/>
      <c r="ZS15" s="122"/>
      <c r="ZT15" s="122"/>
      <c r="ZU15" s="122"/>
      <c r="ZV15" s="122"/>
      <c r="ZW15" s="122"/>
      <c r="ZX15" s="122"/>
      <c r="ZY15" s="122"/>
      <c r="ZZ15" s="122"/>
      <c r="AAA15" s="122"/>
      <c r="AAB15" s="122"/>
      <c r="AAC15" s="122"/>
      <c r="AAD15" s="122"/>
      <c r="AAE15" s="122"/>
      <c r="AAF15" s="122"/>
      <c r="AAG15" s="122"/>
      <c r="AAH15" s="122"/>
      <c r="AAI15" s="122"/>
      <c r="AAJ15" s="122"/>
      <c r="AAK15" s="122"/>
      <c r="AAL15" s="122"/>
      <c r="AAM15" s="122"/>
      <c r="AAN15" s="122"/>
      <c r="AAO15" s="122"/>
      <c r="AAP15" s="122"/>
      <c r="AAQ15" s="122"/>
      <c r="AAR15" s="122"/>
      <c r="AAS15" s="122"/>
      <c r="AAT15" s="122"/>
      <c r="AAU15" s="122"/>
      <c r="AAV15" s="122"/>
      <c r="AAW15" s="122"/>
      <c r="AAX15" s="122"/>
      <c r="AAY15" s="122"/>
      <c r="AAZ15" s="122"/>
      <c r="ABA15" s="122"/>
      <c r="ABB15" s="122"/>
      <c r="ABC15" s="122"/>
      <c r="ABD15" s="122"/>
      <c r="ABE15" s="122"/>
      <c r="ABF15" s="122"/>
      <c r="ABG15" s="122"/>
      <c r="ABH15" s="122"/>
      <c r="ABI15" s="122"/>
      <c r="ABJ15" s="122"/>
      <c r="ABK15" s="122"/>
      <c r="ABL15" s="122"/>
      <c r="ABM15" s="122"/>
      <c r="ABN15" s="122"/>
      <c r="ABO15" s="122"/>
      <c r="ABP15" s="122"/>
      <c r="ABQ15" s="122"/>
      <c r="ABR15" s="122"/>
      <c r="ABS15" s="122"/>
      <c r="ABT15" s="122"/>
      <c r="ABU15" s="122"/>
      <c r="ABV15" s="122"/>
      <c r="ABW15" s="122"/>
      <c r="ABX15" s="122"/>
      <c r="ABY15" s="122"/>
      <c r="ABZ15" s="122"/>
      <c r="ACA15" s="122"/>
      <c r="ACB15" s="122"/>
      <c r="ACC15" s="122"/>
      <c r="ACD15" s="122"/>
      <c r="ACE15" s="122"/>
      <c r="ACF15" s="122"/>
      <c r="ACG15" s="122"/>
      <c r="ACH15" s="122"/>
      <c r="ACI15" s="122"/>
      <c r="ACJ15" s="122"/>
      <c r="ACK15" s="122"/>
      <c r="ACL15" s="122"/>
      <c r="ACM15" s="122"/>
      <c r="ACN15" s="122"/>
      <c r="ACO15" s="122"/>
      <c r="ACP15" s="122"/>
      <c r="ACQ15" s="122"/>
      <c r="ACR15" s="122"/>
      <c r="ACS15" s="122"/>
      <c r="ACT15" s="122"/>
      <c r="ACU15" s="122"/>
      <c r="ACV15" s="122"/>
      <c r="ACW15" s="122"/>
      <c r="ACX15" s="122"/>
      <c r="ACY15" s="122"/>
      <c r="ACZ15" s="122"/>
      <c r="ADA15" s="122"/>
      <c r="ADB15" s="122"/>
      <c r="ADC15" s="122"/>
      <c r="ADD15" s="122"/>
      <c r="ADE15" s="122"/>
      <c r="ADF15" s="122"/>
      <c r="ADG15" s="122"/>
      <c r="ADH15" s="122"/>
      <c r="ADI15" s="122"/>
      <c r="ADJ15" s="122"/>
      <c r="ADK15" s="122"/>
      <c r="ADL15" s="122"/>
      <c r="ADM15" s="122"/>
      <c r="ADN15" s="122"/>
      <c r="ADO15" s="122"/>
      <c r="ADP15" s="122"/>
      <c r="ADQ15" s="122"/>
      <c r="ADR15" s="122"/>
      <c r="ADS15" s="122"/>
      <c r="ADT15" s="122"/>
      <c r="ADU15" s="122"/>
      <c r="ADV15" s="122"/>
      <c r="ADW15" s="122"/>
      <c r="ADX15" s="122"/>
      <c r="ADY15" s="122"/>
      <c r="ADZ15" s="122"/>
      <c r="AEA15" s="122"/>
      <c r="AEB15" s="122"/>
      <c r="AEC15" s="122"/>
      <c r="AED15" s="122"/>
      <c r="AEE15" s="122"/>
      <c r="AEF15" s="122"/>
      <c r="AEG15" s="122"/>
      <c r="AEH15" s="122"/>
      <c r="AEI15" s="122"/>
      <c r="AEJ15" s="122"/>
      <c r="AEK15" s="122"/>
      <c r="AEL15" s="122"/>
      <c r="AEM15" s="122"/>
      <c r="AEN15" s="122"/>
      <c r="AEO15" s="122"/>
      <c r="AEP15" s="122"/>
      <c r="AEQ15" s="122"/>
      <c r="AER15" s="122"/>
      <c r="AES15" s="122"/>
      <c r="AET15" s="122"/>
      <c r="AEU15" s="122"/>
      <c r="AEV15" s="122"/>
      <c r="AEW15" s="122"/>
      <c r="AEX15" s="122"/>
      <c r="AEY15" s="122"/>
      <c r="AEZ15" s="122"/>
      <c r="AFA15" s="122"/>
      <c r="AFB15" s="122"/>
      <c r="AFC15" s="122"/>
      <c r="AFD15" s="122"/>
      <c r="AFE15" s="122"/>
      <c r="AFF15" s="122"/>
      <c r="AFG15" s="122"/>
      <c r="AFH15" s="122"/>
      <c r="AFI15" s="122"/>
      <c r="AFJ15" s="122"/>
      <c r="AFK15" s="122"/>
      <c r="AFL15" s="122"/>
      <c r="AFM15" s="122"/>
      <c r="AFN15" s="122"/>
      <c r="AFO15" s="122"/>
      <c r="AFP15" s="122"/>
      <c r="AFQ15" s="122"/>
      <c r="AFR15" s="122"/>
      <c r="AFS15" s="122"/>
      <c r="AFT15" s="122"/>
      <c r="AFU15" s="122"/>
      <c r="AFV15" s="122"/>
      <c r="AFW15" s="122"/>
      <c r="AFX15" s="122"/>
      <c r="AFY15" s="122"/>
      <c r="AFZ15" s="122"/>
      <c r="AGA15" s="122"/>
      <c r="AGB15" s="122"/>
      <c r="AGC15" s="122"/>
      <c r="AGD15" s="122"/>
      <c r="AGE15" s="122"/>
      <c r="AGF15" s="122"/>
      <c r="AGG15" s="122"/>
      <c r="AGH15" s="122"/>
      <c r="AGI15" s="122"/>
      <c r="AGJ15" s="122"/>
      <c r="AGK15" s="122"/>
      <c r="AGL15" s="122"/>
      <c r="AGM15" s="122"/>
      <c r="AGN15" s="122"/>
      <c r="AGO15" s="122"/>
      <c r="AGP15" s="122"/>
      <c r="AGQ15" s="122"/>
      <c r="AGR15" s="122"/>
      <c r="AGS15" s="122"/>
      <c r="AGT15" s="122"/>
      <c r="AGU15" s="122"/>
      <c r="AGV15" s="122"/>
      <c r="AGW15" s="122"/>
      <c r="AGX15" s="122"/>
      <c r="AGY15" s="122"/>
      <c r="AGZ15" s="122"/>
      <c r="AHA15" s="122"/>
      <c r="AHB15" s="122"/>
      <c r="AHC15" s="122"/>
      <c r="AHD15" s="122"/>
      <c r="AHE15" s="122"/>
      <c r="AHF15" s="122"/>
      <c r="AHG15" s="122"/>
      <c r="AHH15" s="122"/>
      <c r="AHI15" s="122"/>
      <c r="AHJ15" s="122"/>
      <c r="AHK15" s="122"/>
      <c r="AHL15" s="122"/>
      <c r="AHM15" s="122"/>
      <c r="AHN15" s="122"/>
      <c r="AHO15" s="122"/>
      <c r="AHP15" s="122"/>
      <c r="AHQ15" s="122"/>
      <c r="AHR15" s="122"/>
      <c r="AHS15" s="122"/>
      <c r="AHT15" s="122"/>
      <c r="AHU15" s="122"/>
      <c r="AHV15" s="122"/>
      <c r="AHW15" s="122"/>
      <c r="AHX15" s="122"/>
      <c r="AHY15" s="122"/>
      <c r="AHZ15" s="122"/>
      <c r="AIA15" s="122"/>
      <c r="AIB15" s="122"/>
      <c r="AIC15" s="122"/>
      <c r="AID15" s="122"/>
      <c r="AIE15" s="122"/>
      <c r="AIF15" s="122"/>
      <c r="AIG15" s="122"/>
      <c r="AIH15" s="122"/>
      <c r="AII15" s="122"/>
      <c r="AIJ15" s="122"/>
      <c r="AIK15" s="122"/>
      <c r="AIL15" s="122"/>
      <c r="AIM15" s="122"/>
      <c r="AIN15" s="122"/>
      <c r="AIO15" s="122"/>
      <c r="AIP15" s="122"/>
      <c r="AIQ15" s="122"/>
      <c r="AIR15" s="122"/>
      <c r="AIS15" s="122"/>
      <c r="AIT15" s="122"/>
      <c r="AIU15" s="122"/>
      <c r="AIV15" s="122"/>
      <c r="AIW15" s="122"/>
      <c r="AIX15" s="122"/>
      <c r="AIY15" s="122"/>
      <c r="AIZ15" s="122"/>
      <c r="AJA15" s="122"/>
      <c r="AJB15" s="122"/>
      <c r="AJC15" s="122"/>
      <c r="AJD15" s="122"/>
      <c r="AJE15" s="122"/>
      <c r="AJF15" s="122"/>
      <c r="AJG15" s="122"/>
      <c r="AJH15" s="122"/>
      <c r="AJI15" s="122"/>
      <c r="AJJ15" s="122"/>
      <c r="AJK15" s="122"/>
      <c r="AJL15" s="122"/>
      <c r="AJM15" s="122"/>
      <c r="AJN15" s="122"/>
      <c r="AJO15" s="122"/>
      <c r="AJP15" s="122"/>
      <c r="AJQ15" s="122"/>
      <c r="AJR15" s="122"/>
      <c r="AJS15" s="122"/>
      <c r="AJT15" s="122"/>
      <c r="AJU15" s="122"/>
      <c r="AJV15" s="122"/>
      <c r="AJW15" s="122"/>
      <c r="AJX15" s="122"/>
      <c r="AJY15" s="122"/>
      <c r="AJZ15" s="122"/>
      <c r="AKA15" s="122"/>
      <c r="AKB15" s="122"/>
      <c r="AKC15" s="122"/>
      <c r="AKD15" s="122"/>
      <c r="AKE15" s="122"/>
      <c r="AKF15" s="122"/>
      <c r="AKG15" s="122"/>
      <c r="AKH15" s="122"/>
      <c r="AKI15" s="122"/>
      <c r="AKJ15" s="122"/>
      <c r="AKK15" s="122"/>
      <c r="AKL15" s="122"/>
      <c r="AKM15" s="122"/>
      <c r="AKN15" s="122"/>
      <c r="AKO15" s="122"/>
      <c r="AKP15" s="122"/>
      <c r="AKQ15" s="122"/>
      <c r="AKR15" s="122"/>
      <c r="AKS15" s="122"/>
      <c r="AKT15" s="122"/>
      <c r="AKU15" s="122"/>
      <c r="AKV15" s="122"/>
      <c r="AKW15" s="122"/>
      <c r="AKX15" s="122"/>
      <c r="AKY15" s="122"/>
      <c r="AKZ15" s="122"/>
      <c r="ALA15" s="122"/>
      <c r="ALB15" s="122"/>
      <c r="ALC15" s="122"/>
      <c r="ALD15" s="122"/>
      <c r="ALE15" s="122"/>
      <c r="ALF15" s="122"/>
      <c r="ALG15" s="122"/>
      <c r="ALH15" s="122"/>
      <c r="ALI15" s="122"/>
      <c r="ALJ15" s="122"/>
      <c r="ALK15" s="122"/>
      <c r="ALL15" s="122"/>
      <c r="ALM15" s="122"/>
      <c r="ALN15" s="122"/>
      <c r="ALO15" s="122"/>
      <c r="ALP15" s="122"/>
      <c r="ALQ15" s="122"/>
      <c r="ALR15" s="122"/>
      <c r="ALS15" s="122"/>
      <c r="ALT15" s="122"/>
      <c r="ALU15" s="122"/>
      <c r="ALV15" s="122"/>
      <c r="ALW15" s="122"/>
      <c r="ALX15" s="122"/>
      <c r="ALY15" s="122"/>
      <c r="ALZ15" s="122"/>
      <c r="AMA15" s="122"/>
      <c r="AMB15" s="122"/>
      <c r="AMC15" s="122"/>
      <c r="AMD15" s="122"/>
      <c r="AME15" s="122"/>
      <c r="AMF15" s="122"/>
      <c r="AMG15" s="122"/>
      <c r="AMH15" s="122"/>
      <c r="AMI15" s="122"/>
      <c r="AMJ15" s="122"/>
      <c r="AMK15" s="122"/>
      <c r="AML15" s="122"/>
      <c r="AMM15" s="122"/>
      <c r="AMN15" s="122"/>
      <c r="AMO15" s="122"/>
      <c r="AMP15" s="122"/>
      <c r="AMQ15" s="122"/>
      <c r="AMR15" s="122"/>
      <c r="AMS15" s="122"/>
      <c r="AMT15" s="122"/>
      <c r="AMU15" s="122"/>
      <c r="AMV15" s="122"/>
      <c r="AMW15" s="122"/>
      <c r="AMX15" s="122"/>
      <c r="AMY15" s="122"/>
      <c r="AMZ15" s="122"/>
      <c r="ANA15" s="122"/>
      <c r="ANB15" s="122"/>
      <c r="ANC15" s="122"/>
      <c r="AND15" s="122"/>
      <c r="ANE15" s="122"/>
      <c r="ANF15" s="122"/>
      <c r="ANG15" s="122"/>
      <c r="ANH15" s="122"/>
      <c r="ANI15" s="122"/>
      <c r="ANJ15" s="122"/>
      <c r="ANK15" s="122"/>
      <c r="ANL15" s="122"/>
      <c r="ANM15" s="122"/>
      <c r="ANN15" s="122"/>
      <c r="ANO15" s="122"/>
      <c r="ANP15" s="122"/>
      <c r="ANQ15" s="122"/>
      <c r="ANR15" s="122"/>
      <c r="ANS15" s="122"/>
      <c r="ANT15" s="122"/>
      <c r="ANU15" s="122"/>
      <c r="ANV15" s="122"/>
      <c r="ANW15" s="122"/>
      <c r="ANX15" s="122"/>
      <c r="ANY15" s="122"/>
      <c r="ANZ15" s="122"/>
      <c r="AOA15" s="122"/>
      <c r="AOB15" s="122"/>
      <c r="AOC15" s="122"/>
      <c r="AOD15" s="122"/>
      <c r="AOE15" s="122"/>
      <c r="AOF15" s="122"/>
      <c r="AOG15" s="122"/>
      <c r="AOH15" s="122"/>
      <c r="AOI15" s="122"/>
      <c r="AOJ15" s="122"/>
      <c r="AOK15" s="122"/>
      <c r="AOL15" s="122"/>
      <c r="AOM15" s="122"/>
      <c r="AON15" s="122"/>
      <c r="AOO15" s="122"/>
      <c r="AOP15" s="122"/>
      <c r="AOQ15" s="122"/>
      <c r="AOR15" s="122"/>
      <c r="AOS15" s="122"/>
      <c r="AOT15" s="122"/>
      <c r="AOU15" s="122"/>
      <c r="AOV15" s="122"/>
      <c r="AOW15" s="122"/>
      <c r="AOX15" s="122"/>
      <c r="AOY15" s="122"/>
      <c r="AOZ15" s="122"/>
      <c r="APA15" s="122"/>
      <c r="APB15" s="122"/>
      <c r="APC15" s="122"/>
      <c r="APD15" s="122"/>
      <c r="APE15" s="122"/>
      <c r="APF15" s="122"/>
      <c r="APG15" s="122"/>
      <c r="APH15" s="122"/>
      <c r="API15" s="122"/>
      <c r="APJ15" s="122"/>
      <c r="APK15" s="122"/>
      <c r="APL15" s="122"/>
      <c r="APM15" s="122"/>
      <c r="APN15" s="122"/>
      <c r="APO15" s="122"/>
      <c r="APP15" s="122"/>
      <c r="APQ15" s="122"/>
      <c r="APR15" s="122"/>
      <c r="APS15" s="122"/>
      <c r="APT15" s="122"/>
      <c r="APU15" s="122"/>
      <c r="APV15" s="122"/>
      <c r="APW15" s="122"/>
      <c r="APX15" s="122"/>
      <c r="APY15" s="122"/>
      <c r="APZ15" s="122"/>
      <c r="AQA15" s="122"/>
      <c r="AQB15" s="122"/>
      <c r="AQC15" s="122"/>
      <c r="AQD15" s="122"/>
      <c r="AQE15" s="122"/>
      <c r="AQF15" s="122"/>
      <c r="AQG15" s="122"/>
      <c r="AQH15" s="122"/>
      <c r="AQI15" s="122"/>
      <c r="AQJ15" s="122"/>
      <c r="AQK15" s="122"/>
      <c r="AQL15" s="122"/>
      <c r="AQM15" s="122"/>
      <c r="AQN15" s="122"/>
      <c r="AQO15" s="122"/>
      <c r="AQP15" s="122"/>
      <c r="AQQ15" s="122"/>
      <c r="AQR15" s="122"/>
      <c r="AQS15" s="122"/>
      <c r="AQT15" s="122"/>
      <c r="AQU15" s="122"/>
      <c r="AQV15" s="122"/>
      <c r="AQW15" s="122"/>
      <c r="AQX15" s="122"/>
      <c r="AQY15" s="122"/>
      <c r="AQZ15" s="122"/>
      <c r="ARA15" s="122"/>
      <c r="ARB15" s="122"/>
      <c r="ARC15" s="122"/>
      <c r="ARD15" s="122"/>
      <c r="ARE15" s="122"/>
      <c r="ARF15" s="122"/>
      <c r="ARG15" s="122"/>
      <c r="ARH15" s="122"/>
      <c r="ARI15" s="122"/>
      <c r="ARJ15" s="122"/>
      <c r="ARK15" s="122"/>
      <c r="ARL15" s="122"/>
      <c r="ARM15" s="122"/>
      <c r="ARN15" s="122"/>
      <c r="ARO15" s="122"/>
      <c r="ARP15" s="122"/>
      <c r="ARQ15" s="122"/>
      <c r="ARR15" s="122"/>
      <c r="ARS15" s="122"/>
      <c r="ART15" s="122"/>
      <c r="ARU15" s="122"/>
      <c r="ARV15" s="122"/>
      <c r="ARW15" s="122"/>
      <c r="ARX15" s="122"/>
      <c r="ARY15" s="122"/>
      <c r="ARZ15" s="122"/>
      <c r="ASA15" s="122"/>
      <c r="ASB15" s="122"/>
      <c r="ASC15" s="122"/>
      <c r="ASD15" s="122"/>
      <c r="ASE15" s="122"/>
      <c r="ASF15" s="122"/>
      <c r="ASG15" s="122"/>
      <c r="ASH15" s="122"/>
      <c r="ASI15" s="122"/>
      <c r="ASJ15" s="122"/>
      <c r="ASK15" s="122"/>
      <c r="ASL15" s="122"/>
      <c r="ASM15" s="122"/>
      <c r="ASN15" s="122"/>
      <c r="ASO15" s="122"/>
      <c r="ASP15" s="122"/>
      <c r="ASQ15" s="122"/>
      <c r="ASR15" s="122"/>
      <c r="ASS15" s="122"/>
      <c r="AST15" s="122"/>
      <c r="ASU15" s="122"/>
      <c r="ASV15" s="122"/>
      <c r="ASW15" s="122"/>
      <c r="ASX15" s="122"/>
      <c r="ASY15" s="122"/>
      <c r="ASZ15" s="122"/>
      <c r="ATA15" s="122"/>
      <c r="ATB15" s="122"/>
      <c r="ATC15" s="122"/>
      <c r="ATD15" s="122"/>
      <c r="ATE15" s="122"/>
      <c r="ATF15" s="122"/>
      <c r="ATG15" s="122"/>
      <c r="ATH15" s="122"/>
      <c r="ATI15" s="122"/>
      <c r="ATJ15" s="122"/>
      <c r="ATK15" s="122"/>
      <c r="ATL15" s="122"/>
      <c r="ATM15" s="122"/>
      <c r="ATN15" s="122"/>
      <c r="ATO15" s="122"/>
      <c r="ATP15" s="122"/>
      <c r="ATQ15" s="122"/>
      <c r="ATR15" s="122"/>
      <c r="ATS15" s="122"/>
      <c r="ATT15" s="122"/>
      <c r="ATU15" s="122"/>
      <c r="ATV15" s="122"/>
      <c r="ATW15" s="122"/>
      <c r="ATX15" s="122"/>
      <c r="ATY15" s="122"/>
      <c r="ATZ15" s="122"/>
      <c r="AUA15" s="122"/>
      <c r="AUB15" s="122"/>
      <c r="AUC15" s="122"/>
      <c r="AUD15" s="122"/>
      <c r="AUE15" s="122"/>
      <c r="AUF15" s="122"/>
      <c r="AUG15" s="122"/>
      <c r="AUH15" s="122"/>
      <c r="AUI15" s="122"/>
      <c r="AUJ15" s="122"/>
      <c r="AUK15" s="122"/>
      <c r="AUL15" s="122"/>
      <c r="AUM15" s="122"/>
      <c r="AUN15" s="122"/>
      <c r="AUO15" s="122"/>
      <c r="AUP15" s="122"/>
      <c r="AUQ15" s="122"/>
      <c r="AUR15" s="122"/>
      <c r="AUS15" s="122"/>
      <c r="AUT15" s="122"/>
      <c r="AUU15" s="122"/>
      <c r="AUV15" s="122"/>
      <c r="AUW15" s="122"/>
      <c r="AUX15" s="122"/>
      <c r="AUY15" s="122"/>
      <c r="AUZ15" s="122"/>
      <c r="AVA15" s="122"/>
      <c r="AVB15" s="122"/>
      <c r="AVC15" s="122"/>
      <c r="AVD15" s="122"/>
      <c r="AVE15" s="122"/>
      <c r="AVF15" s="122"/>
      <c r="AVG15" s="122"/>
      <c r="AVH15" s="122"/>
      <c r="AVI15" s="122"/>
      <c r="AVJ15" s="122"/>
      <c r="AVK15" s="122"/>
      <c r="AVL15" s="122"/>
      <c r="AVM15" s="122"/>
      <c r="AVN15" s="122"/>
      <c r="AVO15" s="122"/>
      <c r="AVP15" s="122"/>
      <c r="AVQ15" s="122"/>
      <c r="AVR15" s="122"/>
      <c r="AVS15" s="122"/>
      <c r="AVT15" s="122"/>
      <c r="AVU15" s="122"/>
      <c r="AVV15" s="122"/>
      <c r="AVW15" s="122"/>
      <c r="AVX15" s="122"/>
      <c r="AVY15" s="122"/>
      <c r="AVZ15" s="122"/>
      <c r="AWA15" s="122"/>
      <c r="AWB15" s="122"/>
      <c r="AWC15" s="122"/>
      <c r="AWD15" s="122"/>
      <c r="AWE15" s="122"/>
      <c r="AWF15" s="122"/>
      <c r="AWG15" s="122"/>
      <c r="AWH15" s="122"/>
      <c r="AWI15" s="122"/>
      <c r="AWJ15" s="122"/>
      <c r="AWK15" s="122"/>
      <c r="AWL15" s="122"/>
      <c r="AWM15" s="122"/>
      <c r="AWN15" s="122"/>
      <c r="AWO15" s="122"/>
      <c r="AWP15" s="122"/>
      <c r="AWQ15" s="122"/>
      <c r="AWR15" s="122"/>
      <c r="AWS15" s="122"/>
      <c r="AWT15" s="122"/>
      <c r="AWU15" s="122"/>
      <c r="AWV15" s="122"/>
      <c r="AWW15" s="122"/>
      <c r="AWX15" s="122"/>
      <c r="AWY15" s="122"/>
      <c r="AWZ15" s="122"/>
      <c r="AXA15" s="122"/>
      <c r="AXB15" s="122"/>
      <c r="AXC15" s="122"/>
      <c r="AXD15" s="122"/>
      <c r="AXE15" s="122"/>
      <c r="AXF15" s="122"/>
      <c r="AXG15" s="122"/>
      <c r="AXH15" s="122"/>
      <c r="AXI15" s="122"/>
      <c r="AXJ15" s="122"/>
      <c r="AXK15" s="122"/>
      <c r="AXL15" s="122"/>
      <c r="AXM15" s="122"/>
      <c r="AXN15" s="122"/>
      <c r="AXO15" s="122"/>
      <c r="AXP15" s="122"/>
      <c r="AXQ15" s="122"/>
      <c r="AXR15" s="122"/>
      <c r="AXS15" s="122"/>
      <c r="AXT15" s="122"/>
      <c r="AXU15" s="122"/>
      <c r="AXV15" s="122"/>
      <c r="AXW15" s="122"/>
      <c r="AXX15" s="122"/>
      <c r="AXY15" s="122"/>
      <c r="AXZ15" s="122"/>
      <c r="AYA15" s="122"/>
      <c r="AYB15" s="122"/>
      <c r="AYC15" s="122"/>
      <c r="AYD15" s="122"/>
      <c r="AYE15" s="122"/>
      <c r="AYF15" s="122"/>
      <c r="AYG15" s="122"/>
      <c r="AYH15" s="122"/>
      <c r="AYI15" s="122"/>
      <c r="AYJ15" s="122"/>
      <c r="AYK15" s="122"/>
      <c r="AYL15" s="122"/>
      <c r="AYM15" s="122"/>
      <c r="AYN15" s="122"/>
      <c r="AYO15" s="122"/>
      <c r="AYP15" s="122"/>
      <c r="AYQ15" s="122"/>
      <c r="AYR15" s="122"/>
      <c r="AYS15" s="122"/>
      <c r="AYT15" s="122"/>
      <c r="AYU15" s="122"/>
      <c r="AYV15" s="122"/>
      <c r="AYW15" s="122"/>
      <c r="AYX15" s="122"/>
      <c r="AYY15" s="122"/>
      <c r="AYZ15" s="122"/>
      <c r="AZA15" s="122"/>
      <c r="AZB15" s="122"/>
      <c r="AZC15" s="122"/>
      <c r="AZD15" s="122"/>
      <c r="AZE15" s="122"/>
      <c r="AZF15" s="122"/>
      <c r="AZG15" s="122"/>
      <c r="AZH15" s="122"/>
      <c r="AZI15" s="122"/>
      <c r="AZJ15" s="122"/>
      <c r="AZK15" s="122"/>
      <c r="AZL15" s="122"/>
      <c r="AZM15" s="122"/>
      <c r="AZN15" s="122"/>
      <c r="AZO15" s="122"/>
      <c r="AZP15" s="122"/>
      <c r="AZQ15" s="122"/>
      <c r="AZR15" s="122"/>
      <c r="AZS15" s="122"/>
      <c r="AZT15" s="122"/>
      <c r="AZU15" s="122"/>
      <c r="AZV15" s="122"/>
      <c r="AZW15" s="122"/>
      <c r="AZX15" s="122"/>
      <c r="AZY15" s="122"/>
      <c r="AZZ15" s="122"/>
      <c r="BAA15" s="122"/>
      <c r="BAB15" s="122"/>
      <c r="BAC15" s="122"/>
      <c r="BAD15" s="122"/>
      <c r="BAE15" s="122"/>
      <c r="BAF15" s="122"/>
      <c r="BAG15" s="122"/>
      <c r="BAH15" s="122"/>
      <c r="BAI15" s="122"/>
      <c r="BAJ15" s="122"/>
      <c r="BAK15" s="122"/>
      <c r="BAL15" s="122"/>
      <c r="BAM15" s="122"/>
      <c r="BAN15" s="122"/>
      <c r="BAO15" s="122"/>
      <c r="BAP15" s="122"/>
      <c r="BAQ15" s="122"/>
      <c r="BAR15" s="122"/>
      <c r="BAS15" s="122"/>
      <c r="BAT15" s="122"/>
      <c r="BAU15" s="122"/>
      <c r="BAV15" s="122"/>
      <c r="BAW15" s="122"/>
      <c r="BAX15" s="122"/>
      <c r="BAY15" s="122"/>
      <c r="BAZ15" s="122"/>
      <c r="BBA15" s="122"/>
      <c r="BBB15" s="122"/>
      <c r="BBC15" s="122"/>
      <c r="BBD15" s="122"/>
      <c r="BBE15" s="122"/>
      <c r="BBF15" s="122"/>
      <c r="BBG15" s="122"/>
      <c r="BBH15" s="122"/>
      <c r="BBI15" s="122"/>
      <c r="BBJ15" s="122"/>
      <c r="BBK15" s="122"/>
      <c r="BBL15" s="122"/>
      <c r="BBM15" s="122"/>
      <c r="BBN15" s="122"/>
      <c r="BBO15" s="122"/>
      <c r="BBP15" s="122"/>
      <c r="BBQ15" s="122"/>
      <c r="BBR15" s="122"/>
      <c r="BBS15" s="122"/>
      <c r="BBT15" s="122"/>
      <c r="BBU15" s="122"/>
      <c r="BBV15" s="122"/>
      <c r="BBW15" s="122"/>
      <c r="BBX15" s="122"/>
      <c r="BBY15" s="122"/>
      <c r="BBZ15" s="122"/>
      <c r="BCA15" s="122"/>
      <c r="BCB15" s="122"/>
      <c r="BCC15" s="122"/>
      <c r="BCD15" s="122"/>
      <c r="BCE15" s="122"/>
      <c r="BCF15" s="122"/>
      <c r="BCG15" s="122"/>
      <c r="BCH15" s="122"/>
      <c r="BCI15" s="122"/>
      <c r="BCJ15" s="122"/>
      <c r="BCK15" s="122"/>
      <c r="BCL15" s="122"/>
      <c r="BCM15" s="122"/>
      <c r="BCN15" s="122"/>
      <c r="BCO15" s="122"/>
      <c r="BCP15" s="122"/>
      <c r="BCQ15" s="122"/>
      <c r="BCR15" s="122"/>
      <c r="BCS15" s="122"/>
      <c r="BCT15" s="122"/>
      <c r="BCU15" s="122"/>
      <c r="BCV15" s="122"/>
      <c r="BCW15" s="122"/>
      <c r="BCX15" s="122"/>
      <c r="BCY15" s="122"/>
      <c r="BCZ15" s="122"/>
      <c r="BDA15" s="122"/>
      <c r="BDB15" s="122"/>
      <c r="BDC15" s="122"/>
      <c r="BDD15" s="122"/>
      <c r="BDE15" s="122"/>
      <c r="BDF15" s="122"/>
      <c r="BDG15" s="122"/>
      <c r="BDH15" s="122"/>
      <c r="BDI15" s="122"/>
      <c r="BDJ15" s="122"/>
      <c r="BDK15" s="122"/>
      <c r="BDL15" s="122"/>
      <c r="BDM15" s="122"/>
      <c r="BDN15" s="122"/>
      <c r="BDO15" s="122"/>
      <c r="BDP15" s="122"/>
      <c r="BDQ15" s="122"/>
      <c r="BDR15" s="122"/>
      <c r="BDS15" s="122"/>
      <c r="BDT15" s="122"/>
      <c r="BDU15" s="122"/>
      <c r="BDV15" s="122"/>
      <c r="BDW15" s="122"/>
      <c r="BDX15" s="122"/>
      <c r="BDY15" s="122"/>
      <c r="BDZ15" s="122"/>
      <c r="BEA15" s="122"/>
      <c r="BEB15" s="122"/>
      <c r="BEC15" s="122"/>
      <c r="BED15" s="122"/>
      <c r="BEE15" s="122"/>
      <c r="BEF15" s="122"/>
      <c r="BEG15" s="122"/>
      <c r="BEH15" s="122"/>
      <c r="BEI15" s="122"/>
      <c r="BEJ15" s="122"/>
      <c r="BEK15" s="122"/>
      <c r="BEL15" s="122"/>
      <c r="BEM15" s="122"/>
      <c r="BEN15" s="122"/>
      <c r="BEO15" s="122"/>
      <c r="BEP15" s="122"/>
      <c r="BEQ15" s="122"/>
      <c r="BER15" s="122"/>
      <c r="BES15" s="122"/>
      <c r="BET15" s="122"/>
      <c r="BEU15" s="122"/>
      <c r="BEV15" s="122"/>
      <c r="BEW15" s="122"/>
      <c r="BEX15" s="122"/>
      <c r="BEY15" s="122"/>
      <c r="BEZ15" s="122"/>
      <c r="BFA15" s="122"/>
      <c r="BFB15" s="122"/>
      <c r="BFC15" s="122"/>
      <c r="BFD15" s="122"/>
      <c r="BFE15" s="122"/>
      <c r="BFF15" s="122"/>
      <c r="BFG15" s="122"/>
      <c r="BFH15" s="122"/>
      <c r="BFI15" s="122"/>
      <c r="BFJ15" s="122"/>
      <c r="BFK15" s="122"/>
      <c r="BFL15" s="122"/>
      <c r="BFM15" s="122"/>
      <c r="BFN15" s="122"/>
      <c r="BFO15" s="122"/>
      <c r="BFP15" s="122"/>
      <c r="BFQ15" s="122"/>
      <c r="BFR15" s="122"/>
      <c r="BFS15" s="122"/>
      <c r="BFT15" s="122"/>
      <c r="BFU15" s="122"/>
      <c r="BFV15" s="122"/>
      <c r="BFW15" s="122"/>
      <c r="BFX15" s="122"/>
      <c r="BFY15" s="122"/>
      <c r="BFZ15" s="122"/>
      <c r="BGA15" s="122"/>
      <c r="BGB15" s="122"/>
      <c r="BGC15" s="122"/>
      <c r="BGD15" s="122"/>
      <c r="BGE15" s="122"/>
      <c r="BGF15" s="122"/>
      <c r="BGG15" s="122"/>
      <c r="BGH15" s="122"/>
      <c r="BGI15" s="122"/>
      <c r="BGJ15" s="122"/>
      <c r="BGK15" s="122"/>
      <c r="BGL15" s="122"/>
      <c r="BGM15" s="122"/>
      <c r="BGN15" s="122"/>
      <c r="BGO15" s="122"/>
      <c r="BGP15" s="122"/>
      <c r="BGQ15" s="122"/>
      <c r="BGR15" s="122"/>
      <c r="BGS15" s="122"/>
      <c r="BGT15" s="122"/>
      <c r="BGU15" s="122"/>
      <c r="BGV15" s="122"/>
      <c r="BGW15" s="122"/>
      <c r="BGX15" s="122"/>
      <c r="BGY15" s="122"/>
      <c r="BGZ15" s="122"/>
      <c r="BHA15" s="122"/>
      <c r="BHB15" s="122"/>
      <c r="BHC15" s="122"/>
      <c r="BHD15" s="122"/>
      <c r="BHE15" s="122"/>
      <c r="BHF15" s="122"/>
      <c r="BHG15" s="122"/>
      <c r="BHH15" s="122"/>
      <c r="BHI15" s="122"/>
      <c r="BHJ15" s="122"/>
      <c r="BHK15" s="122"/>
      <c r="BHL15" s="122"/>
      <c r="BHM15" s="122"/>
      <c r="BHN15" s="122"/>
      <c r="BHO15" s="122"/>
      <c r="BHP15" s="122"/>
      <c r="BHQ15" s="122"/>
      <c r="BHR15" s="122"/>
      <c r="BHS15" s="122"/>
      <c r="BHT15" s="122"/>
      <c r="BHU15" s="122"/>
      <c r="BHV15" s="122"/>
      <c r="BHW15" s="122"/>
      <c r="BHX15" s="122"/>
      <c r="BHY15" s="122"/>
      <c r="BHZ15" s="122"/>
      <c r="BIA15" s="122"/>
      <c r="BIB15" s="122"/>
      <c r="BIC15" s="122"/>
      <c r="BID15" s="122"/>
      <c r="BIE15" s="122"/>
      <c r="BIF15" s="122"/>
      <c r="BIG15" s="122"/>
      <c r="BIH15" s="122"/>
      <c r="BII15" s="122"/>
      <c r="BIJ15" s="122"/>
      <c r="BIK15" s="122"/>
      <c r="BIL15" s="122"/>
      <c r="BIM15" s="122"/>
      <c r="BIN15" s="122"/>
      <c r="BIO15" s="122"/>
      <c r="BIP15" s="122"/>
      <c r="BIQ15" s="122"/>
      <c r="BIR15" s="122"/>
      <c r="BIS15" s="122"/>
      <c r="BIT15" s="122"/>
      <c r="BIU15" s="122"/>
      <c r="BIV15" s="122"/>
      <c r="BIW15" s="122"/>
      <c r="BIX15" s="122"/>
      <c r="BIY15" s="122"/>
      <c r="BIZ15" s="122"/>
      <c r="BJA15" s="122"/>
      <c r="BJB15" s="122"/>
      <c r="BJC15" s="122"/>
      <c r="BJD15" s="122"/>
      <c r="BJE15" s="122"/>
      <c r="BJF15" s="122"/>
      <c r="BJG15" s="122"/>
      <c r="BJH15" s="122"/>
      <c r="BJI15" s="122"/>
      <c r="BJJ15" s="122"/>
      <c r="BJK15" s="122"/>
      <c r="BJL15" s="122"/>
      <c r="BJM15" s="122"/>
      <c r="BJN15" s="122"/>
      <c r="BJO15" s="122"/>
      <c r="BJP15" s="122"/>
      <c r="BJQ15" s="122"/>
      <c r="BJR15" s="122"/>
      <c r="BJS15" s="122"/>
      <c r="BJT15" s="122"/>
      <c r="BJU15" s="122"/>
      <c r="BJV15" s="122"/>
      <c r="BJW15" s="122"/>
      <c r="BJX15" s="122"/>
      <c r="BJY15" s="122"/>
      <c r="BJZ15" s="122"/>
      <c r="BKA15" s="122"/>
      <c r="BKB15" s="122"/>
      <c r="BKC15" s="122"/>
      <c r="BKD15" s="122"/>
      <c r="BKE15" s="122"/>
      <c r="BKF15" s="122"/>
      <c r="BKG15" s="122"/>
      <c r="BKH15" s="122"/>
      <c r="BKI15" s="122"/>
      <c r="BKJ15" s="122"/>
      <c r="BKK15" s="122"/>
      <c r="BKL15" s="122"/>
      <c r="BKM15" s="122"/>
      <c r="BKN15" s="122"/>
      <c r="BKO15" s="122"/>
      <c r="BKP15" s="122"/>
      <c r="BKQ15" s="122"/>
      <c r="BKR15" s="122"/>
      <c r="BKS15" s="122"/>
      <c r="BKT15" s="122"/>
      <c r="BKU15" s="122"/>
      <c r="BKV15" s="122"/>
      <c r="BKW15" s="122"/>
      <c r="BKX15" s="122"/>
      <c r="BKY15" s="122"/>
      <c r="BKZ15" s="122"/>
      <c r="BLA15" s="122"/>
      <c r="BLB15" s="122"/>
      <c r="BLC15" s="122"/>
      <c r="BLD15" s="122"/>
      <c r="BLE15" s="122"/>
      <c r="BLF15" s="122"/>
      <c r="BLG15" s="122"/>
      <c r="BLH15" s="122"/>
      <c r="BLI15" s="122"/>
      <c r="BLJ15" s="122"/>
      <c r="BLK15" s="122"/>
      <c r="BLL15" s="122"/>
      <c r="BLM15" s="122"/>
      <c r="BLN15" s="122"/>
      <c r="BLO15" s="122"/>
      <c r="BLP15" s="122"/>
      <c r="BLQ15" s="122"/>
      <c r="BLR15" s="122"/>
      <c r="BLS15" s="122"/>
      <c r="BLT15" s="122"/>
      <c r="BLU15" s="122"/>
      <c r="BLV15" s="122"/>
      <c r="BLW15" s="122"/>
      <c r="BLX15" s="122"/>
      <c r="BLY15" s="122"/>
      <c r="BLZ15" s="122"/>
      <c r="BMA15" s="122"/>
      <c r="BMB15" s="122"/>
      <c r="BMC15" s="122"/>
      <c r="BMD15" s="122"/>
      <c r="BME15" s="122"/>
      <c r="BMF15" s="122"/>
      <c r="BMG15" s="122"/>
      <c r="BMH15" s="122"/>
      <c r="BMI15" s="122"/>
      <c r="BMJ15" s="122"/>
      <c r="BMK15" s="122"/>
      <c r="BML15" s="122"/>
      <c r="BMM15" s="122"/>
      <c r="BMN15" s="122"/>
      <c r="BMO15" s="122"/>
      <c r="BMP15" s="122"/>
      <c r="BMQ15" s="122"/>
      <c r="BMR15" s="122"/>
      <c r="BMS15" s="122"/>
      <c r="BMT15" s="122"/>
      <c r="BMU15" s="122"/>
      <c r="BMV15" s="122"/>
      <c r="BMW15" s="122"/>
      <c r="BMX15" s="122"/>
      <c r="BMY15" s="122"/>
      <c r="BMZ15" s="122"/>
      <c r="BNA15" s="122"/>
      <c r="BNB15" s="122"/>
      <c r="BNC15" s="122"/>
      <c r="BND15" s="122"/>
      <c r="BNE15" s="122"/>
      <c r="BNF15" s="122"/>
      <c r="BNG15" s="122"/>
      <c r="BNH15" s="122"/>
      <c r="BNI15" s="122"/>
      <c r="BNJ15" s="122"/>
      <c r="BNK15" s="122"/>
      <c r="BNL15" s="122"/>
      <c r="BNM15" s="122"/>
      <c r="BNN15" s="122"/>
      <c r="BNO15" s="122"/>
      <c r="BNP15" s="122"/>
      <c r="BNQ15" s="122"/>
      <c r="BNR15" s="122"/>
      <c r="BNS15" s="122"/>
      <c r="BNT15" s="122"/>
      <c r="BNU15" s="122"/>
      <c r="BNV15" s="122"/>
      <c r="BNW15" s="122"/>
      <c r="BNX15" s="122"/>
      <c r="BNY15" s="122"/>
      <c r="BNZ15" s="122"/>
      <c r="BOA15" s="122"/>
      <c r="BOB15" s="122"/>
      <c r="BOC15" s="122"/>
      <c r="BOD15" s="122"/>
      <c r="BOE15" s="122"/>
      <c r="BOF15" s="122"/>
      <c r="BOG15" s="122"/>
      <c r="BOH15" s="122"/>
      <c r="BOI15" s="122"/>
      <c r="BOJ15" s="122"/>
      <c r="BOK15" s="122"/>
      <c r="BOL15" s="122"/>
      <c r="BOM15" s="122"/>
      <c r="BON15" s="122"/>
      <c r="BOO15" s="122"/>
      <c r="BOP15" s="122"/>
      <c r="BOQ15" s="122"/>
      <c r="BOR15" s="122"/>
      <c r="BOS15" s="122"/>
      <c r="BOT15" s="122"/>
      <c r="BOU15" s="122"/>
      <c r="BOV15" s="122"/>
      <c r="BOW15" s="122"/>
      <c r="BOX15" s="122"/>
      <c r="BOY15" s="122"/>
      <c r="BOZ15" s="122"/>
      <c r="BPA15" s="122"/>
      <c r="BPB15" s="122"/>
      <c r="BPC15" s="122"/>
      <c r="BPD15" s="122"/>
      <c r="BPE15" s="122"/>
      <c r="BPF15" s="122"/>
      <c r="BPG15" s="122"/>
      <c r="BPH15" s="122"/>
      <c r="BPI15" s="122"/>
      <c r="BPJ15" s="122"/>
      <c r="BPK15" s="122"/>
      <c r="BPL15" s="122"/>
      <c r="BPM15" s="122"/>
      <c r="BPN15" s="122"/>
      <c r="BPO15" s="122"/>
      <c r="BPP15" s="122"/>
      <c r="BPQ15" s="122"/>
      <c r="BPR15" s="122"/>
      <c r="BPS15" s="122"/>
      <c r="BPT15" s="122"/>
      <c r="BPU15" s="122"/>
      <c r="BPV15" s="122"/>
      <c r="BPW15" s="122"/>
      <c r="BPX15" s="122"/>
      <c r="BPY15" s="122"/>
      <c r="BPZ15" s="122"/>
      <c r="BQA15" s="122"/>
      <c r="BQB15" s="122"/>
      <c r="BQC15" s="122"/>
      <c r="BQD15" s="122"/>
      <c r="BQE15" s="122"/>
      <c r="BQF15" s="122"/>
      <c r="BQG15" s="122"/>
      <c r="BQH15" s="122"/>
      <c r="BQI15" s="122"/>
      <c r="BQJ15" s="122"/>
      <c r="BQK15" s="122"/>
      <c r="BQL15" s="122"/>
      <c r="BQM15" s="122"/>
      <c r="BQN15" s="122"/>
      <c r="BQO15" s="122"/>
      <c r="BQP15" s="122"/>
      <c r="BQQ15" s="122"/>
      <c r="BQR15" s="122"/>
      <c r="BQS15" s="122"/>
      <c r="BQT15" s="122"/>
      <c r="BQU15" s="122"/>
      <c r="BQV15" s="122"/>
      <c r="BQW15" s="122"/>
      <c r="BQX15" s="122"/>
      <c r="BQY15" s="122"/>
      <c r="BQZ15" s="122"/>
      <c r="BRA15" s="122"/>
      <c r="BRB15" s="122"/>
      <c r="BRC15" s="122"/>
      <c r="BRD15" s="122"/>
      <c r="BRE15" s="122"/>
      <c r="BRF15" s="122"/>
      <c r="BRG15" s="122"/>
      <c r="BRH15" s="122"/>
      <c r="BRI15" s="122"/>
      <c r="BRJ15" s="122"/>
      <c r="BRK15" s="122"/>
      <c r="BRL15" s="122"/>
      <c r="BRM15" s="122"/>
      <c r="BRN15" s="122"/>
      <c r="BRO15" s="122"/>
      <c r="BRP15" s="122"/>
      <c r="BRQ15" s="122"/>
      <c r="BRR15" s="122"/>
      <c r="BRS15" s="122"/>
      <c r="BRT15" s="122"/>
      <c r="BRU15" s="122"/>
      <c r="BRV15" s="122"/>
      <c r="BRW15" s="122"/>
      <c r="BRX15" s="122"/>
      <c r="BRY15" s="122"/>
      <c r="BRZ15" s="122"/>
      <c r="BSA15" s="122"/>
      <c r="BSB15" s="122"/>
      <c r="BSC15" s="122"/>
      <c r="BSD15" s="122"/>
      <c r="BSE15" s="122"/>
      <c r="BSF15" s="122"/>
      <c r="BSG15" s="122"/>
      <c r="BSH15" s="122"/>
      <c r="BSI15" s="122"/>
      <c r="BSJ15" s="122"/>
      <c r="BSK15" s="122"/>
      <c r="BSL15" s="122"/>
      <c r="BSM15" s="122"/>
      <c r="BSN15" s="122"/>
      <c r="BSO15" s="122"/>
      <c r="BSP15" s="122"/>
      <c r="BSQ15" s="122"/>
      <c r="BSR15" s="122"/>
      <c r="BSS15" s="122"/>
      <c r="BST15" s="122"/>
      <c r="BSU15" s="122"/>
      <c r="BSV15" s="122"/>
      <c r="BSW15" s="122"/>
      <c r="BSX15" s="122"/>
      <c r="BSY15" s="122"/>
      <c r="BSZ15" s="122"/>
      <c r="BTA15" s="122"/>
      <c r="BTB15" s="122"/>
      <c r="BTC15" s="122"/>
      <c r="BTD15" s="122"/>
      <c r="BTE15" s="122"/>
      <c r="BTF15" s="122"/>
      <c r="BTG15" s="122"/>
      <c r="BTH15" s="122"/>
      <c r="BTI15" s="122"/>
      <c r="BTJ15" s="122"/>
      <c r="BTK15" s="122"/>
      <c r="BTL15" s="122"/>
      <c r="BTM15" s="122"/>
      <c r="BTN15" s="122"/>
      <c r="BTO15" s="122"/>
      <c r="BTP15" s="122"/>
      <c r="BTQ15" s="122"/>
      <c r="BTR15" s="122"/>
      <c r="BTS15" s="122"/>
      <c r="BTT15" s="122"/>
      <c r="BTU15" s="122"/>
      <c r="BTV15" s="122"/>
      <c r="BTW15" s="122"/>
      <c r="BTX15" s="122"/>
      <c r="BTY15" s="122"/>
      <c r="BTZ15" s="122"/>
      <c r="BUA15" s="122"/>
      <c r="BUB15" s="122"/>
      <c r="BUC15" s="122"/>
      <c r="BUD15" s="122"/>
      <c r="BUE15" s="122"/>
      <c r="BUF15" s="122"/>
      <c r="BUG15" s="122"/>
      <c r="BUH15" s="122"/>
      <c r="BUI15" s="122"/>
      <c r="BUJ15" s="122"/>
      <c r="BUK15" s="122"/>
      <c r="BUL15" s="122"/>
      <c r="BUM15" s="122"/>
      <c r="BUN15" s="122"/>
      <c r="BUO15" s="122"/>
      <c r="BUP15" s="122"/>
      <c r="BUQ15" s="122"/>
      <c r="BUR15" s="122"/>
      <c r="BUS15" s="122"/>
      <c r="BUT15" s="122"/>
      <c r="BUU15" s="122"/>
      <c r="BUV15" s="122"/>
      <c r="BUW15" s="122"/>
      <c r="BUX15" s="122"/>
      <c r="BUY15" s="122"/>
      <c r="BUZ15" s="122"/>
      <c r="BVA15" s="122"/>
      <c r="BVB15" s="122"/>
      <c r="BVC15" s="122"/>
      <c r="BVD15" s="122"/>
      <c r="BVE15" s="122"/>
      <c r="BVF15" s="122"/>
      <c r="BVG15" s="122"/>
      <c r="BVH15" s="122"/>
      <c r="BVI15" s="122"/>
      <c r="BVJ15" s="122"/>
      <c r="BVK15" s="122"/>
      <c r="BVL15" s="122"/>
      <c r="BVM15" s="122"/>
      <c r="BVN15" s="122"/>
      <c r="BVO15" s="122"/>
      <c r="BVP15" s="122"/>
      <c r="BVQ15" s="122"/>
      <c r="BVR15" s="122"/>
      <c r="BVS15" s="122"/>
      <c r="BVT15" s="122"/>
      <c r="BVU15" s="122"/>
      <c r="BVV15" s="122"/>
      <c r="BVW15" s="122"/>
      <c r="BVX15" s="122"/>
      <c r="BVY15" s="122"/>
      <c r="BVZ15" s="122"/>
      <c r="BWA15" s="122"/>
      <c r="BWB15" s="122"/>
      <c r="BWC15" s="122"/>
      <c r="BWD15" s="122"/>
      <c r="BWE15" s="122"/>
      <c r="BWF15" s="122"/>
      <c r="BWG15" s="122"/>
      <c r="BWH15" s="122"/>
      <c r="BWI15" s="122"/>
      <c r="BWJ15" s="122"/>
      <c r="BWK15" s="122"/>
      <c r="BWL15" s="122"/>
      <c r="BWM15" s="122"/>
      <c r="BWN15" s="122"/>
      <c r="BWO15" s="122"/>
      <c r="BWP15" s="122"/>
      <c r="BWQ15" s="122"/>
      <c r="BWR15" s="122"/>
      <c r="BWS15" s="122"/>
      <c r="BWT15" s="122"/>
      <c r="BWU15" s="122"/>
      <c r="BWV15" s="122"/>
      <c r="BWW15" s="122"/>
      <c r="BWX15" s="122"/>
      <c r="BWY15" s="122"/>
      <c r="BWZ15" s="122"/>
      <c r="BXA15" s="122"/>
      <c r="BXB15" s="122"/>
      <c r="BXC15" s="122"/>
      <c r="BXD15" s="122"/>
      <c r="BXE15" s="122"/>
      <c r="BXF15" s="122"/>
      <c r="BXG15" s="122"/>
      <c r="BXH15" s="122"/>
      <c r="BXI15" s="122"/>
      <c r="BXJ15" s="122"/>
      <c r="BXK15" s="122"/>
      <c r="BXL15" s="122"/>
      <c r="BXM15" s="122"/>
      <c r="BXN15" s="122"/>
      <c r="BXO15" s="122"/>
      <c r="BXP15" s="122"/>
      <c r="BXQ15" s="122"/>
      <c r="BXR15" s="122"/>
      <c r="BXS15" s="122"/>
      <c r="BXT15" s="122"/>
      <c r="BXU15" s="122"/>
      <c r="BXV15" s="122"/>
      <c r="BXW15" s="122"/>
      <c r="BXX15" s="122"/>
      <c r="BXY15" s="122"/>
      <c r="BXZ15" s="122"/>
      <c r="BYA15" s="122"/>
      <c r="BYB15" s="122"/>
      <c r="BYC15" s="122"/>
      <c r="BYD15" s="122"/>
      <c r="BYE15" s="122"/>
      <c r="BYF15" s="122"/>
      <c r="BYG15" s="122"/>
      <c r="BYH15" s="122"/>
      <c r="BYI15" s="122"/>
      <c r="BYJ15" s="122"/>
      <c r="BYK15" s="122"/>
      <c r="BYL15" s="122"/>
      <c r="BYM15" s="122"/>
      <c r="BYN15" s="122"/>
      <c r="BYO15" s="122"/>
      <c r="BYP15" s="122"/>
      <c r="BYQ15" s="122"/>
      <c r="BYR15" s="122"/>
      <c r="BYS15" s="122"/>
      <c r="BYT15" s="122"/>
      <c r="BYU15" s="122"/>
      <c r="BYV15" s="122"/>
      <c r="BYW15" s="122"/>
      <c r="BYX15" s="122"/>
      <c r="BYY15" s="122"/>
      <c r="BYZ15" s="122"/>
      <c r="BZA15" s="122"/>
      <c r="BZB15" s="122"/>
      <c r="BZC15" s="122"/>
      <c r="BZD15" s="122"/>
      <c r="BZE15" s="122"/>
      <c r="BZF15" s="122"/>
      <c r="BZG15" s="122"/>
      <c r="BZH15" s="122"/>
      <c r="BZI15" s="122"/>
      <c r="BZJ15" s="122"/>
      <c r="BZK15" s="122"/>
      <c r="BZL15" s="122"/>
      <c r="BZM15" s="122"/>
      <c r="BZN15" s="122"/>
      <c r="BZO15" s="122"/>
      <c r="BZP15" s="122"/>
      <c r="BZQ15" s="122"/>
      <c r="BZR15" s="122"/>
      <c r="BZS15" s="122"/>
      <c r="BZT15" s="122"/>
      <c r="BZU15" s="122"/>
      <c r="BZV15" s="122"/>
      <c r="BZW15" s="122"/>
      <c r="BZX15" s="122"/>
      <c r="BZY15" s="122"/>
      <c r="BZZ15" s="122"/>
      <c r="CAA15" s="122"/>
      <c r="CAB15" s="122"/>
      <c r="CAC15" s="122"/>
      <c r="CAD15" s="122"/>
      <c r="CAE15" s="122"/>
      <c r="CAF15" s="122"/>
      <c r="CAG15" s="122"/>
      <c r="CAH15" s="122"/>
      <c r="CAI15" s="122"/>
      <c r="CAJ15" s="122"/>
      <c r="CAK15" s="122"/>
      <c r="CAL15" s="122"/>
      <c r="CAM15" s="122"/>
      <c r="CAN15" s="122"/>
      <c r="CAO15" s="122"/>
      <c r="CAP15" s="122"/>
      <c r="CAQ15" s="122"/>
      <c r="CAR15" s="122"/>
      <c r="CAS15" s="122"/>
      <c r="CAT15" s="122"/>
      <c r="CAU15" s="122"/>
      <c r="CAV15" s="122"/>
      <c r="CAW15" s="122"/>
      <c r="CAX15" s="122"/>
      <c r="CAY15" s="122"/>
      <c r="CAZ15" s="122"/>
      <c r="CBA15" s="122"/>
      <c r="CBB15" s="122"/>
      <c r="CBC15" s="122"/>
      <c r="CBD15" s="122"/>
      <c r="CBE15" s="122"/>
      <c r="CBF15" s="122"/>
      <c r="CBG15" s="122"/>
      <c r="CBH15" s="122"/>
      <c r="CBI15" s="122"/>
      <c r="CBJ15" s="122"/>
      <c r="CBK15" s="122"/>
      <c r="CBL15" s="122"/>
      <c r="CBM15" s="122"/>
      <c r="CBN15" s="122"/>
      <c r="CBO15" s="122"/>
      <c r="CBP15" s="122"/>
      <c r="CBQ15" s="122"/>
      <c r="CBR15" s="122"/>
      <c r="CBS15" s="122"/>
      <c r="CBT15" s="122"/>
      <c r="CBU15" s="122"/>
      <c r="CBV15" s="122"/>
      <c r="CBW15" s="122"/>
      <c r="CBX15" s="122"/>
      <c r="CBY15" s="122"/>
      <c r="CBZ15" s="122"/>
      <c r="CCA15" s="122"/>
      <c r="CCB15" s="122"/>
      <c r="CCC15" s="122"/>
      <c r="CCD15" s="122"/>
      <c r="CCE15" s="122"/>
      <c r="CCF15" s="122"/>
      <c r="CCG15" s="122"/>
      <c r="CCH15" s="122"/>
      <c r="CCI15" s="122"/>
      <c r="CCJ15" s="122"/>
      <c r="CCK15" s="122"/>
      <c r="CCL15" s="122"/>
      <c r="CCM15" s="122"/>
      <c r="CCN15" s="122"/>
      <c r="CCO15" s="122"/>
      <c r="CCP15" s="122"/>
      <c r="CCQ15" s="122"/>
      <c r="CCR15" s="122"/>
      <c r="CCS15" s="122"/>
      <c r="CCT15" s="122"/>
      <c r="CCU15" s="122"/>
      <c r="CCV15" s="122"/>
      <c r="CCW15" s="122"/>
      <c r="CCX15" s="122"/>
      <c r="CCY15" s="122"/>
      <c r="CCZ15" s="122"/>
      <c r="CDA15" s="122"/>
      <c r="CDB15" s="122"/>
      <c r="CDC15" s="122"/>
      <c r="CDD15" s="122"/>
      <c r="CDE15" s="122"/>
      <c r="CDF15" s="122"/>
      <c r="CDG15" s="122"/>
      <c r="CDH15" s="122"/>
      <c r="CDI15" s="122"/>
      <c r="CDJ15" s="122"/>
      <c r="CDK15" s="122"/>
      <c r="CDL15" s="122"/>
      <c r="CDM15" s="122"/>
      <c r="CDN15" s="122"/>
      <c r="CDO15" s="122"/>
      <c r="CDP15" s="122"/>
      <c r="CDQ15" s="122"/>
      <c r="CDR15" s="122"/>
      <c r="CDS15" s="122"/>
      <c r="CDT15" s="122"/>
      <c r="CDU15" s="122"/>
      <c r="CDV15" s="122"/>
      <c r="CDW15" s="122"/>
      <c r="CDX15" s="122"/>
      <c r="CDY15" s="122"/>
      <c r="CDZ15" s="122"/>
      <c r="CEA15" s="122"/>
      <c r="CEB15" s="122"/>
      <c r="CEC15" s="122"/>
      <c r="CED15" s="122"/>
      <c r="CEE15" s="122"/>
      <c r="CEF15" s="122"/>
      <c r="CEG15" s="122"/>
      <c r="CEH15" s="122"/>
      <c r="CEI15" s="122"/>
      <c r="CEJ15" s="122"/>
      <c r="CEK15" s="122"/>
      <c r="CEL15" s="122"/>
      <c r="CEM15" s="122"/>
      <c r="CEN15" s="122"/>
      <c r="CEO15" s="122"/>
      <c r="CEP15" s="122"/>
      <c r="CEQ15" s="122"/>
      <c r="CER15" s="122"/>
      <c r="CES15" s="122"/>
      <c r="CET15" s="122"/>
      <c r="CEU15" s="122"/>
      <c r="CEV15" s="122"/>
      <c r="CEW15" s="122"/>
      <c r="CEX15" s="122"/>
      <c r="CEY15" s="122"/>
      <c r="CEZ15" s="122"/>
      <c r="CFA15" s="122"/>
      <c r="CFB15" s="122"/>
      <c r="CFC15" s="122"/>
      <c r="CFD15" s="122"/>
      <c r="CFE15" s="122"/>
      <c r="CFF15" s="122"/>
      <c r="CFG15" s="122"/>
      <c r="CFH15" s="122"/>
      <c r="CFI15" s="122"/>
      <c r="CFJ15" s="122"/>
      <c r="CFK15" s="122"/>
      <c r="CFL15" s="122"/>
      <c r="CFM15" s="122"/>
      <c r="CFN15" s="122"/>
      <c r="CFO15" s="122"/>
      <c r="CFP15" s="122"/>
      <c r="CFQ15" s="122"/>
      <c r="CFR15" s="122"/>
      <c r="CFS15" s="122"/>
      <c r="CFT15" s="122"/>
      <c r="CFU15" s="122"/>
      <c r="CFV15" s="122"/>
      <c r="CFW15" s="122"/>
      <c r="CFX15" s="122"/>
      <c r="CFY15" s="122"/>
      <c r="CFZ15" s="122"/>
      <c r="CGA15" s="122"/>
      <c r="CGB15" s="122"/>
      <c r="CGC15" s="122"/>
      <c r="CGD15" s="122"/>
      <c r="CGE15" s="122"/>
      <c r="CGF15" s="122"/>
      <c r="CGG15" s="122"/>
      <c r="CGH15" s="122"/>
      <c r="CGI15" s="122"/>
      <c r="CGJ15" s="122"/>
      <c r="CGK15" s="122"/>
      <c r="CGL15" s="122"/>
      <c r="CGM15" s="122"/>
      <c r="CGN15" s="122"/>
      <c r="CGO15" s="122"/>
      <c r="CGP15" s="122"/>
      <c r="CGQ15" s="122"/>
      <c r="CGR15" s="122"/>
      <c r="CGS15" s="122"/>
      <c r="CGT15" s="122"/>
      <c r="CGU15" s="122"/>
      <c r="CGV15" s="122"/>
      <c r="CGW15" s="122"/>
      <c r="CGX15" s="122"/>
      <c r="CGY15" s="122"/>
      <c r="CGZ15" s="122"/>
      <c r="CHA15" s="122"/>
      <c r="CHB15" s="122"/>
      <c r="CHC15" s="122"/>
      <c r="CHD15" s="122"/>
      <c r="CHE15" s="122"/>
      <c r="CHF15" s="122"/>
      <c r="CHG15" s="122"/>
      <c r="CHH15" s="122"/>
      <c r="CHI15" s="122"/>
      <c r="CHJ15" s="122"/>
      <c r="CHK15" s="122"/>
      <c r="CHL15" s="122"/>
      <c r="CHM15" s="122"/>
      <c r="CHN15" s="122"/>
      <c r="CHO15" s="122"/>
      <c r="CHP15" s="122"/>
      <c r="CHQ15" s="122"/>
      <c r="CHR15" s="122"/>
      <c r="CHS15" s="122"/>
      <c r="CHT15" s="122"/>
      <c r="CHU15" s="122"/>
      <c r="CHV15" s="122"/>
      <c r="CHW15" s="122"/>
      <c r="CHX15" s="122"/>
      <c r="CHY15" s="122"/>
      <c r="CHZ15" s="122"/>
      <c r="CIA15" s="122"/>
      <c r="CIB15" s="122"/>
      <c r="CIC15" s="122"/>
      <c r="CID15" s="122"/>
      <c r="CIE15" s="122"/>
      <c r="CIF15" s="122"/>
      <c r="CIG15" s="122"/>
      <c r="CIH15" s="122"/>
      <c r="CII15" s="122"/>
      <c r="CIJ15" s="122"/>
      <c r="CIK15" s="122"/>
      <c r="CIL15" s="122"/>
      <c r="CIM15" s="122"/>
      <c r="CIN15" s="122"/>
      <c r="CIO15" s="122"/>
      <c r="CIP15" s="122"/>
      <c r="CIQ15" s="122"/>
      <c r="CIR15" s="122"/>
      <c r="CIS15" s="122"/>
      <c r="CIT15" s="122"/>
      <c r="CIU15" s="122"/>
      <c r="CIV15" s="122"/>
      <c r="CIW15" s="122"/>
      <c r="CIX15" s="122"/>
      <c r="CIY15" s="122"/>
      <c r="CIZ15" s="122"/>
      <c r="CJA15" s="122"/>
      <c r="CJB15" s="122"/>
      <c r="CJC15" s="122"/>
      <c r="CJD15" s="122"/>
      <c r="CJE15" s="122"/>
      <c r="CJF15" s="122"/>
      <c r="CJG15" s="122"/>
      <c r="CJH15" s="122"/>
      <c r="CJI15" s="122"/>
      <c r="CJJ15" s="122"/>
      <c r="CJK15" s="122"/>
      <c r="CJL15" s="122"/>
      <c r="CJM15" s="122"/>
      <c r="CJN15" s="122"/>
      <c r="CJO15" s="122"/>
      <c r="CJP15" s="122"/>
      <c r="CJQ15" s="122"/>
      <c r="CJR15" s="122"/>
      <c r="CJS15" s="122"/>
      <c r="CJT15" s="122"/>
      <c r="CJU15" s="122"/>
      <c r="CJV15" s="122"/>
      <c r="CJW15" s="122"/>
      <c r="CJX15" s="122"/>
      <c r="CJY15" s="122"/>
      <c r="CJZ15" s="122"/>
      <c r="CKA15" s="122"/>
      <c r="CKB15" s="122"/>
      <c r="CKC15" s="122"/>
      <c r="CKD15" s="122"/>
      <c r="CKE15" s="122"/>
      <c r="CKF15" s="122"/>
      <c r="CKG15" s="122"/>
      <c r="CKH15" s="122"/>
      <c r="CKI15" s="122"/>
      <c r="CKJ15" s="122"/>
      <c r="CKK15" s="122"/>
      <c r="CKL15" s="122"/>
      <c r="CKM15" s="122"/>
      <c r="CKN15" s="122"/>
      <c r="CKO15" s="122"/>
      <c r="CKP15" s="122"/>
      <c r="CKQ15" s="122"/>
      <c r="CKR15" s="122"/>
      <c r="CKS15" s="122"/>
      <c r="CKT15" s="122"/>
      <c r="CKU15" s="122"/>
      <c r="CKV15" s="122"/>
      <c r="CKW15" s="122"/>
      <c r="CKX15" s="122"/>
      <c r="CKY15" s="122"/>
      <c r="CKZ15" s="122"/>
      <c r="CLA15" s="122"/>
      <c r="CLB15" s="122"/>
      <c r="CLC15" s="122"/>
      <c r="CLD15" s="122"/>
      <c r="CLE15" s="122"/>
      <c r="CLF15" s="122"/>
      <c r="CLG15" s="122"/>
      <c r="CLH15" s="122"/>
      <c r="CLI15" s="122"/>
      <c r="CLJ15" s="122"/>
      <c r="CLK15" s="122"/>
      <c r="CLL15" s="122"/>
      <c r="CLM15" s="122"/>
      <c r="CLN15" s="122"/>
      <c r="CLO15" s="122"/>
      <c r="CLP15" s="122"/>
      <c r="CLQ15" s="122"/>
      <c r="CLR15" s="122"/>
      <c r="CLS15" s="122"/>
      <c r="CLT15" s="122"/>
      <c r="CLU15" s="122"/>
      <c r="CLV15" s="122"/>
      <c r="CLW15" s="122"/>
      <c r="CLX15" s="122"/>
      <c r="CLY15" s="122"/>
      <c r="CLZ15" s="122"/>
      <c r="CMA15" s="122"/>
      <c r="CMB15" s="122"/>
      <c r="CMC15" s="122"/>
      <c r="CMD15" s="122"/>
      <c r="CME15" s="122"/>
      <c r="CMF15" s="122"/>
      <c r="CMG15" s="122"/>
      <c r="CMH15" s="122"/>
      <c r="CMI15" s="122"/>
      <c r="CMJ15" s="122"/>
      <c r="CMK15" s="122"/>
      <c r="CML15" s="122"/>
      <c r="CMM15" s="122"/>
      <c r="CMN15" s="122"/>
      <c r="CMO15" s="122"/>
      <c r="CMP15" s="122"/>
      <c r="CMQ15" s="122"/>
      <c r="CMR15" s="122"/>
      <c r="CMS15" s="122"/>
      <c r="CMT15" s="122"/>
      <c r="CMU15" s="122"/>
      <c r="CMV15" s="122"/>
      <c r="CMW15" s="122"/>
      <c r="CMX15" s="122"/>
      <c r="CMY15" s="122"/>
      <c r="CMZ15" s="122"/>
      <c r="CNA15" s="122"/>
      <c r="CNB15" s="122"/>
      <c r="CNC15" s="122"/>
      <c r="CND15" s="122"/>
      <c r="CNE15" s="122"/>
      <c r="CNF15" s="122"/>
      <c r="CNG15" s="122"/>
      <c r="CNH15" s="122"/>
      <c r="CNI15" s="122"/>
      <c r="CNJ15" s="122"/>
      <c r="CNK15" s="122"/>
      <c r="CNL15" s="122"/>
      <c r="CNM15" s="122"/>
      <c r="CNN15" s="122"/>
      <c r="CNO15" s="122"/>
      <c r="CNP15" s="122"/>
      <c r="CNQ15" s="122"/>
      <c r="CNR15" s="122"/>
      <c r="CNS15" s="122"/>
      <c r="CNT15" s="122"/>
      <c r="CNU15" s="122"/>
      <c r="CNV15" s="122"/>
      <c r="CNW15" s="122"/>
      <c r="CNX15" s="122"/>
      <c r="CNY15" s="122"/>
      <c r="CNZ15" s="122"/>
      <c r="COA15" s="122"/>
      <c r="COB15" s="122"/>
      <c r="COC15" s="122"/>
      <c r="COD15" s="122"/>
      <c r="COE15" s="122"/>
      <c r="COF15" s="122"/>
      <c r="COG15" s="122"/>
      <c r="COH15" s="122"/>
      <c r="COI15" s="122"/>
      <c r="COJ15" s="122"/>
      <c r="COK15" s="122"/>
      <c r="COL15" s="122"/>
      <c r="COM15" s="122"/>
      <c r="CON15" s="122"/>
      <c r="COO15" s="122"/>
      <c r="COP15" s="122"/>
      <c r="COQ15" s="122"/>
      <c r="COR15" s="122"/>
      <c r="COS15" s="122"/>
      <c r="COT15" s="122"/>
      <c r="COU15" s="122"/>
      <c r="COV15" s="122"/>
      <c r="COW15" s="122"/>
      <c r="COX15" s="122"/>
      <c r="COY15" s="122"/>
      <c r="COZ15" s="122"/>
      <c r="CPA15" s="122"/>
      <c r="CPB15" s="122"/>
      <c r="CPC15" s="122"/>
      <c r="CPD15" s="122"/>
      <c r="CPE15" s="122"/>
      <c r="CPF15" s="122"/>
      <c r="CPG15" s="122"/>
      <c r="CPH15" s="122"/>
      <c r="CPI15" s="122"/>
      <c r="CPJ15" s="122"/>
      <c r="CPK15" s="122"/>
      <c r="CPL15" s="122"/>
      <c r="CPM15" s="122"/>
      <c r="CPN15" s="122"/>
      <c r="CPO15" s="122"/>
      <c r="CPP15" s="122"/>
      <c r="CPQ15" s="122"/>
      <c r="CPR15" s="122"/>
      <c r="CPS15" s="122"/>
      <c r="CPT15" s="122"/>
      <c r="CPU15" s="122"/>
      <c r="CPV15" s="122"/>
      <c r="CPW15" s="122"/>
      <c r="CPX15" s="122"/>
      <c r="CPY15" s="122"/>
      <c r="CPZ15" s="122"/>
      <c r="CQA15" s="122"/>
      <c r="CQB15" s="122"/>
      <c r="CQC15" s="122"/>
      <c r="CQD15" s="122"/>
      <c r="CQE15" s="122"/>
      <c r="CQF15" s="122"/>
      <c r="CQG15" s="122"/>
      <c r="CQH15" s="122"/>
      <c r="CQI15" s="122"/>
      <c r="CQJ15" s="122"/>
      <c r="CQK15" s="122"/>
      <c r="CQL15" s="122"/>
      <c r="CQM15" s="122"/>
      <c r="CQN15" s="122"/>
      <c r="CQO15" s="122"/>
      <c r="CQP15" s="122"/>
      <c r="CQQ15" s="122"/>
      <c r="CQR15" s="122"/>
      <c r="CQS15" s="122"/>
      <c r="CQT15" s="122"/>
      <c r="CQU15" s="122"/>
      <c r="CQV15" s="122"/>
      <c r="CQW15" s="122"/>
      <c r="CQX15" s="122"/>
      <c r="CQY15" s="122"/>
      <c r="CQZ15" s="122"/>
      <c r="CRA15" s="122"/>
      <c r="CRB15" s="122"/>
      <c r="CRC15" s="122"/>
      <c r="CRD15" s="122"/>
      <c r="CRE15" s="122"/>
      <c r="CRF15" s="122"/>
      <c r="CRG15" s="122"/>
      <c r="CRH15" s="122"/>
      <c r="CRI15" s="122"/>
      <c r="CRJ15" s="122"/>
      <c r="CRK15" s="122"/>
      <c r="CRL15" s="122"/>
      <c r="CRM15" s="122"/>
      <c r="CRN15" s="122"/>
      <c r="CRO15" s="122"/>
      <c r="CRP15" s="122"/>
      <c r="CRQ15" s="122"/>
      <c r="CRR15" s="122"/>
      <c r="CRS15" s="122"/>
      <c r="CRT15" s="122"/>
      <c r="CRU15" s="122"/>
      <c r="CRV15" s="122"/>
      <c r="CRW15" s="122"/>
      <c r="CRX15" s="122"/>
      <c r="CRY15" s="122"/>
      <c r="CRZ15" s="122"/>
      <c r="CSA15" s="122"/>
      <c r="CSB15" s="122"/>
      <c r="CSC15" s="122"/>
      <c r="CSD15" s="122"/>
      <c r="CSE15" s="122"/>
      <c r="CSF15" s="122"/>
      <c r="CSG15" s="122"/>
      <c r="CSH15" s="122"/>
      <c r="CSI15" s="122"/>
      <c r="CSJ15" s="122"/>
      <c r="CSK15" s="122"/>
      <c r="CSL15" s="122"/>
      <c r="CSM15" s="122"/>
      <c r="CSN15" s="122"/>
      <c r="CSO15" s="122"/>
      <c r="CSP15" s="122"/>
      <c r="CSQ15" s="122"/>
      <c r="CSR15" s="122"/>
      <c r="CSS15" s="122"/>
      <c r="CST15" s="122"/>
      <c r="CSU15" s="122"/>
      <c r="CSV15" s="122"/>
      <c r="CSW15" s="122"/>
      <c r="CSX15" s="122"/>
      <c r="CSY15" s="122"/>
      <c r="CSZ15" s="122"/>
      <c r="CTA15" s="122"/>
      <c r="CTB15" s="122"/>
      <c r="CTC15" s="122"/>
      <c r="CTD15" s="122"/>
      <c r="CTE15" s="122"/>
      <c r="CTF15" s="122"/>
      <c r="CTG15" s="122"/>
      <c r="CTH15" s="122"/>
      <c r="CTI15" s="122"/>
      <c r="CTJ15" s="122"/>
      <c r="CTK15" s="122"/>
      <c r="CTL15" s="122"/>
      <c r="CTM15" s="122"/>
      <c r="CTN15" s="122"/>
      <c r="CTO15" s="122"/>
      <c r="CTP15" s="122"/>
      <c r="CTQ15" s="122"/>
      <c r="CTR15" s="122"/>
      <c r="CTS15" s="122"/>
      <c r="CTT15" s="122"/>
      <c r="CTU15" s="122"/>
      <c r="CTV15" s="122"/>
      <c r="CTW15" s="122"/>
      <c r="CTX15" s="122"/>
      <c r="CTY15" s="122"/>
      <c r="CTZ15" s="122"/>
      <c r="CUA15" s="122"/>
      <c r="CUB15" s="122"/>
      <c r="CUC15" s="122"/>
      <c r="CUD15" s="122"/>
      <c r="CUE15" s="122"/>
      <c r="CUF15" s="122"/>
      <c r="CUG15" s="122"/>
      <c r="CUH15" s="122"/>
      <c r="CUI15" s="122"/>
      <c r="CUJ15" s="122"/>
      <c r="CUK15" s="122"/>
      <c r="CUL15" s="122"/>
      <c r="CUM15" s="122"/>
      <c r="CUN15" s="122"/>
      <c r="CUO15" s="122"/>
      <c r="CUP15" s="122"/>
      <c r="CUQ15" s="122"/>
      <c r="CUR15" s="122"/>
      <c r="CUS15" s="122"/>
      <c r="CUT15" s="122"/>
      <c r="CUU15" s="122"/>
      <c r="CUV15" s="122"/>
      <c r="CUW15" s="122"/>
      <c r="CUX15" s="122"/>
      <c r="CUY15" s="122"/>
      <c r="CUZ15" s="122"/>
      <c r="CVA15" s="122"/>
      <c r="CVB15" s="122"/>
      <c r="CVC15" s="122"/>
      <c r="CVD15" s="122"/>
      <c r="CVE15" s="122"/>
      <c r="CVF15" s="122"/>
      <c r="CVG15" s="122"/>
      <c r="CVH15" s="122"/>
      <c r="CVI15" s="122"/>
      <c r="CVJ15" s="122"/>
      <c r="CVK15" s="122"/>
      <c r="CVL15" s="122"/>
      <c r="CVM15" s="122"/>
      <c r="CVN15" s="122"/>
      <c r="CVO15" s="122"/>
      <c r="CVP15" s="122"/>
      <c r="CVQ15" s="122"/>
      <c r="CVR15" s="122"/>
      <c r="CVS15" s="122"/>
      <c r="CVT15" s="122"/>
      <c r="CVU15" s="122"/>
      <c r="CVV15" s="122"/>
      <c r="CVW15" s="122"/>
      <c r="CVX15" s="122"/>
      <c r="CVY15" s="122"/>
      <c r="CVZ15" s="122"/>
      <c r="CWA15" s="122"/>
      <c r="CWB15" s="122"/>
      <c r="CWC15" s="122"/>
      <c r="CWD15" s="122"/>
      <c r="CWE15" s="122"/>
      <c r="CWF15" s="122"/>
      <c r="CWG15" s="122"/>
      <c r="CWH15" s="122"/>
      <c r="CWI15" s="122"/>
      <c r="CWJ15" s="122"/>
      <c r="CWK15" s="122"/>
      <c r="CWL15" s="122"/>
      <c r="CWM15" s="122"/>
      <c r="CWN15" s="122"/>
      <c r="CWO15" s="122"/>
      <c r="CWP15" s="122"/>
      <c r="CWQ15" s="122"/>
      <c r="CWR15" s="122"/>
      <c r="CWS15" s="122"/>
      <c r="CWT15" s="122"/>
      <c r="CWU15" s="122"/>
      <c r="CWV15" s="122"/>
      <c r="CWW15" s="122"/>
      <c r="CWX15" s="122"/>
      <c r="CWY15" s="122"/>
      <c r="CWZ15" s="122"/>
      <c r="CXA15" s="122"/>
      <c r="CXB15" s="122"/>
      <c r="CXC15" s="122"/>
      <c r="CXD15" s="122"/>
      <c r="CXE15" s="122"/>
      <c r="CXF15" s="122"/>
      <c r="CXG15" s="122"/>
      <c r="CXH15" s="122"/>
      <c r="CXI15" s="122"/>
      <c r="CXJ15" s="122"/>
      <c r="CXK15" s="122"/>
      <c r="CXL15" s="122"/>
      <c r="CXM15" s="122"/>
      <c r="CXN15" s="122"/>
      <c r="CXO15" s="122"/>
      <c r="CXP15" s="122"/>
      <c r="CXQ15" s="122"/>
      <c r="CXR15" s="122"/>
      <c r="CXS15" s="122"/>
      <c r="CXT15" s="122"/>
      <c r="CXU15" s="122"/>
      <c r="CXV15" s="122"/>
      <c r="CXW15" s="122"/>
      <c r="CXX15" s="122"/>
      <c r="CXY15" s="122"/>
      <c r="CXZ15" s="122"/>
      <c r="CYA15" s="122"/>
      <c r="CYB15" s="122"/>
      <c r="CYC15" s="122"/>
      <c r="CYD15" s="122"/>
      <c r="CYE15" s="122"/>
      <c r="CYF15" s="122"/>
      <c r="CYG15" s="122"/>
      <c r="CYH15" s="122"/>
      <c r="CYI15" s="122"/>
      <c r="CYJ15" s="122"/>
      <c r="CYK15" s="122"/>
      <c r="CYL15" s="122"/>
      <c r="CYM15" s="122"/>
      <c r="CYN15" s="122"/>
      <c r="CYO15" s="122"/>
      <c r="CYP15" s="122"/>
      <c r="CYQ15" s="122"/>
      <c r="CYR15" s="122"/>
      <c r="CYS15" s="122"/>
      <c r="CYT15" s="122"/>
      <c r="CYU15" s="122"/>
      <c r="CYV15" s="122"/>
      <c r="CYW15" s="122"/>
      <c r="CYX15" s="122"/>
      <c r="CYY15" s="122"/>
      <c r="CYZ15" s="122"/>
      <c r="CZA15" s="122"/>
      <c r="CZB15" s="122"/>
      <c r="CZC15" s="122"/>
      <c r="CZD15" s="122"/>
      <c r="CZE15" s="122"/>
      <c r="CZF15" s="122"/>
      <c r="CZG15" s="122"/>
      <c r="CZH15" s="122"/>
      <c r="CZI15" s="122"/>
      <c r="CZJ15" s="122"/>
      <c r="CZK15" s="122"/>
      <c r="CZL15" s="122"/>
      <c r="CZM15" s="122"/>
      <c r="CZN15" s="122"/>
      <c r="CZO15" s="122"/>
      <c r="CZP15" s="122"/>
      <c r="CZQ15" s="122"/>
      <c r="CZR15" s="122"/>
      <c r="CZS15" s="122"/>
      <c r="CZT15" s="122"/>
      <c r="CZU15" s="122"/>
      <c r="CZV15" s="122"/>
      <c r="CZW15" s="122"/>
      <c r="CZX15" s="122"/>
      <c r="CZY15" s="122"/>
      <c r="CZZ15" s="122"/>
      <c r="DAA15" s="122"/>
      <c r="DAB15" s="122"/>
      <c r="DAC15" s="122"/>
      <c r="DAD15" s="122"/>
      <c r="DAE15" s="122"/>
      <c r="DAF15" s="122"/>
      <c r="DAG15" s="122"/>
      <c r="DAH15" s="122"/>
      <c r="DAI15" s="122"/>
      <c r="DAJ15" s="122"/>
      <c r="DAK15" s="122"/>
      <c r="DAL15" s="122"/>
      <c r="DAM15" s="122"/>
      <c r="DAN15" s="122"/>
      <c r="DAO15" s="122"/>
      <c r="DAP15" s="122"/>
      <c r="DAQ15" s="122"/>
      <c r="DAR15" s="122"/>
      <c r="DAS15" s="122"/>
      <c r="DAT15" s="122"/>
      <c r="DAU15" s="122"/>
      <c r="DAV15" s="122"/>
      <c r="DAW15" s="122"/>
      <c r="DAX15" s="122"/>
      <c r="DAY15" s="122"/>
      <c r="DAZ15" s="122"/>
      <c r="DBA15" s="122"/>
      <c r="DBB15" s="122"/>
      <c r="DBC15" s="122"/>
      <c r="DBD15" s="122"/>
      <c r="DBE15" s="122"/>
      <c r="DBF15" s="122"/>
      <c r="DBG15" s="122"/>
      <c r="DBH15" s="122"/>
      <c r="DBI15" s="122"/>
      <c r="DBJ15" s="122"/>
      <c r="DBK15" s="122"/>
      <c r="DBL15" s="122"/>
      <c r="DBM15" s="122"/>
      <c r="DBN15" s="122"/>
      <c r="DBO15" s="122"/>
      <c r="DBP15" s="122"/>
      <c r="DBQ15" s="122"/>
      <c r="DBR15" s="122"/>
      <c r="DBS15" s="122"/>
      <c r="DBT15" s="122"/>
      <c r="DBU15" s="122"/>
      <c r="DBV15" s="122"/>
      <c r="DBW15" s="122"/>
      <c r="DBX15" s="122"/>
      <c r="DBY15" s="122"/>
      <c r="DBZ15" s="122"/>
      <c r="DCA15" s="122"/>
      <c r="DCB15" s="122"/>
      <c r="DCC15" s="122"/>
      <c r="DCD15" s="122"/>
      <c r="DCE15" s="122"/>
      <c r="DCF15" s="122"/>
      <c r="DCG15" s="122"/>
      <c r="DCH15" s="122"/>
      <c r="DCI15" s="122"/>
      <c r="DCJ15" s="122"/>
      <c r="DCK15" s="122"/>
      <c r="DCL15" s="122"/>
      <c r="DCM15" s="122"/>
      <c r="DCN15" s="122"/>
      <c r="DCO15" s="122"/>
      <c r="DCP15" s="122"/>
      <c r="DCQ15" s="122"/>
      <c r="DCR15" s="122"/>
      <c r="DCS15" s="122"/>
      <c r="DCT15" s="122"/>
      <c r="DCU15" s="122"/>
      <c r="DCV15" s="122"/>
      <c r="DCW15" s="122"/>
      <c r="DCX15" s="122"/>
      <c r="DCY15" s="122"/>
      <c r="DCZ15" s="122"/>
      <c r="DDA15" s="122"/>
      <c r="DDB15" s="122"/>
      <c r="DDC15" s="122"/>
      <c r="DDD15" s="122"/>
      <c r="DDE15" s="122"/>
      <c r="DDF15" s="122"/>
      <c r="DDG15" s="122"/>
      <c r="DDH15" s="122"/>
      <c r="DDI15" s="122"/>
      <c r="DDJ15" s="122"/>
      <c r="DDK15" s="122"/>
      <c r="DDL15" s="122"/>
      <c r="DDM15" s="122"/>
      <c r="DDN15" s="122"/>
      <c r="DDO15" s="122"/>
      <c r="DDP15" s="122"/>
      <c r="DDQ15" s="122"/>
      <c r="DDR15" s="122"/>
      <c r="DDS15" s="122"/>
      <c r="DDT15" s="122"/>
      <c r="DDU15" s="122"/>
      <c r="DDV15" s="122"/>
      <c r="DDW15" s="122"/>
      <c r="DDX15" s="122"/>
      <c r="DDY15" s="122"/>
      <c r="DDZ15" s="122"/>
      <c r="DEA15" s="122"/>
      <c r="DEB15" s="122"/>
      <c r="DEC15" s="122"/>
      <c r="DED15" s="122"/>
      <c r="DEE15" s="122"/>
      <c r="DEF15" s="122"/>
      <c r="DEG15" s="122"/>
      <c r="DEH15" s="122"/>
      <c r="DEI15" s="122"/>
      <c r="DEJ15" s="122"/>
      <c r="DEK15" s="122"/>
      <c r="DEL15" s="122"/>
      <c r="DEM15" s="122"/>
      <c r="DEN15" s="122"/>
      <c r="DEO15" s="122"/>
      <c r="DEP15" s="122"/>
      <c r="DEQ15" s="122"/>
      <c r="DER15" s="122"/>
      <c r="DES15" s="122"/>
      <c r="DET15" s="122"/>
      <c r="DEU15" s="122"/>
      <c r="DEV15" s="122"/>
      <c r="DEW15" s="122"/>
      <c r="DEX15" s="122"/>
      <c r="DEY15" s="122"/>
      <c r="DEZ15" s="122"/>
      <c r="DFA15" s="122"/>
      <c r="DFB15" s="122"/>
      <c r="DFC15" s="122"/>
      <c r="DFD15" s="122"/>
      <c r="DFE15" s="122"/>
      <c r="DFF15" s="122"/>
      <c r="DFG15" s="122"/>
      <c r="DFH15" s="122"/>
      <c r="DFI15" s="122"/>
      <c r="DFJ15" s="122"/>
      <c r="DFK15" s="122"/>
      <c r="DFL15" s="122"/>
      <c r="DFM15" s="122"/>
      <c r="DFN15" s="122"/>
      <c r="DFO15" s="122"/>
      <c r="DFP15" s="122"/>
      <c r="DFQ15" s="122"/>
      <c r="DFR15" s="122"/>
      <c r="DFS15" s="122"/>
      <c r="DFT15" s="122"/>
      <c r="DFU15" s="122"/>
      <c r="DFV15" s="122"/>
      <c r="DFW15" s="122"/>
      <c r="DFX15" s="122"/>
      <c r="DFY15" s="122"/>
      <c r="DFZ15" s="122"/>
      <c r="DGA15" s="122"/>
      <c r="DGB15" s="122"/>
      <c r="DGC15" s="122"/>
      <c r="DGD15" s="122"/>
      <c r="DGE15" s="122"/>
      <c r="DGF15" s="122"/>
      <c r="DGG15" s="122"/>
      <c r="DGH15" s="122"/>
      <c r="DGI15" s="122"/>
      <c r="DGJ15" s="122"/>
      <c r="DGK15" s="122"/>
      <c r="DGL15" s="122"/>
      <c r="DGM15" s="122"/>
      <c r="DGN15" s="122"/>
      <c r="DGO15" s="122"/>
      <c r="DGP15" s="122"/>
      <c r="DGQ15" s="122"/>
      <c r="DGR15" s="122"/>
      <c r="DGS15" s="122"/>
      <c r="DGT15" s="122"/>
      <c r="DGU15" s="122"/>
      <c r="DGV15" s="122"/>
      <c r="DGW15" s="122"/>
      <c r="DGX15" s="122"/>
      <c r="DGY15" s="122"/>
      <c r="DGZ15" s="122"/>
      <c r="DHA15" s="122"/>
      <c r="DHB15" s="122"/>
      <c r="DHC15" s="122"/>
      <c r="DHD15" s="122"/>
      <c r="DHE15" s="122"/>
      <c r="DHF15" s="122"/>
      <c r="DHG15" s="122"/>
      <c r="DHH15" s="122"/>
      <c r="DHI15" s="122"/>
      <c r="DHJ15" s="122"/>
      <c r="DHK15" s="122"/>
      <c r="DHL15" s="122"/>
      <c r="DHM15" s="122"/>
      <c r="DHN15" s="122"/>
      <c r="DHO15" s="122"/>
      <c r="DHP15" s="122"/>
      <c r="DHQ15" s="122"/>
      <c r="DHR15" s="122"/>
      <c r="DHS15" s="122"/>
      <c r="DHT15" s="122"/>
      <c r="DHU15" s="122"/>
      <c r="DHV15" s="122"/>
      <c r="DHW15" s="122"/>
      <c r="DHX15" s="122"/>
      <c r="DHY15" s="122"/>
      <c r="DHZ15" s="122"/>
      <c r="DIA15" s="122"/>
      <c r="DIB15" s="122"/>
      <c r="DIC15" s="122"/>
      <c r="DID15" s="122"/>
      <c r="DIE15" s="122"/>
      <c r="DIF15" s="122"/>
      <c r="DIG15" s="122"/>
      <c r="DIH15" s="122"/>
      <c r="DII15" s="122"/>
      <c r="DIJ15" s="122"/>
      <c r="DIK15" s="122"/>
      <c r="DIL15" s="122"/>
      <c r="DIM15" s="122"/>
      <c r="DIN15" s="122"/>
      <c r="DIO15" s="122"/>
      <c r="DIP15" s="122"/>
      <c r="DIQ15" s="122"/>
      <c r="DIR15" s="122"/>
      <c r="DIS15" s="122"/>
      <c r="DIT15" s="122"/>
      <c r="DIU15" s="122"/>
      <c r="DIV15" s="122"/>
      <c r="DIW15" s="122"/>
      <c r="DIX15" s="122"/>
      <c r="DIY15" s="122"/>
      <c r="DIZ15" s="122"/>
      <c r="DJA15" s="122"/>
      <c r="DJB15" s="122"/>
      <c r="DJC15" s="122"/>
      <c r="DJD15" s="122"/>
      <c r="DJE15" s="122"/>
      <c r="DJF15" s="122"/>
      <c r="DJG15" s="122"/>
      <c r="DJH15" s="122"/>
      <c r="DJI15" s="122"/>
      <c r="DJJ15" s="122"/>
      <c r="DJK15" s="122"/>
      <c r="DJL15" s="122"/>
      <c r="DJM15" s="122"/>
      <c r="DJN15" s="122"/>
      <c r="DJO15" s="122"/>
      <c r="DJP15" s="122"/>
      <c r="DJQ15" s="122"/>
      <c r="DJR15" s="122"/>
      <c r="DJS15" s="122"/>
      <c r="DJT15" s="122"/>
      <c r="DJU15" s="122"/>
      <c r="DJV15" s="122"/>
      <c r="DJW15" s="122"/>
      <c r="DJX15" s="122"/>
      <c r="DJY15" s="122"/>
      <c r="DJZ15" s="122"/>
      <c r="DKA15" s="122"/>
      <c r="DKB15" s="122"/>
      <c r="DKC15" s="122"/>
      <c r="DKD15" s="122"/>
      <c r="DKE15" s="122"/>
      <c r="DKF15" s="122"/>
      <c r="DKG15" s="122"/>
      <c r="DKH15" s="122"/>
      <c r="DKI15" s="122"/>
      <c r="DKJ15" s="122"/>
      <c r="DKK15" s="122"/>
      <c r="DKL15" s="122"/>
      <c r="DKM15" s="122"/>
      <c r="DKN15" s="122"/>
      <c r="DKO15" s="122"/>
      <c r="DKP15" s="122"/>
      <c r="DKQ15" s="122"/>
      <c r="DKR15" s="122"/>
      <c r="DKS15" s="122"/>
      <c r="DKT15" s="122"/>
      <c r="DKU15" s="122"/>
      <c r="DKV15" s="122"/>
      <c r="DKW15" s="122"/>
      <c r="DKX15" s="122"/>
      <c r="DKY15" s="122"/>
      <c r="DKZ15" s="122"/>
      <c r="DLA15" s="122"/>
      <c r="DLB15" s="122"/>
      <c r="DLC15" s="122"/>
      <c r="DLD15" s="122"/>
      <c r="DLE15" s="122"/>
      <c r="DLF15" s="122"/>
      <c r="DLG15" s="122"/>
      <c r="DLH15" s="122"/>
      <c r="DLI15" s="122"/>
      <c r="DLJ15" s="122"/>
      <c r="DLK15" s="122"/>
      <c r="DLL15" s="122"/>
      <c r="DLM15" s="122"/>
      <c r="DLN15" s="122"/>
      <c r="DLO15" s="122"/>
      <c r="DLP15" s="122"/>
      <c r="DLQ15" s="122"/>
      <c r="DLR15" s="122"/>
      <c r="DLS15" s="122"/>
      <c r="DLT15" s="122"/>
      <c r="DLU15" s="122"/>
      <c r="DLV15" s="122"/>
      <c r="DLW15" s="122"/>
      <c r="DLX15" s="122"/>
      <c r="DLY15" s="122"/>
      <c r="DLZ15" s="122"/>
      <c r="DMA15" s="122"/>
      <c r="DMB15" s="122"/>
      <c r="DMC15" s="122"/>
      <c r="DMD15" s="122"/>
      <c r="DME15" s="122"/>
      <c r="DMF15" s="122"/>
      <c r="DMG15" s="122"/>
      <c r="DMH15" s="122"/>
      <c r="DMI15" s="122"/>
      <c r="DMJ15" s="122"/>
      <c r="DMK15" s="122"/>
      <c r="DML15" s="122"/>
      <c r="DMM15" s="122"/>
      <c r="DMN15" s="122"/>
      <c r="DMO15" s="122"/>
      <c r="DMP15" s="122"/>
      <c r="DMQ15" s="122"/>
      <c r="DMR15" s="122"/>
      <c r="DMS15" s="122"/>
      <c r="DMT15" s="122"/>
      <c r="DMU15" s="122"/>
      <c r="DMV15" s="122"/>
      <c r="DMW15" s="122"/>
      <c r="DMX15" s="122"/>
      <c r="DMY15" s="122"/>
      <c r="DMZ15" s="122"/>
      <c r="DNA15" s="122"/>
      <c r="DNB15" s="122"/>
      <c r="DNC15" s="122"/>
      <c r="DND15" s="122"/>
      <c r="DNE15" s="122"/>
      <c r="DNF15" s="122"/>
      <c r="DNG15" s="122"/>
      <c r="DNH15" s="122"/>
      <c r="DNI15" s="122"/>
      <c r="DNJ15" s="122"/>
      <c r="DNK15" s="122"/>
      <c r="DNL15" s="122"/>
      <c r="DNM15" s="122"/>
      <c r="DNN15" s="122"/>
      <c r="DNO15" s="122"/>
      <c r="DNP15" s="122"/>
      <c r="DNQ15" s="122"/>
      <c r="DNR15" s="122"/>
      <c r="DNS15" s="122"/>
      <c r="DNT15" s="122"/>
      <c r="DNU15" s="122"/>
      <c r="DNV15" s="122"/>
      <c r="DNW15" s="122"/>
      <c r="DNX15" s="122"/>
      <c r="DNY15" s="122"/>
      <c r="DNZ15" s="122"/>
      <c r="DOA15" s="122"/>
      <c r="DOB15" s="122"/>
      <c r="DOC15" s="122"/>
      <c r="DOD15" s="122"/>
      <c r="DOE15" s="122"/>
      <c r="DOF15" s="122"/>
      <c r="DOG15" s="122"/>
      <c r="DOH15" s="122"/>
      <c r="DOI15" s="122"/>
      <c r="DOJ15" s="122"/>
      <c r="DOK15" s="122"/>
      <c r="DOL15" s="122"/>
      <c r="DOM15" s="122"/>
      <c r="DON15" s="122"/>
      <c r="DOO15" s="122"/>
      <c r="DOP15" s="122"/>
      <c r="DOQ15" s="122"/>
      <c r="DOR15" s="122"/>
      <c r="DOS15" s="122"/>
      <c r="DOT15" s="122"/>
      <c r="DOU15" s="122"/>
      <c r="DOV15" s="122"/>
      <c r="DOW15" s="122"/>
      <c r="DOX15" s="122"/>
      <c r="DOY15" s="122"/>
      <c r="DOZ15" s="122"/>
      <c r="DPA15" s="122"/>
      <c r="DPB15" s="122"/>
      <c r="DPC15" s="122"/>
      <c r="DPD15" s="122"/>
      <c r="DPE15" s="122"/>
      <c r="DPF15" s="122"/>
      <c r="DPG15" s="122"/>
      <c r="DPH15" s="122"/>
      <c r="DPI15" s="122"/>
      <c r="DPJ15" s="122"/>
      <c r="DPK15" s="122"/>
      <c r="DPL15" s="122"/>
      <c r="DPM15" s="122"/>
      <c r="DPN15" s="122"/>
      <c r="DPO15" s="122"/>
      <c r="DPP15" s="122"/>
      <c r="DPQ15" s="122"/>
      <c r="DPR15" s="122"/>
      <c r="DPS15" s="122"/>
      <c r="DPT15" s="122"/>
      <c r="DPU15" s="122"/>
      <c r="DPV15" s="122"/>
      <c r="DPW15" s="122"/>
      <c r="DPX15" s="122"/>
      <c r="DPY15" s="122"/>
      <c r="DPZ15" s="122"/>
      <c r="DQA15" s="122"/>
      <c r="DQB15" s="122"/>
      <c r="DQC15" s="122"/>
      <c r="DQD15" s="122"/>
      <c r="DQE15" s="122"/>
      <c r="DQF15" s="122"/>
      <c r="DQG15" s="122"/>
      <c r="DQH15" s="122"/>
      <c r="DQI15" s="122"/>
      <c r="DQJ15" s="122"/>
      <c r="DQK15" s="122"/>
      <c r="DQL15" s="122"/>
      <c r="DQM15" s="122"/>
      <c r="DQN15" s="122"/>
      <c r="DQO15" s="122"/>
      <c r="DQP15" s="122"/>
      <c r="DQQ15" s="122"/>
      <c r="DQR15" s="122"/>
      <c r="DQS15" s="122"/>
      <c r="DQT15" s="122"/>
      <c r="DQU15" s="122"/>
      <c r="DQV15" s="122"/>
      <c r="DQW15" s="122"/>
      <c r="DQX15" s="122"/>
      <c r="DQY15" s="122"/>
      <c r="DQZ15" s="122"/>
      <c r="DRA15" s="122"/>
      <c r="DRB15" s="122"/>
      <c r="DRC15" s="122"/>
      <c r="DRD15" s="122"/>
      <c r="DRE15" s="122"/>
      <c r="DRF15" s="122"/>
      <c r="DRG15" s="122"/>
      <c r="DRH15" s="122"/>
      <c r="DRI15" s="122"/>
      <c r="DRJ15" s="122"/>
      <c r="DRK15" s="122"/>
      <c r="DRL15" s="122"/>
      <c r="DRM15" s="122"/>
      <c r="DRN15" s="122"/>
      <c r="DRO15" s="122"/>
      <c r="DRP15" s="122"/>
      <c r="DRQ15" s="122"/>
      <c r="DRR15" s="122"/>
      <c r="DRS15" s="122"/>
      <c r="DRT15" s="122"/>
      <c r="DRU15" s="122"/>
      <c r="DRV15" s="122"/>
      <c r="DRW15" s="122"/>
      <c r="DRX15" s="122"/>
      <c r="DRY15" s="122"/>
      <c r="DRZ15" s="122"/>
      <c r="DSA15" s="122"/>
      <c r="DSB15" s="122"/>
      <c r="DSC15" s="122"/>
      <c r="DSD15" s="122"/>
      <c r="DSE15" s="122"/>
      <c r="DSF15" s="122"/>
      <c r="DSG15" s="122"/>
      <c r="DSH15" s="122"/>
      <c r="DSI15" s="122"/>
      <c r="DSJ15" s="122"/>
      <c r="DSK15" s="122"/>
      <c r="DSL15" s="122"/>
      <c r="DSM15" s="122"/>
      <c r="DSN15" s="122"/>
      <c r="DSO15" s="122"/>
      <c r="DSP15" s="122"/>
      <c r="DSQ15" s="122"/>
      <c r="DSR15" s="122"/>
      <c r="DSS15" s="122"/>
      <c r="DST15" s="122"/>
      <c r="DSU15" s="122"/>
      <c r="DSV15" s="122"/>
      <c r="DSW15" s="122"/>
      <c r="DSX15" s="122"/>
      <c r="DSY15" s="122"/>
      <c r="DSZ15" s="122"/>
      <c r="DTA15" s="122"/>
      <c r="DTB15" s="122"/>
      <c r="DTC15" s="122"/>
      <c r="DTD15" s="122"/>
      <c r="DTE15" s="122"/>
      <c r="DTF15" s="122"/>
      <c r="DTG15" s="122"/>
      <c r="DTH15" s="122"/>
      <c r="DTI15" s="122"/>
      <c r="DTJ15" s="122"/>
      <c r="DTK15" s="122"/>
      <c r="DTL15" s="122"/>
      <c r="DTM15" s="122"/>
      <c r="DTN15" s="122"/>
      <c r="DTO15" s="122"/>
      <c r="DTP15" s="122"/>
      <c r="DTQ15" s="122"/>
      <c r="DTR15" s="122"/>
      <c r="DTS15" s="122"/>
      <c r="DTT15" s="122"/>
      <c r="DTU15" s="122"/>
      <c r="DTV15" s="122"/>
      <c r="DTW15" s="122"/>
      <c r="DTX15" s="122"/>
      <c r="DTY15" s="122"/>
      <c r="DTZ15" s="122"/>
      <c r="DUA15" s="122"/>
      <c r="DUB15" s="122"/>
      <c r="DUC15" s="122"/>
      <c r="DUD15" s="122"/>
      <c r="DUE15" s="122"/>
      <c r="DUF15" s="122"/>
      <c r="DUG15" s="122"/>
      <c r="DUH15" s="122"/>
      <c r="DUI15" s="122"/>
      <c r="DUJ15" s="122"/>
      <c r="DUK15" s="122"/>
      <c r="DUL15" s="122"/>
      <c r="DUM15" s="122"/>
      <c r="DUN15" s="122"/>
      <c r="DUO15" s="122"/>
      <c r="DUP15" s="122"/>
      <c r="DUQ15" s="122"/>
      <c r="DUR15" s="122"/>
      <c r="DUS15" s="122"/>
      <c r="DUT15" s="122"/>
      <c r="DUU15" s="122"/>
      <c r="DUV15" s="122"/>
      <c r="DUW15" s="122"/>
      <c r="DUX15" s="122"/>
      <c r="DUY15" s="122"/>
      <c r="DUZ15" s="122"/>
      <c r="DVA15" s="122"/>
      <c r="DVB15" s="122"/>
      <c r="DVC15" s="122"/>
      <c r="DVD15" s="122"/>
      <c r="DVE15" s="122"/>
      <c r="DVF15" s="122"/>
      <c r="DVG15" s="122"/>
      <c r="DVH15" s="122"/>
      <c r="DVI15" s="122"/>
      <c r="DVJ15" s="122"/>
      <c r="DVK15" s="122"/>
      <c r="DVL15" s="122"/>
      <c r="DVM15" s="122"/>
      <c r="DVN15" s="122"/>
      <c r="DVO15" s="122"/>
      <c r="DVP15" s="122"/>
      <c r="DVQ15" s="122"/>
      <c r="DVR15" s="122"/>
      <c r="DVS15" s="122"/>
      <c r="DVT15" s="122"/>
      <c r="DVU15" s="122"/>
      <c r="DVV15" s="122"/>
      <c r="DVW15" s="122"/>
      <c r="DVX15" s="122"/>
      <c r="DVY15" s="122"/>
      <c r="DVZ15" s="122"/>
      <c r="DWA15" s="122"/>
      <c r="DWB15" s="122"/>
      <c r="DWC15" s="122"/>
      <c r="DWD15" s="122"/>
      <c r="DWE15" s="122"/>
      <c r="DWF15" s="122"/>
      <c r="DWG15" s="122"/>
      <c r="DWH15" s="122"/>
      <c r="DWI15" s="122"/>
      <c r="DWJ15" s="122"/>
      <c r="DWK15" s="122"/>
      <c r="DWL15" s="122"/>
      <c r="DWM15" s="122"/>
      <c r="DWN15" s="122"/>
      <c r="DWO15" s="122"/>
      <c r="DWP15" s="122"/>
      <c r="DWQ15" s="122"/>
      <c r="DWR15" s="122"/>
      <c r="DWS15" s="122"/>
      <c r="DWT15" s="122"/>
      <c r="DWU15" s="122"/>
      <c r="DWV15" s="122"/>
      <c r="DWW15" s="122"/>
      <c r="DWX15" s="122"/>
      <c r="DWY15" s="122"/>
      <c r="DWZ15" s="122"/>
      <c r="DXA15" s="122"/>
      <c r="DXB15" s="122"/>
      <c r="DXC15" s="122"/>
      <c r="DXD15" s="122"/>
      <c r="DXE15" s="122"/>
      <c r="DXF15" s="122"/>
      <c r="DXG15" s="122"/>
      <c r="DXH15" s="122"/>
      <c r="DXI15" s="122"/>
      <c r="DXJ15" s="122"/>
      <c r="DXK15" s="122"/>
      <c r="DXL15" s="122"/>
      <c r="DXM15" s="122"/>
      <c r="DXN15" s="122"/>
      <c r="DXO15" s="122"/>
      <c r="DXP15" s="122"/>
      <c r="DXQ15" s="122"/>
      <c r="DXR15" s="122"/>
      <c r="DXS15" s="122"/>
      <c r="DXT15" s="122"/>
      <c r="DXU15" s="122"/>
      <c r="DXV15" s="122"/>
      <c r="DXW15" s="122"/>
      <c r="DXX15" s="122"/>
      <c r="DXY15" s="122"/>
      <c r="DXZ15" s="122"/>
      <c r="DYA15" s="122"/>
      <c r="DYB15" s="122"/>
      <c r="DYC15" s="122"/>
      <c r="DYD15" s="122"/>
      <c r="DYE15" s="122"/>
      <c r="DYF15" s="122"/>
      <c r="DYG15" s="122"/>
      <c r="DYH15" s="122"/>
      <c r="DYI15" s="122"/>
      <c r="DYJ15" s="122"/>
      <c r="DYK15" s="122"/>
      <c r="DYL15" s="122"/>
      <c r="DYM15" s="122"/>
      <c r="DYN15" s="122"/>
      <c r="DYO15" s="122"/>
      <c r="DYP15" s="122"/>
      <c r="DYQ15" s="122"/>
      <c r="DYR15" s="122"/>
      <c r="DYS15" s="122"/>
      <c r="DYT15" s="122"/>
      <c r="DYU15" s="122"/>
      <c r="DYV15" s="122"/>
      <c r="DYW15" s="122"/>
      <c r="DYX15" s="122"/>
      <c r="DYY15" s="122"/>
      <c r="DYZ15" s="122"/>
      <c r="DZA15" s="122"/>
      <c r="DZB15" s="122"/>
      <c r="DZC15" s="122"/>
      <c r="DZD15" s="122"/>
      <c r="DZE15" s="122"/>
      <c r="DZF15" s="122"/>
      <c r="DZG15" s="122"/>
      <c r="DZH15" s="122"/>
      <c r="DZI15" s="122"/>
      <c r="DZJ15" s="122"/>
      <c r="DZK15" s="122"/>
      <c r="DZL15" s="122"/>
      <c r="DZM15" s="122"/>
      <c r="DZN15" s="122"/>
      <c r="DZO15" s="122"/>
      <c r="DZP15" s="122"/>
      <c r="DZQ15" s="122"/>
      <c r="DZR15" s="122"/>
      <c r="DZS15" s="122"/>
      <c r="DZT15" s="122"/>
      <c r="DZU15" s="122"/>
      <c r="DZV15" s="122"/>
      <c r="DZW15" s="122"/>
      <c r="DZX15" s="122"/>
      <c r="DZY15" s="122"/>
      <c r="DZZ15" s="122"/>
      <c r="EAA15" s="122"/>
      <c r="EAB15" s="122"/>
      <c r="EAC15" s="122"/>
      <c r="EAD15" s="122"/>
      <c r="EAE15" s="122"/>
      <c r="EAF15" s="122"/>
      <c r="EAG15" s="122"/>
      <c r="EAH15" s="122"/>
      <c r="EAI15" s="122"/>
      <c r="EAJ15" s="122"/>
      <c r="EAK15" s="122"/>
      <c r="EAL15" s="122"/>
      <c r="EAM15" s="122"/>
      <c r="EAN15" s="122"/>
      <c r="EAO15" s="122"/>
      <c r="EAP15" s="122"/>
      <c r="EAQ15" s="122"/>
      <c r="EAR15" s="122"/>
      <c r="EAS15" s="122"/>
      <c r="EAT15" s="122"/>
      <c r="EAU15" s="122"/>
      <c r="EAV15" s="122"/>
      <c r="EAW15" s="122"/>
      <c r="EAX15" s="122"/>
      <c r="EAY15" s="122"/>
      <c r="EAZ15" s="122"/>
      <c r="EBA15" s="122"/>
      <c r="EBB15" s="122"/>
      <c r="EBC15" s="122"/>
      <c r="EBD15" s="122"/>
      <c r="EBE15" s="122"/>
      <c r="EBF15" s="122"/>
      <c r="EBG15" s="122"/>
      <c r="EBH15" s="122"/>
      <c r="EBI15" s="122"/>
      <c r="EBJ15" s="122"/>
      <c r="EBK15" s="122"/>
      <c r="EBL15" s="122"/>
      <c r="EBM15" s="122"/>
      <c r="EBN15" s="122"/>
      <c r="EBO15" s="122"/>
      <c r="EBP15" s="122"/>
      <c r="EBQ15" s="122"/>
      <c r="EBR15" s="122"/>
      <c r="EBS15" s="122"/>
      <c r="EBT15" s="122"/>
      <c r="EBU15" s="122"/>
      <c r="EBV15" s="122"/>
      <c r="EBW15" s="122"/>
      <c r="EBX15" s="122"/>
      <c r="EBY15" s="122"/>
      <c r="EBZ15" s="122"/>
      <c r="ECA15" s="122"/>
      <c r="ECB15" s="122"/>
      <c r="ECC15" s="122"/>
      <c r="ECD15" s="122"/>
      <c r="ECE15" s="122"/>
      <c r="ECF15" s="122"/>
      <c r="ECG15" s="122"/>
      <c r="ECH15" s="122"/>
      <c r="ECI15" s="122"/>
      <c r="ECJ15" s="122"/>
      <c r="ECK15" s="122"/>
      <c r="ECL15" s="122"/>
      <c r="ECM15" s="122"/>
      <c r="ECN15" s="122"/>
      <c r="ECO15" s="122"/>
      <c r="ECP15" s="122"/>
      <c r="ECQ15" s="122"/>
      <c r="ECR15" s="122"/>
      <c r="ECS15" s="122"/>
      <c r="ECT15" s="122"/>
      <c r="ECU15" s="122"/>
      <c r="ECV15" s="122"/>
      <c r="ECW15" s="122"/>
      <c r="ECX15" s="122"/>
      <c r="ECY15" s="122"/>
      <c r="ECZ15" s="122"/>
      <c r="EDA15" s="122"/>
      <c r="EDB15" s="122"/>
      <c r="EDC15" s="122"/>
      <c r="EDD15" s="122"/>
      <c r="EDE15" s="122"/>
      <c r="EDF15" s="122"/>
      <c r="EDG15" s="122"/>
      <c r="EDH15" s="122"/>
      <c r="EDI15" s="122"/>
      <c r="EDJ15" s="122"/>
      <c r="EDK15" s="122"/>
      <c r="EDL15" s="122"/>
      <c r="EDM15" s="122"/>
      <c r="EDN15" s="122"/>
      <c r="EDO15" s="122"/>
      <c r="EDP15" s="122"/>
      <c r="EDQ15" s="122"/>
      <c r="EDR15" s="122"/>
      <c r="EDS15" s="122"/>
      <c r="EDT15" s="122"/>
      <c r="EDU15" s="122"/>
      <c r="EDV15" s="122"/>
      <c r="EDW15" s="122"/>
      <c r="EDX15" s="122"/>
      <c r="EDY15" s="122"/>
      <c r="EDZ15" s="122"/>
      <c r="EEA15" s="122"/>
      <c r="EEB15" s="122"/>
      <c r="EEC15" s="122"/>
      <c r="EED15" s="122"/>
      <c r="EEE15" s="122"/>
      <c r="EEF15" s="122"/>
      <c r="EEG15" s="122"/>
      <c r="EEH15" s="122"/>
      <c r="EEI15" s="122"/>
      <c r="EEJ15" s="122"/>
      <c r="EEK15" s="122"/>
      <c r="EEL15" s="122"/>
      <c r="EEM15" s="122"/>
      <c r="EEN15" s="122"/>
      <c r="EEO15" s="122"/>
      <c r="EEP15" s="122"/>
      <c r="EEQ15" s="122"/>
      <c r="EER15" s="122"/>
      <c r="EES15" s="122"/>
      <c r="EET15" s="122"/>
      <c r="EEU15" s="122"/>
      <c r="EEV15" s="122"/>
      <c r="EEW15" s="122"/>
      <c r="EEX15" s="122"/>
      <c r="EEY15" s="122"/>
      <c r="EEZ15" s="122"/>
      <c r="EFA15" s="122"/>
      <c r="EFB15" s="122"/>
      <c r="EFC15" s="122"/>
      <c r="EFD15" s="122"/>
      <c r="EFE15" s="122"/>
      <c r="EFF15" s="122"/>
      <c r="EFG15" s="122"/>
      <c r="EFH15" s="122"/>
      <c r="EFI15" s="122"/>
      <c r="EFJ15" s="122"/>
      <c r="EFK15" s="122"/>
      <c r="EFL15" s="122"/>
      <c r="EFM15" s="122"/>
      <c r="EFN15" s="122"/>
      <c r="EFO15" s="122"/>
      <c r="EFP15" s="122"/>
      <c r="EFQ15" s="122"/>
      <c r="EFR15" s="122"/>
      <c r="EFS15" s="122"/>
      <c r="EFT15" s="122"/>
      <c r="EFU15" s="122"/>
      <c r="EFV15" s="122"/>
      <c r="EFW15" s="122"/>
      <c r="EFX15" s="122"/>
      <c r="EFY15" s="122"/>
      <c r="EFZ15" s="122"/>
      <c r="EGA15" s="122"/>
      <c r="EGB15" s="122"/>
      <c r="EGC15" s="122"/>
      <c r="EGD15" s="122"/>
      <c r="EGE15" s="122"/>
      <c r="EGF15" s="122"/>
      <c r="EGG15" s="122"/>
      <c r="EGH15" s="122"/>
      <c r="EGI15" s="122"/>
      <c r="EGJ15" s="122"/>
      <c r="EGK15" s="122"/>
      <c r="EGL15" s="122"/>
      <c r="EGM15" s="122"/>
      <c r="EGN15" s="122"/>
      <c r="EGO15" s="122"/>
      <c r="EGP15" s="122"/>
      <c r="EGQ15" s="122"/>
      <c r="EGR15" s="122"/>
      <c r="EGS15" s="122"/>
      <c r="EGT15" s="122"/>
      <c r="EGU15" s="122"/>
      <c r="EGV15" s="122"/>
      <c r="EGW15" s="122"/>
      <c r="EGX15" s="122"/>
      <c r="EGY15" s="122"/>
      <c r="EGZ15" s="122"/>
      <c r="EHA15" s="122"/>
      <c r="EHB15" s="122"/>
      <c r="EHC15" s="122"/>
      <c r="EHD15" s="122"/>
      <c r="EHE15" s="122"/>
      <c r="EHF15" s="122"/>
      <c r="EHG15" s="122"/>
      <c r="EHH15" s="122"/>
      <c r="EHI15" s="122"/>
      <c r="EHJ15" s="122"/>
      <c r="EHK15" s="122"/>
      <c r="EHL15" s="122"/>
      <c r="EHM15" s="122"/>
      <c r="EHN15" s="122"/>
      <c r="EHO15" s="122"/>
      <c r="EHP15" s="122"/>
      <c r="EHQ15" s="122"/>
      <c r="EHR15" s="122"/>
      <c r="EHS15" s="122"/>
      <c r="EHT15" s="122"/>
      <c r="EHU15" s="122"/>
      <c r="EHV15" s="122"/>
      <c r="EHW15" s="122"/>
      <c r="EHX15" s="122"/>
      <c r="EHY15" s="122"/>
      <c r="EHZ15" s="122"/>
      <c r="EIA15" s="122"/>
      <c r="EIB15" s="122"/>
      <c r="EIC15" s="122"/>
      <c r="EID15" s="122"/>
      <c r="EIE15" s="122"/>
      <c r="EIF15" s="122"/>
      <c r="EIG15" s="122"/>
      <c r="EIH15" s="122"/>
      <c r="EII15" s="122"/>
      <c r="EIJ15" s="122"/>
      <c r="EIK15" s="122"/>
      <c r="EIL15" s="122"/>
      <c r="EIM15" s="122"/>
      <c r="EIN15" s="122"/>
      <c r="EIO15" s="122"/>
      <c r="EIP15" s="122"/>
      <c r="EIQ15" s="122"/>
      <c r="EIR15" s="122"/>
      <c r="EIS15" s="122"/>
      <c r="EIT15" s="122"/>
      <c r="EIU15" s="122"/>
      <c r="EIV15" s="122"/>
      <c r="EIW15" s="122"/>
      <c r="EIX15" s="122"/>
      <c r="EIY15" s="122"/>
      <c r="EIZ15" s="122"/>
      <c r="EJA15" s="122"/>
      <c r="EJB15" s="122"/>
      <c r="EJC15" s="122"/>
      <c r="EJD15" s="122"/>
      <c r="EJE15" s="122"/>
      <c r="EJF15" s="122"/>
      <c r="EJG15" s="122"/>
      <c r="EJH15" s="122"/>
      <c r="EJI15" s="122"/>
      <c r="EJJ15" s="122"/>
      <c r="EJK15" s="122"/>
      <c r="EJL15" s="122"/>
      <c r="EJM15" s="122"/>
      <c r="EJN15" s="122"/>
      <c r="EJO15" s="122"/>
      <c r="EJP15" s="122"/>
      <c r="EJQ15" s="122"/>
      <c r="EJR15" s="122"/>
      <c r="EJS15" s="122"/>
      <c r="EJT15" s="122"/>
      <c r="EJU15" s="122"/>
      <c r="EJV15" s="122"/>
      <c r="EJW15" s="122"/>
      <c r="EJX15" s="122"/>
      <c r="EJY15" s="122"/>
      <c r="EJZ15" s="122"/>
      <c r="EKA15" s="122"/>
      <c r="EKB15" s="122"/>
      <c r="EKC15" s="122"/>
      <c r="EKD15" s="122"/>
      <c r="EKE15" s="122"/>
      <c r="EKF15" s="122"/>
      <c r="EKG15" s="122"/>
      <c r="EKH15" s="122"/>
      <c r="EKI15" s="122"/>
      <c r="EKJ15" s="122"/>
      <c r="EKK15" s="122"/>
      <c r="EKL15" s="122"/>
      <c r="EKM15" s="122"/>
      <c r="EKN15" s="122"/>
      <c r="EKO15" s="122"/>
      <c r="EKP15" s="122"/>
      <c r="EKQ15" s="122"/>
      <c r="EKR15" s="122"/>
      <c r="EKS15" s="122"/>
      <c r="EKT15" s="122"/>
      <c r="EKU15" s="122"/>
      <c r="EKV15" s="122"/>
      <c r="EKW15" s="122"/>
      <c r="EKX15" s="122"/>
      <c r="EKY15" s="122"/>
      <c r="EKZ15" s="122"/>
      <c r="ELA15" s="122"/>
      <c r="ELB15" s="122"/>
      <c r="ELC15" s="122"/>
      <c r="ELD15" s="122"/>
      <c r="ELE15" s="122"/>
      <c r="ELF15" s="122"/>
      <c r="ELG15" s="122"/>
      <c r="ELH15" s="122"/>
      <c r="ELI15" s="122"/>
      <c r="ELJ15" s="122"/>
      <c r="ELK15" s="122"/>
      <c r="ELL15" s="122"/>
      <c r="ELM15" s="122"/>
      <c r="ELN15" s="122"/>
      <c r="ELO15" s="122"/>
      <c r="ELP15" s="122"/>
      <c r="ELQ15" s="122"/>
      <c r="ELR15" s="122"/>
      <c r="ELS15" s="122"/>
      <c r="ELT15" s="122"/>
      <c r="ELU15" s="122"/>
      <c r="ELV15" s="122"/>
      <c r="ELW15" s="122"/>
      <c r="ELX15" s="122"/>
      <c r="ELY15" s="122"/>
      <c r="ELZ15" s="122"/>
      <c r="EMA15" s="122"/>
      <c r="EMB15" s="122"/>
      <c r="EMC15" s="122"/>
      <c r="EMD15" s="122"/>
      <c r="EME15" s="122"/>
      <c r="EMF15" s="122"/>
      <c r="EMG15" s="122"/>
      <c r="EMH15" s="122"/>
      <c r="EMI15" s="122"/>
      <c r="EMJ15" s="122"/>
      <c r="EMK15" s="122"/>
      <c r="EML15" s="122"/>
      <c r="EMM15" s="122"/>
      <c r="EMN15" s="122"/>
      <c r="EMO15" s="122"/>
      <c r="EMP15" s="122"/>
      <c r="EMQ15" s="122"/>
      <c r="EMR15" s="122"/>
      <c r="EMS15" s="122"/>
      <c r="EMT15" s="122"/>
      <c r="EMU15" s="122"/>
      <c r="EMV15" s="122"/>
      <c r="EMW15" s="122"/>
      <c r="EMX15" s="122"/>
      <c r="EMY15" s="122"/>
      <c r="EMZ15" s="122"/>
      <c r="ENA15" s="122"/>
      <c r="ENB15" s="122"/>
      <c r="ENC15" s="122"/>
      <c r="END15" s="122"/>
      <c r="ENE15" s="122"/>
      <c r="ENF15" s="122"/>
      <c r="ENG15" s="122"/>
      <c r="ENH15" s="122"/>
      <c r="ENI15" s="122"/>
      <c r="ENJ15" s="122"/>
      <c r="ENK15" s="122"/>
      <c r="ENL15" s="122"/>
      <c r="ENM15" s="122"/>
      <c r="ENN15" s="122"/>
      <c r="ENO15" s="122"/>
      <c r="ENP15" s="122"/>
      <c r="ENQ15" s="122"/>
      <c r="ENR15" s="122"/>
      <c r="ENS15" s="122"/>
      <c r="ENT15" s="122"/>
      <c r="ENU15" s="122"/>
      <c r="ENV15" s="122"/>
      <c r="ENW15" s="122"/>
      <c r="ENX15" s="122"/>
      <c r="ENY15" s="122"/>
      <c r="ENZ15" s="122"/>
      <c r="EOA15" s="122"/>
      <c r="EOB15" s="122"/>
      <c r="EOC15" s="122"/>
      <c r="EOD15" s="122"/>
      <c r="EOE15" s="122"/>
      <c r="EOF15" s="122"/>
      <c r="EOG15" s="122"/>
      <c r="EOH15" s="122"/>
      <c r="EOI15" s="122"/>
      <c r="EOJ15" s="122"/>
      <c r="EOK15" s="122"/>
      <c r="EOL15" s="122"/>
      <c r="EOM15" s="122"/>
      <c r="EON15" s="122"/>
      <c r="EOO15" s="122"/>
      <c r="EOP15" s="122"/>
      <c r="EOQ15" s="122"/>
      <c r="EOR15" s="122"/>
      <c r="EOS15" s="122"/>
      <c r="EOT15" s="122"/>
      <c r="EOU15" s="122"/>
      <c r="EOV15" s="122"/>
      <c r="EOW15" s="122"/>
      <c r="EOX15" s="122"/>
      <c r="EOY15" s="122"/>
      <c r="EOZ15" s="122"/>
      <c r="EPA15" s="122"/>
      <c r="EPB15" s="122"/>
      <c r="EPC15" s="122"/>
      <c r="EPD15" s="122"/>
      <c r="EPE15" s="122"/>
      <c r="EPF15" s="122"/>
      <c r="EPG15" s="122"/>
      <c r="EPH15" s="122"/>
      <c r="EPI15" s="122"/>
      <c r="EPJ15" s="122"/>
      <c r="EPK15" s="122"/>
      <c r="EPL15" s="122"/>
      <c r="EPM15" s="122"/>
      <c r="EPN15" s="122"/>
      <c r="EPO15" s="122"/>
      <c r="EPP15" s="122"/>
      <c r="EPQ15" s="122"/>
      <c r="EPR15" s="122"/>
      <c r="EPS15" s="122"/>
      <c r="EPT15" s="122"/>
      <c r="EPU15" s="122"/>
      <c r="EPV15" s="122"/>
      <c r="EPW15" s="122"/>
      <c r="EPX15" s="122"/>
      <c r="EPY15" s="122"/>
      <c r="EPZ15" s="122"/>
      <c r="EQA15" s="122"/>
      <c r="EQB15" s="122"/>
      <c r="EQC15" s="122"/>
      <c r="EQD15" s="122"/>
      <c r="EQE15" s="122"/>
      <c r="EQF15" s="122"/>
      <c r="EQG15" s="122"/>
      <c r="EQH15" s="122"/>
      <c r="EQI15" s="122"/>
      <c r="EQJ15" s="122"/>
      <c r="EQK15" s="122"/>
      <c r="EQL15" s="122"/>
      <c r="EQM15" s="122"/>
      <c r="EQN15" s="122"/>
      <c r="EQO15" s="122"/>
      <c r="EQP15" s="122"/>
      <c r="EQQ15" s="122"/>
      <c r="EQR15" s="122"/>
      <c r="EQS15" s="122"/>
      <c r="EQT15" s="122"/>
      <c r="EQU15" s="122"/>
      <c r="EQV15" s="122"/>
      <c r="EQW15" s="122"/>
      <c r="EQX15" s="122"/>
      <c r="EQY15" s="122"/>
      <c r="EQZ15" s="122"/>
      <c r="ERA15" s="122"/>
      <c r="ERB15" s="122"/>
      <c r="ERC15" s="122"/>
      <c r="ERD15" s="122"/>
      <c r="ERE15" s="122"/>
      <c r="ERF15" s="122"/>
      <c r="ERG15" s="122"/>
      <c r="ERH15" s="122"/>
      <c r="ERI15" s="122"/>
      <c r="ERJ15" s="122"/>
      <c r="ERK15" s="122"/>
      <c r="ERL15" s="122"/>
      <c r="ERM15" s="122"/>
      <c r="ERN15" s="122"/>
      <c r="ERO15" s="122"/>
      <c r="ERP15" s="122"/>
      <c r="ERQ15" s="122"/>
      <c r="ERR15" s="122"/>
      <c r="ERS15" s="122"/>
      <c r="ERT15" s="122"/>
      <c r="ERU15" s="122"/>
      <c r="ERV15" s="122"/>
      <c r="ERW15" s="122"/>
      <c r="ERX15" s="122"/>
      <c r="ERY15" s="122"/>
      <c r="ERZ15" s="122"/>
      <c r="ESA15" s="122"/>
      <c r="ESB15" s="122"/>
      <c r="ESC15" s="122"/>
      <c r="ESD15" s="122"/>
      <c r="ESE15" s="122"/>
      <c r="ESF15" s="122"/>
      <c r="ESG15" s="122"/>
      <c r="ESH15" s="122"/>
      <c r="ESI15" s="122"/>
      <c r="ESJ15" s="122"/>
      <c r="ESK15" s="122"/>
      <c r="ESL15" s="122"/>
      <c r="ESM15" s="122"/>
      <c r="ESN15" s="122"/>
      <c r="ESO15" s="122"/>
      <c r="ESP15" s="122"/>
      <c r="ESQ15" s="122"/>
      <c r="ESR15" s="122"/>
      <c r="ESS15" s="122"/>
      <c r="EST15" s="122"/>
      <c r="ESU15" s="122"/>
      <c r="ESV15" s="122"/>
      <c r="ESW15" s="122"/>
      <c r="ESX15" s="122"/>
      <c r="ESY15" s="122"/>
      <c r="ESZ15" s="122"/>
      <c r="ETA15" s="122"/>
      <c r="ETB15" s="122"/>
      <c r="ETC15" s="122"/>
      <c r="ETD15" s="122"/>
      <c r="ETE15" s="122"/>
      <c r="ETF15" s="122"/>
      <c r="ETG15" s="122"/>
      <c r="ETH15" s="122"/>
      <c r="ETI15" s="122"/>
      <c r="ETJ15" s="122"/>
      <c r="ETK15" s="122"/>
      <c r="ETL15" s="122"/>
      <c r="ETM15" s="122"/>
      <c r="ETN15" s="122"/>
      <c r="ETO15" s="122"/>
      <c r="ETP15" s="122"/>
      <c r="ETQ15" s="122"/>
      <c r="ETR15" s="122"/>
      <c r="ETS15" s="122"/>
      <c r="ETT15" s="122"/>
      <c r="ETU15" s="122"/>
      <c r="ETV15" s="122"/>
      <c r="ETW15" s="122"/>
      <c r="ETX15" s="122"/>
      <c r="ETY15" s="122"/>
      <c r="ETZ15" s="122"/>
      <c r="EUA15" s="122"/>
      <c r="EUB15" s="122"/>
      <c r="EUC15" s="122"/>
      <c r="EUD15" s="122"/>
      <c r="EUE15" s="122"/>
      <c r="EUF15" s="122"/>
      <c r="EUG15" s="122"/>
      <c r="EUH15" s="122"/>
      <c r="EUI15" s="122"/>
      <c r="EUJ15" s="122"/>
      <c r="EUK15" s="122"/>
      <c r="EUL15" s="122"/>
      <c r="EUM15" s="122"/>
      <c r="EUN15" s="122"/>
      <c r="EUO15" s="122"/>
      <c r="EUP15" s="122"/>
      <c r="EUQ15" s="122"/>
      <c r="EUR15" s="122"/>
      <c r="EUS15" s="122"/>
      <c r="EUT15" s="122"/>
      <c r="EUU15" s="122"/>
      <c r="EUV15" s="122"/>
      <c r="EUW15" s="122"/>
      <c r="EUX15" s="122"/>
      <c r="EUY15" s="122"/>
      <c r="EUZ15" s="122"/>
      <c r="EVA15" s="122"/>
      <c r="EVB15" s="122"/>
      <c r="EVC15" s="122"/>
      <c r="EVD15" s="122"/>
      <c r="EVE15" s="122"/>
      <c r="EVF15" s="122"/>
      <c r="EVG15" s="122"/>
      <c r="EVH15" s="122"/>
      <c r="EVI15" s="122"/>
      <c r="EVJ15" s="122"/>
      <c r="EVK15" s="122"/>
      <c r="EVL15" s="122"/>
      <c r="EVM15" s="122"/>
      <c r="EVN15" s="122"/>
      <c r="EVO15" s="122"/>
      <c r="EVP15" s="122"/>
      <c r="EVQ15" s="122"/>
      <c r="EVR15" s="122"/>
      <c r="EVS15" s="122"/>
      <c r="EVT15" s="122"/>
      <c r="EVU15" s="122"/>
      <c r="EVV15" s="122"/>
      <c r="EVW15" s="122"/>
      <c r="EVX15" s="122"/>
      <c r="EVY15" s="122"/>
      <c r="EVZ15" s="122"/>
      <c r="EWA15" s="122"/>
      <c r="EWB15" s="122"/>
      <c r="EWC15" s="122"/>
      <c r="EWD15" s="122"/>
      <c r="EWE15" s="122"/>
      <c r="EWF15" s="122"/>
      <c r="EWG15" s="122"/>
      <c r="EWH15" s="122"/>
      <c r="EWI15" s="122"/>
      <c r="EWJ15" s="122"/>
      <c r="EWK15" s="122"/>
      <c r="EWL15" s="122"/>
      <c r="EWM15" s="122"/>
      <c r="EWN15" s="122"/>
      <c r="EWO15" s="122"/>
      <c r="EWP15" s="122"/>
      <c r="EWQ15" s="122"/>
      <c r="EWR15" s="122"/>
      <c r="EWS15" s="122"/>
      <c r="EWT15" s="122"/>
      <c r="EWU15" s="122"/>
      <c r="EWV15" s="122"/>
      <c r="EWW15" s="122"/>
      <c r="EWX15" s="122"/>
      <c r="EWY15" s="122"/>
      <c r="EWZ15" s="122"/>
      <c r="EXA15" s="122"/>
      <c r="EXB15" s="122"/>
      <c r="EXC15" s="122"/>
      <c r="EXD15" s="122"/>
      <c r="EXE15" s="122"/>
      <c r="EXF15" s="122"/>
      <c r="EXG15" s="122"/>
      <c r="EXH15" s="122"/>
      <c r="EXI15" s="122"/>
      <c r="EXJ15" s="122"/>
      <c r="EXK15" s="122"/>
      <c r="EXL15" s="122"/>
      <c r="EXM15" s="122"/>
      <c r="EXN15" s="122"/>
      <c r="EXO15" s="122"/>
      <c r="EXP15" s="122"/>
      <c r="EXQ15" s="122"/>
      <c r="EXR15" s="122"/>
      <c r="EXS15" s="122"/>
      <c r="EXT15" s="122"/>
      <c r="EXU15" s="122"/>
      <c r="EXV15" s="122"/>
      <c r="EXW15" s="122"/>
      <c r="EXX15" s="122"/>
      <c r="EXY15" s="122"/>
      <c r="EXZ15" s="122"/>
      <c r="EYA15" s="122"/>
      <c r="EYB15" s="122"/>
      <c r="EYC15" s="122"/>
      <c r="EYD15" s="122"/>
      <c r="EYE15" s="122"/>
      <c r="EYF15" s="122"/>
      <c r="EYG15" s="122"/>
      <c r="EYH15" s="122"/>
      <c r="EYI15" s="122"/>
      <c r="EYJ15" s="122"/>
      <c r="EYK15" s="122"/>
      <c r="EYL15" s="122"/>
      <c r="EYM15" s="122"/>
      <c r="EYN15" s="122"/>
      <c r="EYO15" s="122"/>
      <c r="EYP15" s="122"/>
      <c r="EYQ15" s="122"/>
      <c r="EYR15" s="122"/>
      <c r="EYS15" s="122"/>
      <c r="EYT15" s="122"/>
      <c r="EYU15" s="122"/>
      <c r="EYV15" s="122"/>
      <c r="EYW15" s="122"/>
      <c r="EYX15" s="122"/>
      <c r="EYY15" s="122"/>
      <c r="EYZ15" s="122"/>
      <c r="EZA15" s="122"/>
      <c r="EZB15" s="122"/>
      <c r="EZC15" s="122"/>
      <c r="EZD15" s="122"/>
      <c r="EZE15" s="122"/>
      <c r="EZF15" s="122"/>
      <c r="EZG15" s="122"/>
      <c r="EZH15" s="122"/>
      <c r="EZI15" s="122"/>
      <c r="EZJ15" s="122"/>
      <c r="EZK15" s="122"/>
      <c r="EZL15" s="122"/>
      <c r="EZM15" s="122"/>
      <c r="EZN15" s="122"/>
      <c r="EZO15" s="122"/>
      <c r="EZP15" s="122"/>
      <c r="EZQ15" s="122"/>
      <c r="EZR15" s="122"/>
      <c r="EZS15" s="122"/>
      <c r="EZT15" s="122"/>
      <c r="EZU15" s="122"/>
      <c r="EZV15" s="122"/>
      <c r="EZW15" s="122"/>
      <c r="EZX15" s="122"/>
      <c r="EZY15" s="122"/>
      <c r="EZZ15" s="122"/>
      <c r="FAA15" s="122"/>
      <c r="FAB15" s="122"/>
      <c r="FAC15" s="122"/>
      <c r="FAD15" s="122"/>
      <c r="FAE15" s="122"/>
      <c r="FAF15" s="122"/>
      <c r="FAG15" s="122"/>
      <c r="FAH15" s="122"/>
      <c r="FAI15" s="122"/>
      <c r="FAJ15" s="122"/>
      <c r="FAK15" s="122"/>
      <c r="FAL15" s="122"/>
      <c r="FAM15" s="122"/>
      <c r="FAN15" s="122"/>
      <c r="FAO15" s="122"/>
      <c r="FAP15" s="122"/>
      <c r="FAQ15" s="122"/>
      <c r="FAR15" s="122"/>
      <c r="FAS15" s="122"/>
      <c r="FAT15" s="122"/>
      <c r="FAU15" s="122"/>
      <c r="FAV15" s="122"/>
      <c r="FAW15" s="122"/>
      <c r="FAX15" s="122"/>
      <c r="FAY15" s="122"/>
      <c r="FAZ15" s="122"/>
      <c r="FBA15" s="122"/>
      <c r="FBB15" s="122"/>
      <c r="FBC15" s="122"/>
      <c r="FBD15" s="122"/>
      <c r="FBE15" s="122"/>
      <c r="FBF15" s="122"/>
      <c r="FBG15" s="122"/>
      <c r="FBH15" s="122"/>
      <c r="FBI15" s="122"/>
      <c r="FBJ15" s="122"/>
      <c r="FBK15" s="122"/>
      <c r="FBL15" s="122"/>
      <c r="FBM15" s="122"/>
      <c r="FBN15" s="122"/>
      <c r="FBO15" s="122"/>
      <c r="FBP15" s="122"/>
      <c r="FBQ15" s="122"/>
      <c r="FBR15" s="122"/>
      <c r="FBS15" s="122"/>
      <c r="FBT15" s="122"/>
      <c r="FBU15" s="122"/>
      <c r="FBV15" s="122"/>
      <c r="FBW15" s="122"/>
      <c r="FBX15" s="122"/>
      <c r="FBY15" s="122"/>
      <c r="FBZ15" s="122"/>
      <c r="FCA15" s="122"/>
      <c r="FCB15" s="122"/>
      <c r="FCC15" s="122"/>
      <c r="FCD15" s="122"/>
      <c r="FCE15" s="122"/>
      <c r="FCF15" s="122"/>
      <c r="FCG15" s="122"/>
      <c r="FCH15" s="122"/>
      <c r="FCI15" s="122"/>
      <c r="FCJ15" s="122"/>
      <c r="FCK15" s="122"/>
      <c r="FCL15" s="122"/>
      <c r="FCM15" s="122"/>
      <c r="FCN15" s="122"/>
      <c r="FCO15" s="122"/>
      <c r="FCP15" s="122"/>
      <c r="FCQ15" s="122"/>
      <c r="FCR15" s="122"/>
      <c r="FCS15" s="122"/>
      <c r="FCT15" s="122"/>
      <c r="FCU15" s="122"/>
      <c r="FCV15" s="122"/>
      <c r="FCW15" s="122"/>
      <c r="FCX15" s="122"/>
      <c r="FCY15" s="122"/>
      <c r="FCZ15" s="122"/>
      <c r="FDA15" s="122"/>
      <c r="FDB15" s="122"/>
      <c r="FDC15" s="122"/>
      <c r="FDD15" s="122"/>
      <c r="FDE15" s="122"/>
      <c r="FDF15" s="122"/>
      <c r="FDG15" s="122"/>
      <c r="FDH15" s="122"/>
      <c r="FDI15" s="122"/>
      <c r="FDJ15" s="122"/>
      <c r="FDK15" s="122"/>
      <c r="FDL15" s="122"/>
      <c r="FDM15" s="122"/>
      <c r="FDN15" s="122"/>
      <c r="FDO15" s="122"/>
      <c r="FDP15" s="122"/>
      <c r="FDQ15" s="122"/>
      <c r="FDR15" s="122"/>
      <c r="FDS15" s="122"/>
      <c r="FDT15" s="122"/>
      <c r="FDU15" s="122"/>
      <c r="FDV15" s="122"/>
      <c r="FDW15" s="122"/>
      <c r="FDX15" s="122"/>
      <c r="FDY15" s="122"/>
      <c r="FDZ15" s="122"/>
      <c r="FEA15" s="122"/>
      <c r="FEB15" s="122"/>
      <c r="FEC15" s="122"/>
      <c r="FED15" s="122"/>
      <c r="FEE15" s="122"/>
      <c r="FEF15" s="122"/>
      <c r="FEG15" s="122"/>
      <c r="FEH15" s="122"/>
      <c r="FEI15" s="122"/>
      <c r="FEJ15" s="122"/>
      <c r="FEK15" s="122"/>
      <c r="FEL15" s="122"/>
      <c r="FEM15" s="122"/>
      <c r="FEN15" s="122"/>
      <c r="FEO15" s="122"/>
      <c r="FEP15" s="122"/>
      <c r="FEQ15" s="122"/>
      <c r="FER15" s="122"/>
      <c r="FES15" s="122"/>
      <c r="FET15" s="122"/>
      <c r="FEU15" s="122"/>
      <c r="FEV15" s="122"/>
      <c r="FEW15" s="122"/>
      <c r="FEX15" s="122"/>
      <c r="FEY15" s="122"/>
      <c r="FEZ15" s="122"/>
      <c r="FFA15" s="122"/>
      <c r="FFB15" s="122"/>
      <c r="FFC15" s="122"/>
      <c r="FFD15" s="122"/>
      <c r="FFE15" s="122"/>
      <c r="FFF15" s="122"/>
      <c r="FFG15" s="122"/>
      <c r="FFH15" s="122"/>
      <c r="FFI15" s="122"/>
      <c r="FFJ15" s="122"/>
      <c r="FFK15" s="122"/>
      <c r="FFL15" s="122"/>
      <c r="FFM15" s="122"/>
      <c r="FFN15" s="122"/>
      <c r="FFO15" s="122"/>
      <c r="FFP15" s="122"/>
      <c r="FFQ15" s="122"/>
      <c r="FFR15" s="122"/>
      <c r="FFS15" s="122"/>
      <c r="FFT15" s="122"/>
      <c r="FFU15" s="122"/>
      <c r="FFV15" s="122"/>
      <c r="FFW15" s="122"/>
      <c r="FFX15" s="122"/>
      <c r="FFY15" s="122"/>
      <c r="FFZ15" s="122"/>
      <c r="FGA15" s="122"/>
      <c r="FGB15" s="122"/>
      <c r="FGC15" s="122"/>
      <c r="FGD15" s="122"/>
      <c r="FGE15" s="122"/>
      <c r="FGF15" s="122"/>
      <c r="FGG15" s="122"/>
      <c r="FGH15" s="122"/>
      <c r="FGI15" s="122"/>
      <c r="FGJ15" s="122"/>
      <c r="FGK15" s="122"/>
      <c r="FGL15" s="122"/>
      <c r="FGM15" s="122"/>
      <c r="FGN15" s="122"/>
      <c r="FGO15" s="122"/>
      <c r="FGP15" s="122"/>
      <c r="FGQ15" s="122"/>
      <c r="FGR15" s="122"/>
      <c r="FGS15" s="122"/>
      <c r="FGT15" s="122"/>
      <c r="FGU15" s="122"/>
      <c r="FGV15" s="122"/>
      <c r="FGW15" s="122"/>
      <c r="FGX15" s="122"/>
      <c r="FGY15" s="122"/>
      <c r="FGZ15" s="122"/>
      <c r="FHA15" s="122"/>
      <c r="FHB15" s="122"/>
      <c r="FHC15" s="122"/>
      <c r="FHD15" s="122"/>
      <c r="FHE15" s="122"/>
      <c r="FHF15" s="122"/>
      <c r="FHG15" s="122"/>
      <c r="FHH15" s="122"/>
      <c r="FHI15" s="122"/>
      <c r="FHJ15" s="122"/>
      <c r="FHK15" s="122"/>
      <c r="FHL15" s="122"/>
      <c r="FHM15" s="122"/>
      <c r="FHN15" s="122"/>
      <c r="FHO15" s="122"/>
      <c r="FHP15" s="122"/>
      <c r="FHQ15" s="122"/>
      <c r="FHR15" s="122"/>
      <c r="FHS15" s="122"/>
      <c r="FHT15" s="122"/>
      <c r="FHU15" s="122"/>
      <c r="FHV15" s="122"/>
      <c r="FHW15" s="122"/>
      <c r="FHX15" s="122"/>
      <c r="FHY15" s="122"/>
      <c r="FHZ15" s="122"/>
      <c r="FIA15" s="122"/>
      <c r="FIB15" s="122"/>
      <c r="FIC15" s="122"/>
      <c r="FID15" s="122"/>
      <c r="FIE15" s="122"/>
      <c r="FIF15" s="122"/>
      <c r="FIG15" s="122"/>
      <c r="FIH15" s="122"/>
      <c r="FII15" s="122"/>
      <c r="FIJ15" s="122"/>
      <c r="FIK15" s="122"/>
      <c r="FIL15" s="122"/>
      <c r="FIM15" s="122"/>
      <c r="FIN15" s="122"/>
      <c r="FIO15" s="122"/>
      <c r="FIP15" s="122"/>
      <c r="FIQ15" s="122"/>
      <c r="FIR15" s="122"/>
      <c r="FIS15" s="122"/>
      <c r="FIT15" s="122"/>
      <c r="FIU15" s="122"/>
      <c r="FIV15" s="122"/>
      <c r="FIW15" s="122"/>
      <c r="FIX15" s="122"/>
      <c r="FIY15" s="122"/>
      <c r="FIZ15" s="122"/>
      <c r="FJA15" s="122"/>
      <c r="FJB15" s="122"/>
      <c r="FJC15" s="122"/>
      <c r="FJD15" s="122"/>
      <c r="FJE15" s="122"/>
      <c r="FJF15" s="122"/>
      <c r="FJG15" s="122"/>
      <c r="FJH15" s="122"/>
      <c r="FJI15" s="122"/>
      <c r="FJJ15" s="122"/>
      <c r="FJK15" s="122"/>
      <c r="FJL15" s="122"/>
      <c r="FJM15" s="122"/>
      <c r="FJN15" s="122"/>
      <c r="FJO15" s="122"/>
      <c r="FJP15" s="122"/>
      <c r="FJQ15" s="122"/>
      <c r="FJR15" s="122"/>
      <c r="FJS15" s="122"/>
      <c r="FJT15" s="122"/>
      <c r="FJU15" s="122"/>
      <c r="FJV15" s="122"/>
      <c r="FJW15" s="122"/>
      <c r="FJX15" s="122"/>
      <c r="FJY15" s="122"/>
      <c r="FJZ15" s="122"/>
      <c r="FKA15" s="122"/>
      <c r="FKB15" s="122"/>
      <c r="FKC15" s="122"/>
      <c r="FKD15" s="122"/>
      <c r="FKE15" s="122"/>
      <c r="FKF15" s="122"/>
      <c r="FKG15" s="122"/>
      <c r="FKH15" s="122"/>
      <c r="FKI15" s="122"/>
      <c r="FKJ15" s="122"/>
      <c r="FKK15" s="122"/>
      <c r="FKL15" s="122"/>
      <c r="FKM15" s="122"/>
      <c r="FKN15" s="122"/>
      <c r="FKO15" s="122"/>
      <c r="FKP15" s="122"/>
      <c r="FKQ15" s="122"/>
      <c r="FKR15" s="122"/>
      <c r="FKS15" s="122"/>
      <c r="FKT15" s="122"/>
      <c r="FKU15" s="122"/>
      <c r="FKV15" s="122"/>
      <c r="FKW15" s="122"/>
      <c r="FKX15" s="122"/>
      <c r="FKY15" s="122"/>
      <c r="FKZ15" s="122"/>
      <c r="FLA15" s="122"/>
      <c r="FLB15" s="122"/>
      <c r="FLC15" s="122"/>
      <c r="FLD15" s="122"/>
      <c r="FLE15" s="122"/>
      <c r="FLF15" s="122"/>
      <c r="FLG15" s="122"/>
      <c r="FLH15" s="122"/>
      <c r="FLI15" s="122"/>
      <c r="FLJ15" s="122"/>
      <c r="FLK15" s="122"/>
      <c r="FLL15" s="122"/>
      <c r="FLM15" s="122"/>
      <c r="FLN15" s="122"/>
      <c r="FLO15" s="122"/>
      <c r="FLP15" s="122"/>
      <c r="FLQ15" s="122"/>
      <c r="FLR15" s="122"/>
      <c r="FLS15" s="122"/>
      <c r="FLT15" s="122"/>
      <c r="FLU15" s="122"/>
      <c r="FLV15" s="122"/>
      <c r="FLW15" s="122"/>
      <c r="FLX15" s="122"/>
      <c r="FLY15" s="122"/>
      <c r="FLZ15" s="122"/>
      <c r="FMA15" s="122"/>
      <c r="FMB15" s="122"/>
      <c r="FMC15" s="122"/>
      <c r="FMD15" s="122"/>
      <c r="FME15" s="122"/>
      <c r="FMF15" s="122"/>
      <c r="FMG15" s="122"/>
      <c r="FMH15" s="122"/>
      <c r="FMI15" s="122"/>
      <c r="FMJ15" s="122"/>
      <c r="FMK15" s="122"/>
      <c r="FML15" s="122"/>
      <c r="FMM15" s="122"/>
      <c r="FMN15" s="122"/>
      <c r="FMO15" s="122"/>
      <c r="FMP15" s="122"/>
      <c r="FMQ15" s="122"/>
      <c r="FMR15" s="122"/>
      <c r="FMS15" s="122"/>
      <c r="FMT15" s="122"/>
      <c r="FMU15" s="122"/>
      <c r="FMV15" s="122"/>
      <c r="FMW15" s="122"/>
      <c r="FMX15" s="122"/>
      <c r="FMY15" s="122"/>
      <c r="FMZ15" s="122"/>
      <c r="FNA15" s="122"/>
      <c r="FNB15" s="122"/>
      <c r="FNC15" s="122"/>
      <c r="FND15" s="122"/>
      <c r="FNE15" s="122"/>
      <c r="FNF15" s="122"/>
      <c r="FNG15" s="122"/>
      <c r="FNH15" s="122"/>
      <c r="FNI15" s="122"/>
      <c r="FNJ15" s="122"/>
      <c r="FNK15" s="122"/>
      <c r="FNL15" s="122"/>
      <c r="FNM15" s="122"/>
      <c r="FNN15" s="122"/>
      <c r="FNO15" s="122"/>
      <c r="FNP15" s="122"/>
      <c r="FNQ15" s="122"/>
      <c r="FNR15" s="122"/>
      <c r="FNS15" s="122"/>
      <c r="FNT15" s="122"/>
      <c r="FNU15" s="122"/>
      <c r="FNV15" s="122"/>
      <c r="FNW15" s="122"/>
      <c r="FNX15" s="122"/>
      <c r="FNY15" s="122"/>
      <c r="FNZ15" s="122"/>
      <c r="FOA15" s="122"/>
      <c r="FOB15" s="122"/>
      <c r="FOC15" s="122"/>
      <c r="FOD15" s="122"/>
      <c r="FOE15" s="122"/>
      <c r="FOF15" s="122"/>
      <c r="FOG15" s="122"/>
      <c r="FOH15" s="122"/>
      <c r="FOI15" s="122"/>
      <c r="FOJ15" s="122"/>
      <c r="FOK15" s="122"/>
      <c r="FOL15" s="122"/>
      <c r="FOM15" s="122"/>
      <c r="FON15" s="122"/>
      <c r="FOO15" s="122"/>
      <c r="FOP15" s="122"/>
      <c r="FOQ15" s="122"/>
      <c r="FOR15" s="122"/>
      <c r="FOS15" s="122"/>
      <c r="FOT15" s="122"/>
      <c r="FOU15" s="122"/>
      <c r="FOV15" s="122"/>
      <c r="FOW15" s="122"/>
      <c r="FOX15" s="122"/>
      <c r="FOY15" s="122"/>
      <c r="FOZ15" s="122"/>
      <c r="FPA15" s="122"/>
      <c r="FPB15" s="122"/>
      <c r="FPC15" s="122"/>
      <c r="FPD15" s="122"/>
      <c r="FPE15" s="122"/>
      <c r="FPF15" s="122"/>
      <c r="FPG15" s="122"/>
      <c r="FPH15" s="122"/>
      <c r="FPI15" s="122"/>
      <c r="FPJ15" s="122"/>
      <c r="FPK15" s="122"/>
      <c r="FPL15" s="122"/>
      <c r="FPM15" s="122"/>
      <c r="FPN15" s="122"/>
      <c r="FPO15" s="122"/>
      <c r="FPP15" s="122"/>
      <c r="FPQ15" s="122"/>
      <c r="FPR15" s="122"/>
      <c r="FPS15" s="122"/>
      <c r="FPT15" s="122"/>
      <c r="FPU15" s="122"/>
      <c r="FPV15" s="122"/>
      <c r="FPW15" s="122"/>
      <c r="FPX15" s="122"/>
      <c r="FPY15" s="122"/>
      <c r="FPZ15" s="122"/>
      <c r="FQA15" s="122"/>
      <c r="FQB15" s="122"/>
      <c r="FQC15" s="122"/>
      <c r="FQD15" s="122"/>
      <c r="FQE15" s="122"/>
      <c r="FQF15" s="122"/>
      <c r="FQG15" s="122"/>
      <c r="FQH15" s="122"/>
      <c r="FQI15" s="122"/>
      <c r="FQJ15" s="122"/>
      <c r="FQK15" s="122"/>
      <c r="FQL15" s="122"/>
      <c r="FQM15" s="122"/>
      <c r="FQN15" s="122"/>
      <c r="FQO15" s="122"/>
      <c r="FQP15" s="122"/>
      <c r="FQQ15" s="122"/>
      <c r="FQR15" s="122"/>
      <c r="FQS15" s="122"/>
      <c r="FQT15" s="122"/>
      <c r="FQU15" s="122"/>
      <c r="FQV15" s="122"/>
      <c r="FQW15" s="122"/>
      <c r="FQX15" s="122"/>
      <c r="FQY15" s="122"/>
      <c r="FQZ15" s="122"/>
      <c r="FRA15" s="122"/>
      <c r="FRB15" s="122"/>
      <c r="FRC15" s="122"/>
      <c r="FRD15" s="122"/>
      <c r="FRE15" s="122"/>
      <c r="FRF15" s="122"/>
      <c r="FRG15" s="122"/>
      <c r="FRH15" s="122"/>
      <c r="FRI15" s="122"/>
      <c r="FRJ15" s="122"/>
      <c r="FRK15" s="122"/>
      <c r="FRL15" s="122"/>
      <c r="FRM15" s="122"/>
      <c r="FRN15" s="122"/>
      <c r="FRO15" s="122"/>
      <c r="FRP15" s="122"/>
      <c r="FRQ15" s="122"/>
      <c r="FRR15" s="122"/>
      <c r="FRS15" s="122"/>
      <c r="FRT15" s="122"/>
      <c r="FRU15" s="122"/>
      <c r="FRV15" s="122"/>
      <c r="FRW15" s="122"/>
      <c r="FRX15" s="122"/>
      <c r="FRY15" s="122"/>
      <c r="FRZ15" s="122"/>
      <c r="FSA15" s="122"/>
      <c r="FSB15" s="122"/>
      <c r="FSC15" s="122"/>
      <c r="FSD15" s="122"/>
      <c r="FSE15" s="122"/>
      <c r="FSF15" s="122"/>
      <c r="FSG15" s="122"/>
      <c r="FSH15" s="122"/>
      <c r="FSI15" s="122"/>
      <c r="FSJ15" s="122"/>
      <c r="FSK15" s="122"/>
      <c r="FSL15" s="122"/>
      <c r="FSM15" s="122"/>
      <c r="FSN15" s="122"/>
      <c r="FSO15" s="122"/>
      <c r="FSP15" s="122"/>
      <c r="FSQ15" s="122"/>
      <c r="FSR15" s="122"/>
      <c r="FSS15" s="122"/>
      <c r="FST15" s="122"/>
      <c r="FSU15" s="122"/>
      <c r="FSV15" s="122"/>
      <c r="FSW15" s="122"/>
      <c r="FSX15" s="122"/>
      <c r="FSY15" s="122"/>
      <c r="FSZ15" s="122"/>
      <c r="FTA15" s="122"/>
      <c r="FTB15" s="122"/>
      <c r="FTC15" s="122"/>
      <c r="FTD15" s="122"/>
      <c r="FTE15" s="122"/>
      <c r="FTF15" s="122"/>
      <c r="FTG15" s="122"/>
      <c r="FTH15" s="122"/>
      <c r="FTI15" s="122"/>
      <c r="FTJ15" s="122"/>
      <c r="FTK15" s="122"/>
      <c r="FTL15" s="122"/>
      <c r="FTM15" s="122"/>
      <c r="FTN15" s="122"/>
      <c r="FTO15" s="122"/>
      <c r="FTP15" s="122"/>
      <c r="FTQ15" s="122"/>
      <c r="FTR15" s="122"/>
      <c r="FTS15" s="122"/>
      <c r="FTT15" s="122"/>
      <c r="FTU15" s="122"/>
      <c r="FTV15" s="122"/>
      <c r="FTW15" s="122"/>
      <c r="FTX15" s="122"/>
      <c r="FTY15" s="122"/>
      <c r="FTZ15" s="122"/>
      <c r="FUA15" s="122"/>
      <c r="FUB15" s="122"/>
      <c r="FUC15" s="122"/>
      <c r="FUD15" s="122"/>
      <c r="FUE15" s="122"/>
      <c r="FUF15" s="122"/>
      <c r="FUG15" s="122"/>
      <c r="FUH15" s="122"/>
      <c r="FUI15" s="122"/>
      <c r="FUJ15" s="122"/>
      <c r="FUK15" s="122"/>
      <c r="FUL15" s="122"/>
      <c r="FUM15" s="122"/>
      <c r="FUN15" s="122"/>
      <c r="FUO15" s="122"/>
      <c r="FUP15" s="122"/>
      <c r="FUQ15" s="122"/>
      <c r="FUR15" s="122"/>
      <c r="FUS15" s="122"/>
      <c r="FUT15" s="122"/>
      <c r="FUU15" s="122"/>
      <c r="FUV15" s="122"/>
      <c r="FUW15" s="122"/>
      <c r="FUX15" s="122"/>
      <c r="FUY15" s="122"/>
      <c r="FUZ15" s="122"/>
      <c r="FVA15" s="122"/>
      <c r="FVB15" s="122"/>
      <c r="FVC15" s="122"/>
      <c r="FVD15" s="122"/>
      <c r="FVE15" s="122"/>
      <c r="FVF15" s="122"/>
      <c r="FVG15" s="122"/>
      <c r="FVH15" s="122"/>
      <c r="FVI15" s="122"/>
      <c r="FVJ15" s="122"/>
      <c r="FVK15" s="122"/>
      <c r="FVL15" s="122"/>
      <c r="FVM15" s="122"/>
      <c r="FVN15" s="122"/>
      <c r="FVO15" s="122"/>
      <c r="FVP15" s="122"/>
      <c r="FVQ15" s="122"/>
      <c r="FVR15" s="122"/>
      <c r="FVS15" s="122"/>
      <c r="FVT15" s="122"/>
      <c r="FVU15" s="122"/>
      <c r="FVV15" s="122"/>
      <c r="FVW15" s="122"/>
      <c r="FVX15" s="122"/>
      <c r="FVY15" s="122"/>
      <c r="FVZ15" s="122"/>
      <c r="FWA15" s="122"/>
      <c r="FWB15" s="122"/>
      <c r="FWC15" s="122"/>
      <c r="FWD15" s="122"/>
      <c r="FWE15" s="122"/>
      <c r="FWF15" s="122"/>
      <c r="FWG15" s="122"/>
      <c r="FWH15" s="122"/>
      <c r="FWI15" s="122"/>
      <c r="FWJ15" s="122"/>
      <c r="FWK15" s="122"/>
      <c r="FWL15" s="122"/>
      <c r="FWM15" s="122"/>
      <c r="FWN15" s="122"/>
      <c r="FWO15" s="122"/>
      <c r="FWP15" s="122"/>
      <c r="FWQ15" s="122"/>
      <c r="FWR15" s="122"/>
      <c r="FWS15" s="122"/>
      <c r="FWT15" s="122"/>
      <c r="FWU15" s="122"/>
      <c r="FWV15" s="122"/>
      <c r="FWW15" s="122"/>
      <c r="FWX15" s="122"/>
      <c r="FWY15" s="122"/>
      <c r="FWZ15" s="122"/>
      <c r="FXA15" s="122"/>
      <c r="FXB15" s="122"/>
      <c r="FXC15" s="122"/>
      <c r="FXD15" s="122"/>
      <c r="FXE15" s="122"/>
      <c r="FXF15" s="122"/>
      <c r="FXG15" s="122"/>
      <c r="FXH15" s="122"/>
      <c r="FXI15" s="122"/>
      <c r="FXJ15" s="122"/>
      <c r="FXK15" s="122"/>
      <c r="FXL15" s="122"/>
      <c r="FXM15" s="122"/>
      <c r="FXN15" s="122"/>
      <c r="FXO15" s="122"/>
      <c r="FXP15" s="122"/>
      <c r="FXQ15" s="122"/>
      <c r="FXR15" s="122"/>
      <c r="FXS15" s="122"/>
      <c r="FXT15" s="122"/>
      <c r="FXU15" s="122"/>
      <c r="FXV15" s="122"/>
      <c r="FXW15" s="122"/>
      <c r="FXX15" s="122"/>
      <c r="FXY15" s="122"/>
      <c r="FXZ15" s="122"/>
      <c r="FYA15" s="122"/>
      <c r="FYB15" s="122"/>
      <c r="FYC15" s="122"/>
      <c r="FYD15" s="122"/>
      <c r="FYE15" s="122"/>
      <c r="FYF15" s="122"/>
      <c r="FYG15" s="122"/>
      <c r="FYH15" s="122"/>
      <c r="FYI15" s="122"/>
      <c r="FYJ15" s="122"/>
      <c r="FYK15" s="122"/>
      <c r="FYL15" s="122"/>
      <c r="FYM15" s="122"/>
      <c r="FYN15" s="122"/>
      <c r="FYO15" s="122"/>
      <c r="FYP15" s="122"/>
      <c r="FYQ15" s="122"/>
      <c r="FYR15" s="122"/>
      <c r="FYS15" s="122"/>
      <c r="FYT15" s="122"/>
      <c r="FYU15" s="122"/>
      <c r="FYV15" s="122"/>
      <c r="FYW15" s="122"/>
      <c r="FYX15" s="122"/>
      <c r="FYY15" s="122"/>
      <c r="FYZ15" s="122"/>
      <c r="FZA15" s="122"/>
      <c r="FZB15" s="122"/>
      <c r="FZC15" s="122"/>
      <c r="FZD15" s="122"/>
      <c r="FZE15" s="122"/>
      <c r="FZF15" s="122"/>
      <c r="FZG15" s="122"/>
      <c r="FZH15" s="122"/>
      <c r="FZI15" s="122"/>
      <c r="FZJ15" s="122"/>
      <c r="FZK15" s="122"/>
      <c r="FZL15" s="122"/>
      <c r="FZM15" s="122"/>
      <c r="FZN15" s="122"/>
      <c r="FZO15" s="122"/>
      <c r="FZP15" s="122"/>
      <c r="FZQ15" s="122"/>
      <c r="FZR15" s="122"/>
      <c r="FZS15" s="122"/>
      <c r="FZT15" s="122"/>
      <c r="FZU15" s="122"/>
      <c r="FZV15" s="122"/>
      <c r="FZW15" s="122"/>
      <c r="FZX15" s="122"/>
      <c r="FZY15" s="122"/>
      <c r="FZZ15" s="122"/>
      <c r="GAA15" s="122"/>
      <c r="GAB15" s="122"/>
      <c r="GAC15" s="122"/>
      <c r="GAD15" s="122"/>
      <c r="GAE15" s="122"/>
      <c r="GAF15" s="122"/>
      <c r="GAG15" s="122"/>
      <c r="GAH15" s="122"/>
      <c r="GAI15" s="122"/>
      <c r="GAJ15" s="122"/>
      <c r="GAK15" s="122"/>
      <c r="GAL15" s="122"/>
      <c r="GAM15" s="122"/>
      <c r="GAN15" s="122"/>
      <c r="GAO15" s="122"/>
      <c r="GAP15" s="122"/>
      <c r="GAQ15" s="122"/>
      <c r="GAR15" s="122"/>
      <c r="GAS15" s="122"/>
      <c r="GAT15" s="122"/>
      <c r="GAU15" s="122"/>
      <c r="GAV15" s="122"/>
      <c r="GAW15" s="122"/>
      <c r="GAX15" s="122"/>
      <c r="GAY15" s="122"/>
      <c r="GAZ15" s="122"/>
      <c r="GBA15" s="122"/>
      <c r="GBB15" s="122"/>
      <c r="GBC15" s="122"/>
      <c r="GBD15" s="122"/>
      <c r="GBE15" s="122"/>
      <c r="GBF15" s="122"/>
      <c r="GBG15" s="122"/>
      <c r="GBH15" s="122"/>
      <c r="GBI15" s="122"/>
      <c r="GBJ15" s="122"/>
      <c r="GBK15" s="122"/>
      <c r="GBL15" s="122"/>
      <c r="GBM15" s="122"/>
      <c r="GBN15" s="122"/>
      <c r="GBO15" s="122"/>
      <c r="GBP15" s="122"/>
      <c r="GBQ15" s="122"/>
      <c r="GBR15" s="122"/>
      <c r="GBS15" s="122"/>
      <c r="GBT15" s="122"/>
      <c r="GBU15" s="122"/>
      <c r="GBV15" s="122"/>
      <c r="GBW15" s="122"/>
      <c r="GBX15" s="122"/>
      <c r="GBY15" s="122"/>
      <c r="GBZ15" s="122"/>
      <c r="GCA15" s="122"/>
      <c r="GCB15" s="122"/>
      <c r="GCC15" s="122"/>
      <c r="GCD15" s="122"/>
      <c r="GCE15" s="122"/>
      <c r="GCF15" s="122"/>
      <c r="GCG15" s="122"/>
      <c r="GCH15" s="122"/>
      <c r="GCI15" s="122"/>
      <c r="GCJ15" s="122"/>
      <c r="GCK15" s="122"/>
      <c r="GCL15" s="122"/>
      <c r="GCM15" s="122"/>
      <c r="GCN15" s="122"/>
      <c r="GCO15" s="122"/>
      <c r="GCP15" s="122"/>
      <c r="GCQ15" s="122"/>
      <c r="GCR15" s="122"/>
      <c r="GCS15" s="122"/>
      <c r="GCT15" s="122"/>
      <c r="GCU15" s="122"/>
      <c r="GCV15" s="122"/>
      <c r="GCW15" s="122"/>
      <c r="GCX15" s="122"/>
      <c r="GCY15" s="122"/>
      <c r="GCZ15" s="122"/>
      <c r="GDA15" s="122"/>
      <c r="GDB15" s="122"/>
      <c r="GDC15" s="122"/>
      <c r="GDD15" s="122"/>
      <c r="GDE15" s="122"/>
      <c r="GDF15" s="122"/>
      <c r="GDG15" s="122"/>
      <c r="GDH15" s="122"/>
      <c r="GDI15" s="122"/>
      <c r="GDJ15" s="122"/>
      <c r="GDK15" s="122"/>
      <c r="GDL15" s="122"/>
      <c r="GDM15" s="122"/>
      <c r="GDN15" s="122"/>
      <c r="GDO15" s="122"/>
      <c r="GDP15" s="122"/>
      <c r="GDQ15" s="122"/>
      <c r="GDR15" s="122"/>
      <c r="GDS15" s="122"/>
      <c r="GDT15" s="122"/>
      <c r="GDU15" s="122"/>
      <c r="GDV15" s="122"/>
      <c r="GDW15" s="122"/>
      <c r="GDX15" s="122"/>
      <c r="GDY15" s="122"/>
      <c r="GDZ15" s="122"/>
      <c r="GEA15" s="122"/>
      <c r="GEB15" s="122"/>
      <c r="GEC15" s="122"/>
      <c r="GED15" s="122"/>
      <c r="GEE15" s="122"/>
      <c r="GEF15" s="122"/>
      <c r="GEG15" s="122"/>
      <c r="GEH15" s="122"/>
      <c r="GEI15" s="122"/>
      <c r="GEJ15" s="122"/>
      <c r="GEK15" s="122"/>
      <c r="GEL15" s="122"/>
      <c r="GEM15" s="122"/>
      <c r="GEN15" s="122"/>
      <c r="GEO15" s="122"/>
      <c r="GEP15" s="122"/>
      <c r="GEQ15" s="122"/>
      <c r="GER15" s="122"/>
      <c r="GES15" s="122"/>
      <c r="GET15" s="122"/>
      <c r="GEU15" s="122"/>
      <c r="GEV15" s="122"/>
      <c r="GEW15" s="122"/>
      <c r="GEX15" s="122"/>
      <c r="GEY15" s="122"/>
      <c r="GEZ15" s="122"/>
      <c r="GFA15" s="122"/>
      <c r="GFB15" s="122"/>
      <c r="GFC15" s="122"/>
      <c r="GFD15" s="122"/>
      <c r="GFE15" s="122"/>
      <c r="GFF15" s="122"/>
      <c r="GFG15" s="122"/>
      <c r="GFH15" s="122"/>
      <c r="GFI15" s="122"/>
      <c r="GFJ15" s="122"/>
      <c r="GFK15" s="122"/>
      <c r="GFL15" s="122"/>
      <c r="GFM15" s="122"/>
      <c r="GFN15" s="122"/>
      <c r="GFO15" s="122"/>
      <c r="GFP15" s="122"/>
      <c r="GFQ15" s="122"/>
      <c r="GFR15" s="122"/>
      <c r="GFS15" s="122"/>
      <c r="GFT15" s="122"/>
      <c r="GFU15" s="122"/>
      <c r="GFV15" s="122"/>
      <c r="GFW15" s="122"/>
      <c r="GFX15" s="122"/>
      <c r="GFY15" s="122"/>
      <c r="GFZ15" s="122"/>
      <c r="GGA15" s="122"/>
      <c r="GGB15" s="122"/>
      <c r="GGC15" s="122"/>
      <c r="GGD15" s="122"/>
      <c r="GGE15" s="122"/>
      <c r="GGF15" s="122"/>
      <c r="GGG15" s="122"/>
      <c r="GGH15" s="122"/>
      <c r="GGI15" s="122"/>
      <c r="GGJ15" s="122"/>
      <c r="GGK15" s="122"/>
      <c r="GGL15" s="122"/>
      <c r="GGM15" s="122"/>
      <c r="GGN15" s="122"/>
      <c r="GGO15" s="122"/>
      <c r="GGP15" s="122"/>
      <c r="GGQ15" s="122"/>
      <c r="GGR15" s="122"/>
      <c r="GGS15" s="122"/>
      <c r="GGT15" s="122"/>
      <c r="GGU15" s="122"/>
      <c r="GGV15" s="122"/>
      <c r="GGW15" s="122"/>
      <c r="GGX15" s="122"/>
      <c r="GGY15" s="122"/>
      <c r="GGZ15" s="122"/>
      <c r="GHA15" s="122"/>
      <c r="GHB15" s="122"/>
      <c r="GHC15" s="122"/>
      <c r="GHD15" s="122"/>
      <c r="GHE15" s="122"/>
      <c r="GHF15" s="122"/>
      <c r="GHG15" s="122"/>
      <c r="GHH15" s="122"/>
      <c r="GHI15" s="122"/>
      <c r="GHJ15" s="122"/>
      <c r="GHK15" s="122"/>
      <c r="GHL15" s="122"/>
      <c r="GHM15" s="122"/>
      <c r="GHN15" s="122"/>
      <c r="GHO15" s="122"/>
      <c r="GHP15" s="122"/>
      <c r="GHQ15" s="122"/>
      <c r="GHR15" s="122"/>
      <c r="GHS15" s="122"/>
      <c r="GHT15" s="122"/>
      <c r="GHU15" s="122"/>
      <c r="GHV15" s="122"/>
      <c r="GHW15" s="122"/>
      <c r="GHX15" s="122"/>
      <c r="GHY15" s="122"/>
      <c r="GHZ15" s="122"/>
      <c r="GIA15" s="122"/>
      <c r="GIB15" s="122"/>
      <c r="GIC15" s="122"/>
      <c r="GID15" s="122"/>
      <c r="GIE15" s="122"/>
      <c r="GIF15" s="122"/>
      <c r="GIG15" s="122"/>
      <c r="GIH15" s="122"/>
      <c r="GII15" s="122"/>
      <c r="GIJ15" s="122"/>
      <c r="GIK15" s="122"/>
      <c r="GIL15" s="122"/>
      <c r="GIM15" s="122"/>
      <c r="GIN15" s="122"/>
      <c r="GIO15" s="122"/>
      <c r="GIP15" s="122"/>
      <c r="GIQ15" s="122"/>
      <c r="GIR15" s="122"/>
      <c r="GIS15" s="122"/>
      <c r="GIT15" s="122"/>
      <c r="GIU15" s="122"/>
      <c r="GIV15" s="122"/>
      <c r="GIW15" s="122"/>
      <c r="GIX15" s="122"/>
      <c r="GIY15" s="122"/>
      <c r="GIZ15" s="122"/>
      <c r="GJA15" s="122"/>
      <c r="GJB15" s="122"/>
      <c r="GJC15" s="122"/>
      <c r="GJD15" s="122"/>
      <c r="GJE15" s="122"/>
      <c r="GJF15" s="122"/>
      <c r="GJG15" s="122"/>
      <c r="GJH15" s="122"/>
      <c r="GJI15" s="122"/>
      <c r="GJJ15" s="122"/>
      <c r="GJK15" s="122"/>
      <c r="GJL15" s="122"/>
      <c r="GJM15" s="122"/>
      <c r="GJN15" s="122"/>
      <c r="GJO15" s="122"/>
      <c r="GJP15" s="122"/>
      <c r="GJQ15" s="122"/>
      <c r="GJR15" s="122"/>
      <c r="GJS15" s="122"/>
      <c r="GJT15" s="122"/>
      <c r="GJU15" s="122"/>
      <c r="GJV15" s="122"/>
      <c r="GJW15" s="122"/>
      <c r="GJX15" s="122"/>
      <c r="GJY15" s="122"/>
      <c r="GJZ15" s="122"/>
      <c r="GKA15" s="122"/>
      <c r="GKB15" s="122"/>
      <c r="GKC15" s="122"/>
      <c r="GKD15" s="122"/>
      <c r="GKE15" s="122"/>
      <c r="GKF15" s="122"/>
      <c r="GKG15" s="122"/>
      <c r="GKH15" s="122"/>
      <c r="GKI15" s="122"/>
      <c r="GKJ15" s="122"/>
      <c r="GKK15" s="122"/>
      <c r="GKL15" s="122"/>
      <c r="GKM15" s="122"/>
      <c r="GKN15" s="122"/>
      <c r="GKO15" s="122"/>
      <c r="GKP15" s="122"/>
      <c r="GKQ15" s="122"/>
      <c r="GKR15" s="122"/>
      <c r="GKS15" s="122"/>
      <c r="GKT15" s="122"/>
      <c r="GKU15" s="122"/>
      <c r="GKV15" s="122"/>
      <c r="GKW15" s="122"/>
      <c r="GKX15" s="122"/>
      <c r="GKY15" s="122"/>
      <c r="GKZ15" s="122"/>
      <c r="GLA15" s="122"/>
      <c r="GLB15" s="122"/>
      <c r="GLC15" s="122"/>
      <c r="GLD15" s="122"/>
      <c r="GLE15" s="122"/>
      <c r="GLF15" s="122"/>
      <c r="GLG15" s="122"/>
      <c r="GLH15" s="122"/>
      <c r="GLI15" s="122"/>
      <c r="GLJ15" s="122"/>
      <c r="GLK15" s="122"/>
      <c r="GLL15" s="122"/>
      <c r="GLM15" s="122"/>
      <c r="GLN15" s="122"/>
      <c r="GLO15" s="122"/>
      <c r="GLP15" s="122"/>
      <c r="GLQ15" s="122"/>
      <c r="GLR15" s="122"/>
      <c r="GLS15" s="122"/>
      <c r="GLT15" s="122"/>
      <c r="GLU15" s="122"/>
      <c r="GLV15" s="122"/>
      <c r="GLW15" s="122"/>
      <c r="GLX15" s="122"/>
      <c r="GLY15" s="122"/>
      <c r="GLZ15" s="122"/>
      <c r="GMA15" s="122"/>
      <c r="GMB15" s="122"/>
      <c r="GMC15" s="122"/>
      <c r="GMD15" s="122"/>
      <c r="GME15" s="122"/>
      <c r="GMF15" s="122"/>
      <c r="GMG15" s="122"/>
      <c r="GMH15" s="122"/>
      <c r="GMI15" s="122"/>
      <c r="GMJ15" s="122"/>
      <c r="GMK15" s="122"/>
      <c r="GML15" s="122"/>
      <c r="GMM15" s="122"/>
      <c r="GMN15" s="122"/>
      <c r="GMO15" s="122"/>
      <c r="GMP15" s="122"/>
      <c r="GMQ15" s="122"/>
      <c r="GMR15" s="122"/>
      <c r="GMS15" s="122"/>
      <c r="GMT15" s="122"/>
      <c r="GMU15" s="122"/>
      <c r="GMV15" s="122"/>
      <c r="GMW15" s="122"/>
      <c r="GMX15" s="122"/>
      <c r="GMY15" s="122"/>
      <c r="GMZ15" s="122"/>
      <c r="GNA15" s="122"/>
      <c r="GNB15" s="122"/>
      <c r="GNC15" s="122"/>
      <c r="GND15" s="122"/>
      <c r="GNE15" s="122"/>
      <c r="GNF15" s="122"/>
      <c r="GNG15" s="122"/>
      <c r="GNH15" s="122"/>
      <c r="GNI15" s="122"/>
      <c r="GNJ15" s="122"/>
      <c r="GNK15" s="122"/>
      <c r="GNL15" s="122"/>
      <c r="GNM15" s="122"/>
      <c r="GNN15" s="122"/>
      <c r="GNO15" s="122"/>
      <c r="GNP15" s="122"/>
      <c r="GNQ15" s="122"/>
      <c r="GNR15" s="122"/>
      <c r="GNS15" s="122"/>
      <c r="GNT15" s="122"/>
      <c r="GNU15" s="122"/>
      <c r="GNV15" s="122"/>
      <c r="GNW15" s="122"/>
      <c r="GNX15" s="122"/>
      <c r="GNY15" s="122"/>
      <c r="GNZ15" s="122"/>
      <c r="GOA15" s="122"/>
      <c r="GOB15" s="122"/>
      <c r="GOC15" s="122"/>
      <c r="GOD15" s="122"/>
      <c r="GOE15" s="122"/>
      <c r="GOF15" s="122"/>
      <c r="GOG15" s="122"/>
      <c r="GOH15" s="122"/>
      <c r="GOI15" s="122"/>
      <c r="GOJ15" s="122"/>
      <c r="GOK15" s="122"/>
      <c r="GOL15" s="122"/>
      <c r="GOM15" s="122"/>
      <c r="GON15" s="122"/>
      <c r="GOO15" s="122"/>
      <c r="GOP15" s="122"/>
      <c r="GOQ15" s="122"/>
      <c r="GOR15" s="122"/>
      <c r="GOS15" s="122"/>
      <c r="GOT15" s="122"/>
      <c r="GOU15" s="122"/>
      <c r="GOV15" s="122"/>
      <c r="GOW15" s="122"/>
      <c r="GOX15" s="122"/>
      <c r="GOY15" s="122"/>
      <c r="GOZ15" s="122"/>
      <c r="GPA15" s="122"/>
      <c r="GPB15" s="122"/>
      <c r="GPC15" s="122"/>
      <c r="GPD15" s="122"/>
      <c r="GPE15" s="122"/>
      <c r="GPF15" s="122"/>
      <c r="GPG15" s="122"/>
      <c r="GPH15" s="122"/>
      <c r="GPI15" s="122"/>
      <c r="GPJ15" s="122"/>
      <c r="GPK15" s="122"/>
      <c r="GPL15" s="122"/>
      <c r="GPM15" s="122"/>
      <c r="GPN15" s="122"/>
      <c r="GPO15" s="122"/>
      <c r="GPP15" s="122"/>
      <c r="GPQ15" s="122"/>
      <c r="GPR15" s="122"/>
      <c r="GPS15" s="122"/>
      <c r="GPT15" s="122"/>
      <c r="GPU15" s="122"/>
      <c r="GPV15" s="122"/>
      <c r="GPW15" s="122"/>
      <c r="GPX15" s="122"/>
      <c r="GPY15" s="122"/>
      <c r="GPZ15" s="122"/>
      <c r="GQA15" s="122"/>
      <c r="GQB15" s="122"/>
      <c r="GQC15" s="122"/>
      <c r="GQD15" s="122"/>
      <c r="GQE15" s="122"/>
      <c r="GQF15" s="122"/>
      <c r="GQG15" s="122"/>
      <c r="GQH15" s="122"/>
      <c r="GQI15" s="122"/>
      <c r="GQJ15" s="122"/>
      <c r="GQK15" s="122"/>
      <c r="GQL15" s="122"/>
      <c r="GQM15" s="122"/>
      <c r="GQN15" s="122"/>
      <c r="GQO15" s="122"/>
      <c r="GQP15" s="122"/>
      <c r="GQQ15" s="122"/>
      <c r="GQR15" s="122"/>
      <c r="GQS15" s="122"/>
      <c r="GQT15" s="122"/>
      <c r="GQU15" s="122"/>
      <c r="GQV15" s="122"/>
      <c r="GQW15" s="122"/>
      <c r="GQX15" s="122"/>
      <c r="GQY15" s="122"/>
      <c r="GQZ15" s="122"/>
      <c r="GRA15" s="122"/>
      <c r="GRB15" s="122"/>
      <c r="GRC15" s="122"/>
      <c r="GRD15" s="122"/>
      <c r="GRE15" s="122"/>
      <c r="GRF15" s="122"/>
      <c r="GRG15" s="122"/>
      <c r="GRH15" s="122"/>
      <c r="GRI15" s="122"/>
      <c r="GRJ15" s="122"/>
      <c r="GRK15" s="122"/>
      <c r="GRL15" s="122"/>
      <c r="GRM15" s="122"/>
      <c r="GRN15" s="122"/>
      <c r="GRO15" s="122"/>
      <c r="GRP15" s="122"/>
      <c r="GRQ15" s="122"/>
      <c r="GRR15" s="122"/>
      <c r="GRS15" s="122"/>
      <c r="GRT15" s="122"/>
      <c r="GRU15" s="122"/>
      <c r="GRV15" s="122"/>
      <c r="GRW15" s="122"/>
      <c r="GRX15" s="122"/>
      <c r="GRY15" s="122"/>
      <c r="GRZ15" s="122"/>
      <c r="GSA15" s="122"/>
      <c r="GSB15" s="122"/>
      <c r="GSC15" s="122"/>
      <c r="GSD15" s="122"/>
      <c r="GSE15" s="122"/>
      <c r="GSF15" s="122"/>
      <c r="GSG15" s="122"/>
      <c r="GSH15" s="122"/>
      <c r="GSI15" s="122"/>
      <c r="GSJ15" s="122"/>
      <c r="GSK15" s="122"/>
      <c r="GSL15" s="122"/>
      <c r="GSM15" s="122"/>
      <c r="GSN15" s="122"/>
      <c r="GSO15" s="122"/>
      <c r="GSP15" s="122"/>
      <c r="GSQ15" s="122"/>
      <c r="GSR15" s="122"/>
      <c r="GSS15" s="122"/>
      <c r="GST15" s="122"/>
      <c r="GSU15" s="122"/>
      <c r="GSV15" s="122"/>
      <c r="GSW15" s="122"/>
      <c r="GSX15" s="122"/>
      <c r="GSY15" s="122"/>
      <c r="GSZ15" s="122"/>
      <c r="GTA15" s="122"/>
      <c r="GTB15" s="122"/>
      <c r="GTC15" s="122"/>
      <c r="GTD15" s="122"/>
      <c r="GTE15" s="122"/>
      <c r="GTF15" s="122"/>
      <c r="GTG15" s="122"/>
      <c r="GTH15" s="122"/>
      <c r="GTI15" s="122"/>
      <c r="GTJ15" s="122"/>
      <c r="GTK15" s="122"/>
      <c r="GTL15" s="122"/>
      <c r="GTM15" s="122"/>
      <c r="GTN15" s="122"/>
      <c r="GTO15" s="122"/>
      <c r="GTP15" s="122"/>
      <c r="GTQ15" s="122"/>
      <c r="GTR15" s="122"/>
      <c r="GTS15" s="122"/>
      <c r="GTT15" s="122"/>
      <c r="GTU15" s="122"/>
      <c r="GTV15" s="122"/>
      <c r="GTW15" s="122"/>
      <c r="GTX15" s="122"/>
      <c r="GTY15" s="122"/>
      <c r="GTZ15" s="122"/>
      <c r="GUA15" s="122"/>
      <c r="GUB15" s="122"/>
      <c r="GUC15" s="122"/>
      <c r="GUD15" s="122"/>
      <c r="GUE15" s="122"/>
      <c r="GUF15" s="122"/>
      <c r="GUG15" s="122"/>
      <c r="GUH15" s="122"/>
      <c r="GUI15" s="122"/>
      <c r="GUJ15" s="122"/>
      <c r="GUK15" s="122"/>
      <c r="GUL15" s="122"/>
      <c r="GUM15" s="122"/>
      <c r="GUN15" s="122"/>
      <c r="GUO15" s="122"/>
      <c r="GUP15" s="122"/>
      <c r="GUQ15" s="122"/>
      <c r="GUR15" s="122"/>
      <c r="GUS15" s="122"/>
      <c r="GUT15" s="122"/>
      <c r="GUU15" s="122"/>
      <c r="GUV15" s="122"/>
      <c r="GUW15" s="122"/>
      <c r="GUX15" s="122"/>
      <c r="GUY15" s="122"/>
      <c r="GUZ15" s="122"/>
      <c r="GVA15" s="122"/>
      <c r="GVB15" s="122"/>
      <c r="GVC15" s="122"/>
      <c r="GVD15" s="122"/>
      <c r="GVE15" s="122"/>
      <c r="GVF15" s="122"/>
      <c r="GVG15" s="122"/>
      <c r="GVH15" s="122"/>
      <c r="GVI15" s="122"/>
      <c r="GVJ15" s="122"/>
      <c r="GVK15" s="122"/>
      <c r="GVL15" s="122"/>
      <c r="GVM15" s="122"/>
      <c r="GVN15" s="122"/>
      <c r="GVO15" s="122"/>
      <c r="GVP15" s="122"/>
      <c r="GVQ15" s="122"/>
      <c r="GVR15" s="122"/>
      <c r="GVS15" s="122"/>
      <c r="GVT15" s="122"/>
      <c r="GVU15" s="122"/>
      <c r="GVV15" s="122"/>
      <c r="GVW15" s="122"/>
      <c r="GVX15" s="122"/>
      <c r="GVY15" s="122"/>
      <c r="GVZ15" s="122"/>
      <c r="GWA15" s="122"/>
      <c r="GWB15" s="122"/>
      <c r="GWC15" s="122"/>
      <c r="GWD15" s="122"/>
      <c r="GWE15" s="122"/>
      <c r="GWF15" s="122"/>
      <c r="GWG15" s="122"/>
      <c r="GWH15" s="122"/>
      <c r="GWI15" s="122"/>
      <c r="GWJ15" s="122"/>
      <c r="GWK15" s="122"/>
      <c r="GWL15" s="122"/>
      <c r="GWM15" s="122"/>
      <c r="GWN15" s="122"/>
      <c r="GWO15" s="122"/>
      <c r="GWP15" s="122"/>
      <c r="GWQ15" s="122"/>
      <c r="GWR15" s="122"/>
      <c r="GWS15" s="122"/>
      <c r="GWT15" s="122"/>
      <c r="GWU15" s="122"/>
      <c r="GWV15" s="122"/>
      <c r="GWW15" s="122"/>
      <c r="GWX15" s="122"/>
      <c r="GWY15" s="122"/>
      <c r="GWZ15" s="122"/>
      <c r="GXA15" s="122"/>
      <c r="GXB15" s="122"/>
      <c r="GXC15" s="122"/>
      <c r="GXD15" s="122"/>
      <c r="GXE15" s="122"/>
      <c r="GXF15" s="122"/>
      <c r="GXG15" s="122"/>
      <c r="GXH15" s="122"/>
      <c r="GXI15" s="122"/>
      <c r="GXJ15" s="122"/>
      <c r="GXK15" s="122"/>
      <c r="GXL15" s="122"/>
      <c r="GXM15" s="122"/>
      <c r="GXN15" s="122"/>
      <c r="GXO15" s="122"/>
      <c r="GXP15" s="122"/>
      <c r="GXQ15" s="122"/>
      <c r="GXR15" s="122"/>
      <c r="GXS15" s="122"/>
      <c r="GXT15" s="122"/>
      <c r="GXU15" s="122"/>
      <c r="GXV15" s="122"/>
      <c r="GXW15" s="122"/>
      <c r="GXX15" s="122"/>
      <c r="GXY15" s="122"/>
      <c r="GXZ15" s="122"/>
      <c r="GYA15" s="122"/>
      <c r="GYB15" s="122"/>
      <c r="GYC15" s="122"/>
      <c r="GYD15" s="122"/>
      <c r="GYE15" s="122"/>
      <c r="GYF15" s="122"/>
      <c r="GYG15" s="122"/>
      <c r="GYH15" s="122"/>
      <c r="GYI15" s="122"/>
      <c r="GYJ15" s="122"/>
      <c r="GYK15" s="122"/>
      <c r="GYL15" s="122"/>
      <c r="GYM15" s="122"/>
      <c r="GYN15" s="122"/>
      <c r="GYO15" s="122"/>
      <c r="GYP15" s="122"/>
      <c r="GYQ15" s="122"/>
      <c r="GYR15" s="122"/>
      <c r="GYS15" s="122"/>
      <c r="GYT15" s="122"/>
      <c r="GYU15" s="122"/>
      <c r="GYV15" s="122"/>
      <c r="GYW15" s="122"/>
      <c r="GYX15" s="122"/>
      <c r="GYY15" s="122"/>
      <c r="GYZ15" s="122"/>
      <c r="GZA15" s="122"/>
      <c r="GZB15" s="122"/>
      <c r="GZC15" s="122"/>
      <c r="GZD15" s="122"/>
      <c r="GZE15" s="122"/>
      <c r="GZF15" s="122"/>
      <c r="GZG15" s="122"/>
      <c r="GZH15" s="122"/>
      <c r="GZI15" s="122"/>
      <c r="GZJ15" s="122"/>
      <c r="GZK15" s="122"/>
      <c r="GZL15" s="122"/>
      <c r="GZM15" s="122"/>
      <c r="GZN15" s="122"/>
      <c r="GZO15" s="122"/>
      <c r="GZP15" s="122"/>
      <c r="GZQ15" s="122"/>
      <c r="GZR15" s="122"/>
      <c r="GZS15" s="122"/>
      <c r="GZT15" s="122"/>
      <c r="GZU15" s="122"/>
      <c r="GZV15" s="122"/>
      <c r="GZW15" s="122"/>
      <c r="GZX15" s="122"/>
      <c r="GZY15" s="122"/>
      <c r="GZZ15" s="122"/>
      <c r="HAA15" s="122"/>
      <c r="HAB15" s="122"/>
      <c r="HAC15" s="122"/>
      <c r="HAD15" s="122"/>
      <c r="HAE15" s="122"/>
      <c r="HAF15" s="122"/>
      <c r="HAG15" s="122"/>
      <c r="HAH15" s="122"/>
      <c r="HAI15" s="122"/>
      <c r="HAJ15" s="122"/>
      <c r="HAK15" s="122"/>
      <c r="HAL15" s="122"/>
      <c r="HAM15" s="122"/>
      <c r="HAN15" s="122"/>
      <c r="HAO15" s="122"/>
      <c r="HAP15" s="122"/>
      <c r="HAQ15" s="122"/>
      <c r="HAR15" s="122"/>
      <c r="HAS15" s="122"/>
      <c r="HAT15" s="122"/>
      <c r="HAU15" s="122"/>
      <c r="HAV15" s="122"/>
      <c r="HAW15" s="122"/>
      <c r="HAX15" s="122"/>
      <c r="HAY15" s="122"/>
      <c r="HAZ15" s="122"/>
      <c r="HBA15" s="122"/>
      <c r="HBB15" s="122"/>
      <c r="HBC15" s="122"/>
      <c r="HBD15" s="122"/>
      <c r="HBE15" s="122"/>
      <c r="HBF15" s="122"/>
      <c r="HBG15" s="122"/>
      <c r="HBH15" s="122"/>
      <c r="HBI15" s="122"/>
      <c r="HBJ15" s="122"/>
      <c r="HBK15" s="122"/>
      <c r="HBL15" s="122"/>
      <c r="HBM15" s="122"/>
      <c r="HBN15" s="122"/>
      <c r="HBO15" s="122"/>
      <c r="HBP15" s="122"/>
      <c r="HBQ15" s="122"/>
      <c r="HBR15" s="122"/>
      <c r="HBS15" s="122"/>
      <c r="HBT15" s="122"/>
      <c r="HBU15" s="122"/>
      <c r="HBV15" s="122"/>
      <c r="HBW15" s="122"/>
      <c r="HBX15" s="122"/>
      <c r="HBY15" s="122"/>
      <c r="HBZ15" s="122"/>
      <c r="HCA15" s="122"/>
      <c r="HCB15" s="122"/>
      <c r="HCC15" s="122"/>
      <c r="HCD15" s="122"/>
      <c r="HCE15" s="122"/>
      <c r="HCF15" s="122"/>
      <c r="HCG15" s="122"/>
      <c r="HCH15" s="122"/>
      <c r="HCI15" s="122"/>
      <c r="HCJ15" s="122"/>
      <c r="HCK15" s="122"/>
      <c r="HCL15" s="122"/>
      <c r="HCM15" s="122"/>
      <c r="HCN15" s="122"/>
      <c r="HCO15" s="122"/>
      <c r="HCP15" s="122"/>
      <c r="HCQ15" s="122"/>
      <c r="HCR15" s="122"/>
      <c r="HCS15" s="122"/>
      <c r="HCT15" s="122"/>
      <c r="HCU15" s="122"/>
      <c r="HCV15" s="122"/>
      <c r="HCW15" s="122"/>
      <c r="HCX15" s="122"/>
      <c r="HCY15" s="122"/>
      <c r="HCZ15" s="122"/>
      <c r="HDA15" s="122"/>
      <c r="HDB15" s="122"/>
      <c r="HDC15" s="122"/>
      <c r="HDD15" s="122"/>
      <c r="HDE15" s="122"/>
      <c r="HDF15" s="122"/>
      <c r="HDG15" s="122"/>
      <c r="HDH15" s="122"/>
      <c r="HDI15" s="122"/>
      <c r="HDJ15" s="122"/>
      <c r="HDK15" s="122"/>
      <c r="HDL15" s="122"/>
      <c r="HDM15" s="122"/>
      <c r="HDN15" s="122"/>
      <c r="HDO15" s="122"/>
      <c r="HDP15" s="122"/>
      <c r="HDQ15" s="122"/>
      <c r="HDR15" s="122"/>
      <c r="HDS15" s="122"/>
      <c r="HDT15" s="122"/>
      <c r="HDU15" s="122"/>
      <c r="HDV15" s="122"/>
      <c r="HDW15" s="122"/>
      <c r="HDX15" s="122"/>
      <c r="HDY15" s="122"/>
      <c r="HDZ15" s="122"/>
      <c r="HEA15" s="122"/>
      <c r="HEB15" s="122"/>
      <c r="HEC15" s="122"/>
      <c r="HED15" s="122"/>
      <c r="HEE15" s="122"/>
      <c r="HEF15" s="122"/>
      <c r="HEG15" s="122"/>
      <c r="HEH15" s="122"/>
      <c r="HEI15" s="122"/>
      <c r="HEJ15" s="122"/>
      <c r="HEK15" s="122"/>
      <c r="HEL15" s="122"/>
      <c r="HEM15" s="122"/>
      <c r="HEN15" s="122"/>
      <c r="HEO15" s="122"/>
      <c r="HEP15" s="122"/>
      <c r="HEQ15" s="122"/>
      <c r="HER15" s="122"/>
      <c r="HES15" s="122"/>
      <c r="HET15" s="122"/>
      <c r="HEU15" s="122"/>
      <c r="HEV15" s="122"/>
      <c r="HEW15" s="122"/>
      <c r="HEX15" s="122"/>
      <c r="HEY15" s="122"/>
      <c r="HEZ15" s="122"/>
      <c r="HFA15" s="122"/>
      <c r="HFB15" s="122"/>
      <c r="HFC15" s="122"/>
      <c r="HFD15" s="122"/>
      <c r="HFE15" s="122"/>
      <c r="HFF15" s="122"/>
      <c r="HFG15" s="122"/>
      <c r="HFH15" s="122"/>
      <c r="HFI15" s="122"/>
      <c r="HFJ15" s="122"/>
      <c r="HFK15" s="122"/>
      <c r="HFL15" s="122"/>
      <c r="HFM15" s="122"/>
      <c r="HFN15" s="122"/>
      <c r="HFO15" s="122"/>
      <c r="HFP15" s="122"/>
      <c r="HFQ15" s="122"/>
      <c r="HFR15" s="122"/>
      <c r="HFS15" s="122"/>
      <c r="HFT15" s="122"/>
      <c r="HFU15" s="122"/>
      <c r="HFV15" s="122"/>
      <c r="HFW15" s="122"/>
      <c r="HFX15" s="122"/>
      <c r="HFY15" s="122"/>
      <c r="HFZ15" s="122"/>
      <c r="HGA15" s="122"/>
      <c r="HGB15" s="122"/>
      <c r="HGC15" s="122"/>
      <c r="HGD15" s="122"/>
      <c r="HGE15" s="122"/>
      <c r="HGF15" s="122"/>
      <c r="HGG15" s="122"/>
      <c r="HGH15" s="122"/>
      <c r="HGI15" s="122"/>
      <c r="HGJ15" s="122"/>
      <c r="HGK15" s="122"/>
      <c r="HGL15" s="122"/>
      <c r="HGM15" s="122"/>
      <c r="HGN15" s="122"/>
      <c r="HGO15" s="122"/>
      <c r="HGP15" s="122"/>
      <c r="HGQ15" s="122"/>
      <c r="HGR15" s="122"/>
      <c r="HGS15" s="122"/>
      <c r="HGT15" s="122"/>
      <c r="HGU15" s="122"/>
      <c r="HGV15" s="122"/>
      <c r="HGW15" s="122"/>
      <c r="HGX15" s="122"/>
      <c r="HGY15" s="122"/>
      <c r="HGZ15" s="122"/>
      <c r="HHA15" s="122"/>
      <c r="HHB15" s="122"/>
      <c r="HHC15" s="122"/>
      <c r="HHD15" s="122"/>
      <c r="HHE15" s="122"/>
      <c r="HHF15" s="122"/>
      <c r="HHG15" s="122"/>
      <c r="HHH15" s="122"/>
      <c r="HHI15" s="122"/>
      <c r="HHJ15" s="122"/>
      <c r="HHK15" s="122"/>
      <c r="HHL15" s="122"/>
      <c r="HHM15" s="122"/>
      <c r="HHN15" s="122"/>
      <c r="HHO15" s="122"/>
      <c r="HHP15" s="122"/>
      <c r="HHQ15" s="122"/>
      <c r="HHR15" s="122"/>
      <c r="HHS15" s="122"/>
      <c r="HHT15" s="122"/>
      <c r="HHU15" s="122"/>
      <c r="HHV15" s="122"/>
      <c r="HHW15" s="122"/>
      <c r="HHX15" s="122"/>
      <c r="HHY15" s="122"/>
      <c r="HHZ15" s="122"/>
      <c r="HIA15" s="122"/>
      <c r="HIB15" s="122"/>
      <c r="HIC15" s="122"/>
      <c r="HID15" s="122"/>
      <c r="HIE15" s="122"/>
      <c r="HIF15" s="122"/>
      <c r="HIG15" s="122"/>
      <c r="HIH15" s="122"/>
      <c r="HII15" s="122"/>
      <c r="HIJ15" s="122"/>
      <c r="HIK15" s="122"/>
      <c r="HIL15" s="122"/>
      <c r="HIM15" s="122"/>
      <c r="HIN15" s="122"/>
      <c r="HIO15" s="122"/>
      <c r="HIP15" s="122"/>
      <c r="HIQ15" s="122"/>
      <c r="HIR15" s="122"/>
      <c r="HIS15" s="122"/>
      <c r="HIT15" s="122"/>
      <c r="HIU15" s="122"/>
      <c r="HIV15" s="122"/>
      <c r="HIW15" s="122"/>
      <c r="HIX15" s="122"/>
      <c r="HIY15" s="122"/>
      <c r="HIZ15" s="122"/>
      <c r="HJA15" s="122"/>
      <c r="HJB15" s="122"/>
      <c r="HJC15" s="122"/>
      <c r="HJD15" s="122"/>
      <c r="HJE15" s="122"/>
      <c r="HJF15" s="122"/>
      <c r="HJG15" s="122"/>
      <c r="HJH15" s="122"/>
      <c r="HJI15" s="122"/>
      <c r="HJJ15" s="122"/>
      <c r="HJK15" s="122"/>
      <c r="HJL15" s="122"/>
      <c r="HJM15" s="122"/>
      <c r="HJN15" s="122"/>
      <c r="HJO15" s="122"/>
      <c r="HJP15" s="122"/>
      <c r="HJQ15" s="122"/>
      <c r="HJR15" s="122"/>
      <c r="HJS15" s="122"/>
      <c r="HJT15" s="122"/>
      <c r="HJU15" s="122"/>
      <c r="HJV15" s="122"/>
      <c r="HJW15" s="122"/>
      <c r="HJX15" s="122"/>
      <c r="HJY15" s="122"/>
      <c r="HJZ15" s="122"/>
      <c r="HKA15" s="122"/>
      <c r="HKB15" s="122"/>
      <c r="HKC15" s="122"/>
      <c r="HKD15" s="122"/>
      <c r="HKE15" s="122"/>
      <c r="HKF15" s="122"/>
      <c r="HKG15" s="122"/>
      <c r="HKH15" s="122"/>
      <c r="HKI15" s="122"/>
      <c r="HKJ15" s="122"/>
      <c r="HKK15" s="122"/>
      <c r="HKL15" s="122"/>
      <c r="HKM15" s="122"/>
      <c r="HKN15" s="122"/>
      <c r="HKO15" s="122"/>
      <c r="HKP15" s="122"/>
      <c r="HKQ15" s="122"/>
      <c r="HKR15" s="122"/>
      <c r="HKS15" s="122"/>
      <c r="HKT15" s="122"/>
      <c r="HKU15" s="122"/>
      <c r="HKV15" s="122"/>
      <c r="HKW15" s="122"/>
      <c r="HKX15" s="122"/>
      <c r="HKY15" s="122"/>
      <c r="HKZ15" s="122"/>
      <c r="HLA15" s="122"/>
      <c r="HLB15" s="122"/>
      <c r="HLC15" s="122"/>
      <c r="HLD15" s="122"/>
      <c r="HLE15" s="122"/>
      <c r="HLF15" s="122"/>
      <c r="HLG15" s="122"/>
      <c r="HLH15" s="122"/>
      <c r="HLI15" s="122"/>
      <c r="HLJ15" s="122"/>
      <c r="HLK15" s="122"/>
      <c r="HLL15" s="122"/>
      <c r="HLM15" s="122"/>
      <c r="HLN15" s="122"/>
      <c r="HLO15" s="122"/>
      <c r="HLP15" s="122"/>
      <c r="HLQ15" s="122"/>
      <c r="HLR15" s="122"/>
      <c r="HLS15" s="122"/>
      <c r="HLT15" s="122"/>
      <c r="HLU15" s="122"/>
      <c r="HLV15" s="122"/>
      <c r="HLW15" s="122"/>
      <c r="HLX15" s="122"/>
      <c r="HLY15" s="122"/>
      <c r="HLZ15" s="122"/>
      <c r="HMA15" s="122"/>
      <c r="HMB15" s="122"/>
      <c r="HMC15" s="122"/>
      <c r="HMD15" s="122"/>
      <c r="HME15" s="122"/>
      <c r="HMF15" s="122"/>
      <c r="HMG15" s="122"/>
      <c r="HMH15" s="122"/>
      <c r="HMI15" s="122"/>
      <c r="HMJ15" s="122"/>
      <c r="HMK15" s="122"/>
      <c r="HML15" s="122"/>
      <c r="HMM15" s="122"/>
      <c r="HMN15" s="122"/>
      <c r="HMO15" s="122"/>
      <c r="HMP15" s="122"/>
      <c r="HMQ15" s="122"/>
      <c r="HMR15" s="122"/>
      <c r="HMS15" s="122"/>
      <c r="HMT15" s="122"/>
      <c r="HMU15" s="122"/>
      <c r="HMV15" s="122"/>
      <c r="HMW15" s="122"/>
      <c r="HMX15" s="122"/>
      <c r="HMY15" s="122"/>
      <c r="HMZ15" s="122"/>
      <c r="HNA15" s="122"/>
      <c r="HNB15" s="122"/>
      <c r="HNC15" s="122"/>
      <c r="HND15" s="122"/>
      <c r="HNE15" s="122"/>
      <c r="HNF15" s="122"/>
      <c r="HNG15" s="122"/>
      <c r="HNH15" s="122"/>
      <c r="HNI15" s="122"/>
      <c r="HNJ15" s="122"/>
      <c r="HNK15" s="122"/>
      <c r="HNL15" s="122"/>
      <c r="HNM15" s="122"/>
      <c r="HNN15" s="122"/>
      <c r="HNO15" s="122"/>
      <c r="HNP15" s="122"/>
      <c r="HNQ15" s="122"/>
      <c r="HNR15" s="122"/>
      <c r="HNS15" s="122"/>
      <c r="HNT15" s="122"/>
      <c r="HNU15" s="122"/>
      <c r="HNV15" s="122"/>
      <c r="HNW15" s="122"/>
      <c r="HNX15" s="122"/>
      <c r="HNY15" s="122"/>
      <c r="HNZ15" s="122"/>
      <c r="HOA15" s="122"/>
      <c r="HOB15" s="122"/>
      <c r="HOC15" s="122"/>
      <c r="HOD15" s="122"/>
      <c r="HOE15" s="122"/>
      <c r="HOF15" s="122"/>
      <c r="HOG15" s="122"/>
      <c r="HOH15" s="122"/>
      <c r="HOI15" s="122"/>
      <c r="HOJ15" s="122"/>
      <c r="HOK15" s="122"/>
      <c r="HOL15" s="122"/>
      <c r="HOM15" s="122"/>
      <c r="HON15" s="122"/>
      <c r="HOO15" s="122"/>
      <c r="HOP15" s="122"/>
      <c r="HOQ15" s="122"/>
      <c r="HOR15" s="122"/>
      <c r="HOS15" s="122"/>
      <c r="HOT15" s="122"/>
      <c r="HOU15" s="122"/>
      <c r="HOV15" s="122"/>
      <c r="HOW15" s="122"/>
      <c r="HOX15" s="122"/>
      <c r="HOY15" s="122"/>
      <c r="HOZ15" s="122"/>
      <c r="HPA15" s="122"/>
      <c r="HPB15" s="122"/>
      <c r="HPC15" s="122"/>
      <c r="HPD15" s="122"/>
      <c r="HPE15" s="122"/>
      <c r="HPF15" s="122"/>
      <c r="HPG15" s="122"/>
      <c r="HPH15" s="122"/>
      <c r="HPI15" s="122"/>
      <c r="HPJ15" s="122"/>
      <c r="HPK15" s="122"/>
      <c r="HPL15" s="122"/>
      <c r="HPM15" s="122"/>
      <c r="HPN15" s="122"/>
      <c r="HPO15" s="122"/>
      <c r="HPP15" s="122"/>
      <c r="HPQ15" s="122"/>
      <c r="HPR15" s="122"/>
      <c r="HPS15" s="122"/>
      <c r="HPT15" s="122"/>
      <c r="HPU15" s="122"/>
      <c r="HPV15" s="122"/>
      <c r="HPW15" s="122"/>
      <c r="HPX15" s="122"/>
      <c r="HPY15" s="122"/>
      <c r="HPZ15" s="122"/>
      <c r="HQA15" s="122"/>
      <c r="HQB15" s="122"/>
      <c r="HQC15" s="122"/>
      <c r="HQD15" s="122"/>
      <c r="HQE15" s="122"/>
      <c r="HQF15" s="122"/>
      <c r="HQG15" s="122"/>
      <c r="HQH15" s="122"/>
      <c r="HQI15" s="122"/>
      <c r="HQJ15" s="122"/>
      <c r="HQK15" s="122"/>
      <c r="HQL15" s="122"/>
      <c r="HQM15" s="122"/>
      <c r="HQN15" s="122"/>
      <c r="HQO15" s="122"/>
      <c r="HQP15" s="122"/>
      <c r="HQQ15" s="122"/>
      <c r="HQR15" s="122"/>
      <c r="HQS15" s="122"/>
      <c r="HQT15" s="122"/>
      <c r="HQU15" s="122"/>
      <c r="HQV15" s="122"/>
      <c r="HQW15" s="122"/>
      <c r="HQX15" s="122"/>
      <c r="HQY15" s="122"/>
      <c r="HQZ15" s="122"/>
      <c r="HRA15" s="122"/>
      <c r="HRB15" s="122"/>
      <c r="HRC15" s="122"/>
      <c r="HRD15" s="122"/>
      <c r="HRE15" s="122"/>
      <c r="HRF15" s="122"/>
      <c r="HRG15" s="122"/>
      <c r="HRH15" s="122"/>
      <c r="HRI15" s="122"/>
      <c r="HRJ15" s="122"/>
      <c r="HRK15" s="122"/>
      <c r="HRL15" s="122"/>
      <c r="HRM15" s="122"/>
      <c r="HRN15" s="122"/>
      <c r="HRO15" s="122"/>
      <c r="HRP15" s="122"/>
      <c r="HRQ15" s="122"/>
      <c r="HRR15" s="122"/>
      <c r="HRS15" s="122"/>
      <c r="HRT15" s="122"/>
      <c r="HRU15" s="122"/>
      <c r="HRV15" s="122"/>
      <c r="HRW15" s="122"/>
      <c r="HRX15" s="122"/>
      <c r="HRY15" s="122"/>
      <c r="HRZ15" s="122"/>
      <c r="HSA15" s="122"/>
      <c r="HSB15" s="122"/>
      <c r="HSC15" s="122"/>
      <c r="HSD15" s="122"/>
      <c r="HSE15" s="122"/>
      <c r="HSF15" s="122"/>
      <c r="HSG15" s="122"/>
      <c r="HSH15" s="122"/>
      <c r="HSI15" s="122"/>
      <c r="HSJ15" s="122"/>
      <c r="HSK15" s="122"/>
      <c r="HSL15" s="122"/>
      <c r="HSM15" s="122"/>
      <c r="HSN15" s="122"/>
      <c r="HSO15" s="122"/>
      <c r="HSP15" s="122"/>
      <c r="HSQ15" s="122"/>
      <c r="HSR15" s="122"/>
      <c r="HSS15" s="122"/>
      <c r="HST15" s="122"/>
      <c r="HSU15" s="122"/>
      <c r="HSV15" s="122"/>
      <c r="HSW15" s="122"/>
      <c r="HSX15" s="122"/>
      <c r="HSY15" s="122"/>
      <c r="HSZ15" s="122"/>
      <c r="HTA15" s="122"/>
      <c r="HTB15" s="122"/>
      <c r="HTC15" s="122"/>
      <c r="HTD15" s="122"/>
      <c r="HTE15" s="122"/>
      <c r="HTF15" s="122"/>
      <c r="HTG15" s="122"/>
      <c r="HTH15" s="122"/>
      <c r="HTI15" s="122"/>
      <c r="HTJ15" s="122"/>
      <c r="HTK15" s="122"/>
      <c r="HTL15" s="122"/>
      <c r="HTM15" s="122"/>
      <c r="HTN15" s="122"/>
      <c r="HTO15" s="122"/>
      <c r="HTP15" s="122"/>
      <c r="HTQ15" s="122"/>
      <c r="HTR15" s="122"/>
      <c r="HTS15" s="122"/>
      <c r="HTT15" s="122"/>
      <c r="HTU15" s="122"/>
      <c r="HTV15" s="122"/>
      <c r="HTW15" s="122"/>
      <c r="HTX15" s="122"/>
      <c r="HTY15" s="122"/>
      <c r="HTZ15" s="122"/>
      <c r="HUA15" s="122"/>
      <c r="HUB15" s="122"/>
      <c r="HUC15" s="122"/>
      <c r="HUD15" s="122"/>
      <c r="HUE15" s="122"/>
      <c r="HUF15" s="122"/>
      <c r="HUG15" s="122"/>
      <c r="HUH15" s="122"/>
      <c r="HUI15" s="122"/>
      <c r="HUJ15" s="122"/>
      <c r="HUK15" s="122"/>
      <c r="HUL15" s="122"/>
      <c r="HUM15" s="122"/>
      <c r="HUN15" s="122"/>
      <c r="HUO15" s="122"/>
      <c r="HUP15" s="122"/>
      <c r="HUQ15" s="122"/>
      <c r="HUR15" s="122"/>
      <c r="HUS15" s="122"/>
      <c r="HUT15" s="122"/>
      <c r="HUU15" s="122"/>
      <c r="HUV15" s="122"/>
      <c r="HUW15" s="122"/>
      <c r="HUX15" s="122"/>
      <c r="HUY15" s="122"/>
      <c r="HUZ15" s="122"/>
      <c r="HVA15" s="122"/>
      <c r="HVB15" s="122"/>
      <c r="HVC15" s="122"/>
      <c r="HVD15" s="122"/>
      <c r="HVE15" s="122"/>
      <c r="HVF15" s="122"/>
      <c r="HVG15" s="122"/>
      <c r="HVH15" s="122"/>
      <c r="HVI15" s="122"/>
      <c r="HVJ15" s="122"/>
      <c r="HVK15" s="122"/>
      <c r="HVL15" s="122"/>
      <c r="HVM15" s="122"/>
      <c r="HVN15" s="122"/>
      <c r="HVO15" s="122"/>
      <c r="HVP15" s="122"/>
      <c r="HVQ15" s="122"/>
      <c r="HVR15" s="122"/>
      <c r="HVS15" s="122"/>
      <c r="HVT15" s="122"/>
      <c r="HVU15" s="122"/>
      <c r="HVV15" s="122"/>
      <c r="HVW15" s="122"/>
      <c r="HVX15" s="122"/>
      <c r="HVY15" s="122"/>
      <c r="HVZ15" s="122"/>
      <c r="HWA15" s="122"/>
      <c r="HWB15" s="122"/>
      <c r="HWC15" s="122"/>
      <c r="HWD15" s="122"/>
      <c r="HWE15" s="122"/>
      <c r="HWF15" s="122"/>
      <c r="HWG15" s="122"/>
      <c r="HWH15" s="122"/>
      <c r="HWI15" s="122"/>
      <c r="HWJ15" s="122"/>
      <c r="HWK15" s="122"/>
      <c r="HWL15" s="122"/>
      <c r="HWM15" s="122"/>
      <c r="HWN15" s="122"/>
      <c r="HWO15" s="122"/>
      <c r="HWP15" s="122"/>
      <c r="HWQ15" s="122"/>
      <c r="HWR15" s="122"/>
      <c r="HWS15" s="122"/>
      <c r="HWT15" s="122"/>
      <c r="HWU15" s="122"/>
      <c r="HWV15" s="122"/>
      <c r="HWW15" s="122"/>
      <c r="HWX15" s="122"/>
      <c r="HWY15" s="122"/>
      <c r="HWZ15" s="122"/>
      <c r="HXA15" s="122"/>
      <c r="HXB15" s="122"/>
      <c r="HXC15" s="122"/>
      <c r="HXD15" s="122"/>
      <c r="HXE15" s="122"/>
      <c r="HXF15" s="122"/>
      <c r="HXG15" s="122"/>
      <c r="HXH15" s="122"/>
      <c r="HXI15" s="122"/>
      <c r="HXJ15" s="122"/>
      <c r="HXK15" s="122"/>
      <c r="HXL15" s="122"/>
      <c r="HXM15" s="122"/>
      <c r="HXN15" s="122"/>
      <c r="HXO15" s="122"/>
      <c r="HXP15" s="122"/>
      <c r="HXQ15" s="122"/>
      <c r="HXR15" s="122"/>
      <c r="HXS15" s="122"/>
      <c r="HXT15" s="122"/>
      <c r="HXU15" s="122"/>
      <c r="HXV15" s="122"/>
      <c r="HXW15" s="122"/>
      <c r="HXX15" s="122"/>
      <c r="HXY15" s="122"/>
      <c r="HXZ15" s="122"/>
      <c r="HYA15" s="122"/>
      <c r="HYB15" s="122"/>
      <c r="HYC15" s="122"/>
      <c r="HYD15" s="122"/>
      <c r="HYE15" s="122"/>
      <c r="HYF15" s="122"/>
      <c r="HYG15" s="122"/>
      <c r="HYH15" s="122"/>
      <c r="HYI15" s="122"/>
      <c r="HYJ15" s="122"/>
      <c r="HYK15" s="122"/>
      <c r="HYL15" s="122"/>
      <c r="HYM15" s="122"/>
      <c r="HYN15" s="122"/>
      <c r="HYO15" s="122"/>
      <c r="HYP15" s="122"/>
      <c r="HYQ15" s="122"/>
      <c r="HYR15" s="122"/>
      <c r="HYS15" s="122"/>
      <c r="HYT15" s="122"/>
      <c r="HYU15" s="122"/>
      <c r="HYV15" s="122"/>
      <c r="HYW15" s="122"/>
      <c r="HYX15" s="122"/>
      <c r="HYY15" s="122"/>
      <c r="HYZ15" s="122"/>
      <c r="HZA15" s="122"/>
      <c r="HZB15" s="122"/>
      <c r="HZC15" s="122"/>
      <c r="HZD15" s="122"/>
      <c r="HZE15" s="122"/>
      <c r="HZF15" s="122"/>
      <c r="HZG15" s="122"/>
      <c r="HZH15" s="122"/>
      <c r="HZI15" s="122"/>
      <c r="HZJ15" s="122"/>
      <c r="HZK15" s="122"/>
      <c r="HZL15" s="122"/>
      <c r="HZM15" s="122"/>
      <c r="HZN15" s="122"/>
      <c r="HZO15" s="122"/>
      <c r="HZP15" s="122"/>
      <c r="HZQ15" s="122"/>
      <c r="HZR15" s="122"/>
      <c r="HZS15" s="122"/>
      <c r="HZT15" s="122"/>
      <c r="HZU15" s="122"/>
      <c r="HZV15" s="122"/>
      <c r="HZW15" s="122"/>
      <c r="HZX15" s="122"/>
      <c r="HZY15" s="122"/>
      <c r="HZZ15" s="122"/>
      <c r="IAA15" s="122"/>
      <c r="IAB15" s="122"/>
      <c r="IAC15" s="122"/>
      <c r="IAD15" s="122"/>
      <c r="IAE15" s="122"/>
      <c r="IAF15" s="122"/>
      <c r="IAG15" s="122"/>
      <c r="IAH15" s="122"/>
      <c r="IAI15" s="122"/>
      <c r="IAJ15" s="122"/>
      <c r="IAK15" s="122"/>
      <c r="IAL15" s="122"/>
      <c r="IAM15" s="122"/>
      <c r="IAN15" s="122"/>
      <c r="IAO15" s="122"/>
      <c r="IAP15" s="122"/>
      <c r="IAQ15" s="122"/>
      <c r="IAR15" s="122"/>
      <c r="IAS15" s="122"/>
      <c r="IAT15" s="122"/>
      <c r="IAU15" s="122"/>
      <c r="IAV15" s="122"/>
      <c r="IAW15" s="122"/>
      <c r="IAX15" s="122"/>
      <c r="IAY15" s="122"/>
      <c r="IAZ15" s="122"/>
      <c r="IBA15" s="122"/>
      <c r="IBB15" s="122"/>
      <c r="IBC15" s="122"/>
      <c r="IBD15" s="122"/>
      <c r="IBE15" s="122"/>
      <c r="IBF15" s="122"/>
      <c r="IBG15" s="122"/>
      <c r="IBH15" s="122"/>
      <c r="IBI15" s="122"/>
      <c r="IBJ15" s="122"/>
      <c r="IBK15" s="122"/>
      <c r="IBL15" s="122"/>
      <c r="IBM15" s="122"/>
      <c r="IBN15" s="122"/>
      <c r="IBO15" s="122"/>
      <c r="IBP15" s="122"/>
      <c r="IBQ15" s="122"/>
      <c r="IBR15" s="122"/>
      <c r="IBS15" s="122"/>
      <c r="IBT15" s="122"/>
      <c r="IBU15" s="122"/>
      <c r="IBV15" s="122"/>
      <c r="IBW15" s="122"/>
      <c r="IBX15" s="122"/>
      <c r="IBY15" s="122"/>
      <c r="IBZ15" s="122"/>
      <c r="ICA15" s="122"/>
      <c r="ICB15" s="122"/>
      <c r="ICC15" s="122"/>
      <c r="ICD15" s="122"/>
      <c r="ICE15" s="122"/>
      <c r="ICF15" s="122"/>
      <c r="ICG15" s="122"/>
      <c r="ICH15" s="122"/>
      <c r="ICI15" s="122"/>
      <c r="ICJ15" s="122"/>
      <c r="ICK15" s="122"/>
      <c r="ICL15" s="122"/>
      <c r="ICM15" s="122"/>
      <c r="ICN15" s="122"/>
      <c r="ICO15" s="122"/>
      <c r="ICP15" s="122"/>
      <c r="ICQ15" s="122"/>
      <c r="ICR15" s="122"/>
      <c r="ICS15" s="122"/>
      <c r="ICT15" s="122"/>
      <c r="ICU15" s="122"/>
      <c r="ICV15" s="122"/>
      <c r="ICW15" s="122"/>
      <c r="ICX15" s="122"/>
      <c r="ICY15" s="122"/>
      <c r="ICZ15" s="122"/>
      <c r="IDA15" s="122"/>
      <c r="IDB15" s="122"/>
      <c r="IDC15" s="122"/>
      <c r="IDD15" s="122"/>
      <c r="IDE15" s="122"/>
      <c r="IDF15" s="122"/>
      <c r="IDG15" s="122"/>
      <c r="IDH15" s="122"/>
      <c r="IDI15" s="122"/>
      <c r="IDJ15" s="122"/>
      <c r="IDK15" s="122"/>
      <c r="IDL15" s="122"/>
      <c r="IDM15" s="122"/>
      <c r="IDN15" s="122"/>
      <c r="IDO15" s="122"/>
      <c r="IDP15" s="122"/>
      <c r="IDQ15" s="122"/>
      <c r="IDR15" s="122"/>
      <c r="IDS15" s="122"/>
      <c r="IDT15" s="122"/>
      <c r="IDU15" s="122"/>
      <c r="IDV15" s="122"/>
      <c r="IDW15" s="122"/>
      <c r="IDX15" s="122"/>
      <c r="IDY15" s="122"/>
      <c r="IDZ15" s="122"/>
      <c r="IEA15" s="122"/>
      <c r="IEB15" s="122"/>
      <c r="IEC15" s="122"/>
      <c r="IED15" s="122"/>
      <c r="IEE15" s="122"/>
      <c r="IEF15" s="122"/>
      <c r="IEG15" s="122"/>
      <c r="IEH15" s="122"/>
      <c r="IEI15" s="122"/>
      <c r="IEJ15" s="122"/>
      <c r="IEK15" s="122"/>
      <c r="IEL15" s="122"/>
      <c r="IEM15" s="122"/>
      <c r="IEN15" s="122"/>
      <c r="IEO15" s="122"/>
      <c r="IEP15" s="122"/>
      <c r="IEQ15" s="122"/>
      <c r="IER15" s="122"/>
      <c r="IES15" s="122"/>
      <c r="IET15" s="122"/>
      <c r="IEU15" s="122"/>
      <c r="IEV15" s="122"/>
      <c r="IEW15" s="122"/>
      <c r="IEX15" s="122"/>
      <c r="IEY15" s="122"/>
      <c r="IEZ15" s="122"/>
      <c r="IFA15" s="122"/>
      <c r="IFB15" s="122"/>
      <c r="IFC15" s="122"/>
      <c r="IFD15" s="122"/>
      <c r="IFE15" s="122"/>
      <c r="IFF15" s="122"/>
      <c r="IFG15" s="122"/>
      <c r="IFH15" s="122"/>
      <c r="IFI15" s="122"/>
      <c r="IFJ15" s="122"/>
      <c r="IFK15" s="122"/>
      <c r="IFL15" s="122"/>
      <c r="IFM15" s="122"/>
      <c r="IFN15" s="122"/>
      <c r="IFO15" s="122"/>
      <c r="IFP15" s="122"/>
      <c r="IFQ15" s="122"/>
      <c r="IFR15" s="122"/>
      <c r="IFS15" s="122"/>
      <c r="IFT15" s="122"/>
      <c r="IFU15" s="122"/>
      <c r="IFV15" s="122"/>
      <c r="IFW15" s="122"/>
      <c r="IFX15" s="122"/>
      <c r="IFY15" s="122"/>
      <c r="IFZ15" s="122"/>
      <c r="IGA15" s="122"/>
      <c r="IGB15" s="122"/>
      <c r="IGC15" s="122"/>
      <c r="IGD15" s="122"/>
      <c r="IGE15" s="122"/>
      <c r="IGF15" s="122"/>
      <c r="IGG15" s="122"/>
      <c r="IGH15" s="122"/>
      <c r="IGI15" s="122"/>
      <c r="IGJ15" s="122"/>
      <c r="IGK15" s="122"/>
      <c r="IGL15" s="122"/>
      <c r="IGM15" s="122"/>
      <c r="IGN15" s="122"/>
      <c r="IGO15" s="122"/>
      <c r="IGP15" s="122"/>
      <c r="IGQ15" s="122"/>
      <c r="IGR15" s="122"/>
      <c r="IGS15" s="122"/>
      <c r="IGT15" s="122"/>
      <c r="IGU15" s="122"/>
      <c r="IGV15" s="122"/>
      <c r="IGW15" s="122"/>
      <c r="IGX15" s="122"/>
      <c r="IGY15" s="122"/>
      <c r="IGZ15" s="122"/>
      <c r="IHA15" s="122"/>
      <c r="IHB15" s="122"/>
      <c r="IHC15" s="122"/>
      <c r="IHD15" s="122"/>
      <c r="IHE15" s="122"/>
      <c r="IHF15" s="122"/>
      <c r="IHG15" s="122"/>
      <c r="IHH15" s="122"/>
      <c r="IHI15" s="122"/>
      <c r="IHJ15" s="122"/>
      <c r="IHK15" s="122"/>
      <c r="IHL15" s="122"/>
      <c r="IHM15" s="122"/>
      <c r="IHN15" s="122"/>
      <c r="IHO15" s="122"/>
      <c r="IHP15" s="122"/>
      <c r="IHQ15" s="122"/>
      <c r="IHR15" s="122"/>
      <c r="IHS15" s="122"/>
      <c r="IHT15" s="122"/>
      <c r="IHU15" s="122"/>
      <c r="IHV15" s="122"/>
      <c r="IHW15" s="122"/>
      <c r="IHX15" s="122"/>
      <c r="IHY15" s="122"/>
      <c r="IHZ15" s="122"/>
      <c r="IIA15" s="122"/>
      <c r="IIB15" s="122"/>
      <c r="IIC15" s="122"/>
      <c r="IID15" s="122"/>
      <c r="IIE15" s="122"/>
      <c r="IIF15" s="122"/>
      <c r="IIG15" s="122"/>
      <c r="IIH15" s="122"/>
      <c r="III15" s="122"/>
      <c r="IIJ15" s="122"/>
      <c r="IIK15" s="122"/>
      <c r="IIL15" s="122"/>
      <c r="IIM15" s="122"/>
      <c r="IIN15" s="122"/>
      <c r="IIO15" s="122"/>
      <c r="IIP15" s="122"/>
      <c r="IIQ15" s="122"/>
      <c r="IIR15" s="122"/>
      <c r="IIS15" s="122"/>
      <c r="IIT15" s="122"/>
      <c r="IIU15" s="122"/>
      <c r="IIV15" s="122"/>
      <c r="IIW15" s="122"/>
      <c r="IIX15" s="122"/>
      <c r="IIY15" s="122"/>
      <c r="IIZ15" s="122"/>
      <c r="IJA15" s="122"/>
      <c r="IJB15" s="122"/>
      <c r="IJC15" s="122"/>
      <c r="IJD15" s="122"/>
      <c r="IJE15" s="122"/>
      <c r="IJF15" s="122"/>
      <c r="IJG15" s="122"/>
      <c r="IJH15" s="122"/>
      <c r="IJI15" s="122"/>
      <c r="IJJ15" s="122"/>
      <c r="IJK15" s="122"/>
      <c r="IJL15" s="122"/>
      <c r="IJM15" s="122"/>
      <c r="IJN15" s="122"/>
      <c r="IJO15" s="122"/>
      <c r="IJP15" s="122"/>
      <c r="IJQ15" s="122"/>
      <c r="IJR15" s="122"/>
      <c r="IJS15" s="122"/>
      <c r="IJT15" s="122"/>
      <c r="IJU15" s="122"/>
      <c r="IJV15" s="122"/>
      <c r="IJW15" s="122"/>
      <c r="IJX15" s="122"/>
      <c r="IJY15" s="122"/>
      <c r="IJZ15" s="122"/>
      <c r="IKA15" s="122"/>
      <c r="IKB15" s="122"/>
      <c r="IKC15" s="122"/>
      <c r="IKD15" s="122"/>
      <c r="IKE15" s="122"/>
      <c r="IKF15" s="122"/>
      <c r="IKG15" s="122"/>
      <c r="IKH15" s="122"/>
      <c r="IKI15" s="122"/>
      <c r="IKJ15" s="122"/>
      <c r="IKK15" s="122"/>
      <c r="IKL15" s="122"/>
      <c r="IKM15" s="122"/>
      <c r="IKN15" s="122"/>
      <c r="IKO15" s="122"/>
      <c r="IKP15" s="122"/>
      <c r="IKQ15" s="122"/>
      <c r="IKR15" s="122"/>
      <c r="IKS15" s="122"/>
      <c r="IKT15" s="122"/>
      <c r="IKU15" s="122"/>
      <c r="IKV15" s="122"/>
      <c r="IKW15" s="122"/>
      <c r="IKX15" s="122"/>
      <c r="IKY15" s="122"/>
      <c r="IKZ15" s="122"/>
      <c r="ILA15" s="122"/>
      <c r="ILB15" s="122"/>
      <c r="ILC15" s="122"/>
      <c r="ILD15" s="122"/>
      <c r="ILE15" s="122"/>
      <c r="ILF15" s="122"/>
      <c r="ILG15" s="122"/>
      <c r="ILH15" s="122"/>
      <c r="ILI15" s="122"/>
      <c r="ILJ15" s="122"/>
      <c r="ILK15" s="122"/>
      <c r="ILL15" s="122"/>
      <c r="ILM15" s="122"/>
      <c r="ILN15" s="122"/>
      <c r="ILO15" s="122"/>
      <c r="ILP15" s="122"/>
      <c r="ILQ15" s="122"/>
      <c r="ILR15" s="122"/>
      <c r="ILS15" s="122"/>
      <c r="ILT15" s="122"/>
      <c r="ILU15" s="122"/>
      <c r="ILV15" s="122"/>
      <c r="ILW15" s="122"/>
      <c r="ILX15" s="122"/>
      <c r="ILY15" s="122"/>
      <c r="ILZ15" s="122"/>
      <c r="IMA15" s="122"/>
      <c r="IMB15" s="122"/>
      <c r="IMC15" s="122"/>
      <c r="IMD15" s="122"/>
      <c r="IME15" s="122"/>
      <c r="IMF15" s="122"/>
      <c r="IMG15" s="122"/>
      <c r="IMH15" s="122"/>
      <c r="IMI15" s="122"/>
      <c r="IMJ15" s="122"/>
      <c r="IMK15" s="122"/>
      <c r="IML15" s="122"/>
      <c r="IMM15" s="122"/>
      <c r="IMN15" s="122"/>
      <c r="IMO15" s="122"/>
      <c r="IMP15" s="122"/>
      <c r="IMQ15" s="122"/>
      <c r="IMR15" s="122"/>
      <c r="IMS15" s="122"/>
      <c r="IMT15" s="122"/>
      <c r="IMU15" s="122"/>
      <c r="IMV15" s="122"/>
      <c r="IMW15" s="122"/>
      <c r="IMX15" s="122"/>
      <c r="IMY15" s="122"/>
      <c r="IMZ15" s="122"/>
      <c r="INA15" s="122"/>
      <c r="INB15" s="122"/>
      <c r="INC15" s="122"/>
      <c r="IND15" s="122"/>
      <c r="INE15" s="122"/>
      <c r="INF15" s="122"/>
      <c r="ING15" s="122"/>
      <c r="INH15" s="122"/>
      <c r="INI15" s="122"/>
      <c r="INJ15" s="122"/>
      <c r="INK15" s="122"/>
      <c r="INL15" s="122"/>
      <c r="INM15" s="122"/>
      <c r="INN15" s="122"/>
      <c r="INO15" s="122"/>
      <c r="INP15" s="122"/>
      <c r="INQ15" s="122"/>
      <c r="INR15" s="122"/>
      <c r="INS15" s="122"/>
      <c r="INT15" s="122"/>
      <c r="INU15" s="122"/>
      <c r="INV15" s="122"/>
      <c r="INW15" s="122"/>
      <c r="INX15" s="122"/>
      <c r="INY15" s="122"/>
      <c r="INZ15" s="122"/>
      <c r="IOA15" s="122"/>
      <c r="IOB15" s="122"/>
      <c r="IOC15" s="122"/>
      <c r="IOD15" s="122"/>
      <c r="IOE15" s="122"/>
      <c r="IOF15" s="122"/>
      <c r="IOG15" s="122"/>
      <c r="IOH15" s="122"/>
      <c r="IOI15" s="122"/>
      <c r="IOJ15" s="122"/>
      <c r="IOK15" s="122"/>
      <c r="IOL15" s="122"/>
      <c r="IOM15" s="122"/>
      <c r="ION15" s="122"/>
      <c r="IOO15" s="122"/>
      <c r="IOP15" s="122"/>
      <c r="IOQ15" s="122"/>
      <c r="IOR15" s="122"/>
      <c r="IOS15" s="122"/>
      <c r="IOT15" s="122"/>
      <c r="IOU15" s="122"/>
      <c r="IOV15" s="122"/>
      <c r="IOW15" s="122"/>
      <c r="IOX15" s="122"/>
      <c r="IOY15" s="122"/>
      <c r="IOZ15" s="122"/>
      <c r="IPA15" s="122"/>
      <c r="IPB15" s="122"/>
      <c r="IPC15" s="122"/>
      <c r="IPD15" s="122"/>
      <c r="IPE15" s="122"/>
      <c r="IPF15" s="122"/>
      <c r="IPG15" s="122"/>
      <c r="IPH15" s="122"/>
      <c r="IPI15" s="122"/>
      <c r="IPJ15" s="122"/>
      <c r="IPK15" s="122"/>
      <c r="IPL15" s="122"/>
      <c r="IPM15" s="122"/>
      <c r="IPN15" s="122"/>
      <c r="IPO15" s="122"/>
      <c r="IPP15" s="122"/>
      <c r="IPQ15" s="122"/>
      <c r="IPR15" s="122"/>
      <c r="IPS15" s="122"/>
      <c r="IPT15" s="122"/>
      <c r="IPU15" s="122"/>
      <c r="IPV15" s="122"/>
      <c r="IPW15" s="122"/>
      <c r="IPX15" s="122"/>
      <c r="IPY15" s="122"/>
      <c r="IPZ15" s="122"/>
      <c r="IQA15" s="122"/>
      <c r="IQB15" s="122"/>
      <c r="IQC15" s="122"/>
      <c r="IQD15" s="122"/>
      <c r="IQE15" s="122"/>
      <c r="IQF15" s="122"/>
      <c r="IQG15" s="122"/>
      <c r="IQH15" s="122"/>
      <c r="IQI15" s="122"/>
      <c r="IQJ15" s="122"/>
      <c r="IQK15" s="122"/>
      <c r="IQL15" s="122"/>
      <c r="IQM15" s="122"/>
      <c r="IQN15" s="122"/>
      <c r="IQO15" s="122"/>
      <c r="IQP15" s="122"/>
      <c r="IQQ15" s="122"/>
      <c r="IQR15" s="122"/>
      <c r="IQS15" s="122"/>
      <c r="IQT15" s="122"/>
      <c r="IQU15" s="122"/>
      <c r="IQV15" s="122"/>
      <c r="IQW15" s="122"/>
      <c r="IQX15" s="122"/>
      <c r="IQY15" s="122"/>
      <c r="IQZ15" s="122"/>
      <c r="IRA15" s="122"/>
      <c r="IRB15" s="122"/>
      <c r="IRC15" s="122"/>
      <c r="IRD15" s="122"/>
      <c r="IRE15" s="122"/>
      <c r="IRF15" s="122"/>
      <c r="IRG15" s="122"/>
      <c r="IRH15" s="122"/>
      <c r="IRI15" s="122"/>
      <c r="IRJ15" s="122"/>
      <c r="IRK15" s="122"/>
      <c r="IRL15" s="122"/>
      <c r="IRM15" s="122"/>
      <c r="IRN15" s="122"/>
      <c r="IRO15" s="122"/>
      <c r="IRP15" s="122"/>
      <c r="IRQ15" s="122"/>
      <c r="IRR15" s="122"/>
      <c r="IRS15" s="122"/>
      <c r="IRT15" s="122"/>
      <c r="IRU15" s="122"/>
      <c r="IRV15" s="122"/>
      <c r="IRW15" s="122"/>
      <c r="IRX15" s="122"/>
      <c r="IRY15" s="122"/>
      <c r="IRZ15" s="122"/>
      <c r="ISA15" s="122"/>
      <c r="ISB15" s="122"/>
      <c r="ISC15" s="122"/>
      <c r="ISD15" s="122"/>
      <c r="ISE15" s="122"/>
      <c r="ISF15" s="122"/>
      <c r="ISG15" s="122"/>
      <c r="ISH15" s="122"/>
      <c r="ISI15" s="122"/>
      <c r="ISJ15" s="122"/>
      <c r="ISK15" s="122"/>
      <c r="ISL15" s="122"/>
      <c r="ISM15" s="122"/>
      <c r="ISN15" s="122"/>
      <c r="ISO15" s="122"/>
      <c r="ISP15" s="122"/>
      <c r="ISQ15" s="122"/>
      <c r="ISR15" s="122"/>
      <c r="ISS15" s="122"/>
      <c r="IST15" s="122"/>
      <c r="ISU15" s="122"/>
      <c r="ISV15" s="122"/>
      <c r="ISW15" s="122"/>
      <c r="ISX15" s="122"/>
      <c r="ISY15" s="122"/>
      <c r="ISZ15" s="122"/>
      <c r="ITA15" s="122"/>
      <c r="ITB15" s="122"/>
      <c r="ITC15" s="122"/>
      <c r="ITD15" s="122"/>
      <c r="ITE15" s="122"/>
      <c r="ITF15" s="122"/>
      <c r="ITG15" s="122"/>
      <c r="ITH15" s="122"/>
      <c r="ITI15" s="122"/>
      <c r="ITJ15" s="122"/>
      <c r="ITK15" s="122"/>
      <c r="ITL15" s="122"/>
      <c r="ITM15" s="122"/>
      <c r="ITN15" s="122"/>
      <c r="ITO15" s="122"/>
      <c r="ITP15" s="122"/>
      <c r="ITQ15" s="122"/>
      <c r="ITR15" s="122"/>
      <c r="ITS15" s="122"/>
      <c r="ITT15" s="122"/>
      <c r="ITU15" s="122"/>
      <c r="ITV15" s="122"/>
      <c r="ITW15" s="122"/>
      <c r="ITX15" s="122"/>
      <c r="ITY15" s="122"/>
      <c r="ITZ15" s="122"/>
      <c r="IUA15" s="122"/>
      <c r="IUB15" s="122"/>
      <c r="IUC15" s="122"/>
      <c r="IUD15" s="122"/>
      <c r="IUE15" s="122"/>
      <c r="IUF15" s="122"/>
      <c r="IUG15" s="122"/>
      <c r="IUH15" s="122"/>
      <c r="IUI15" s="122"/>
      <c r="IUJ15" s="122"/>
      <c r="IUK15" s="122"/>
      <c r="IUL15" s="122"/>
      <c r="IUM15" s="122"/>
      <c r="IUN15" s="122"/>
      <c r="IUO15" s="122"/>
      <c r="IUP15" s="122"/>
      <c r="IUQ15" s="122"/>
      <c r="IUR15" s="122"/>
      <c r="IUS15" s="122"/>
      <c r="IUT15" s="122"/>
      <c r="IUU15" s="122"/>
      <c r="IUV15" s="122"/>
      <c r="IUW15" s="122"/>
      <c r="IUX15" s="122"/>
      <c r="IUY15" s="122"/>
      <c r="IUZ15" s="122"/>
      <c r="IVA15" s="122"/>
      <c r="IVB15" s="122"/>
      <c r="IVC15" s="122"/>
      <c r="IVD15" s="122"/>
      <c r="IVE15" s="122"/>
      <c r="IVF15" s="122"/>
      <c r="IVG15" s="122"/>
      <c r="IVH15" s="122"/>
      <c r="IVI15" s="122"/>
      <c r="IVJ15" s="122"/>
      <c r="IVK15" s="122"/>
      <c r="IVL15" s="122"/>
      <c r="IVM15" s="122"/>
      <c r="IVN15" s="122"/>
      <c r="IVO15" s="122"/>
      <c r="IVP15" s="122"/>
      <c r="IVQ15" s="122"/>
      <c r="IVR15" s="122"/>
      <c r="IVS15" s="122"/>
      <c r="IVT15" s="122"/>
      <c r="IVU15" s="122"/>
      <c r="IVV15" s="122"/>
      <c r="IVW15" s="122"/>
      <c r="IVX15" s="122"/>
      <c r="IVY15" s="122"/>
      <c r="IVZ15" s="122"/>
      <c r="IWA15" s="122"/>
      <c r="IWB15" s="122"/>
      <c r="IWC15" s="122"/>
      <c r="IWD15" s="122"/>
      <c r="IWE15" s="122"/>
      <c r="IWF15" s="122"/>
      <c r="IWG15" s="122"/>
      <c r="IWH15" s="122"/>
      <c r="IWI15" s="122"/>
      <c r="IWJ15" s="122"/>
      <c r="IWK15" s="122"/>
      <c r="IWL15" s="122"/>
      <c r="IWM15" s="122"/>
      <c r="IWN15" s="122"/>
      <c r="IWO15" s="122"/>
      <c r="IWP15" s="122"/>
      <c r="IWQ15" s="122"/>
      <c r="IWR15" s="122"/>
      <c r="IWS15" s="122"/>
      <c r="IWT15" s="122"/>
      <c r="IWU15" s="122"/>
      <c r="IWV15" s="122"/>
      <c r="IWW15" s="122"/>
      <c r="IWX15" s="122"/>
      <c r="IWY15" s="122"/>
      <c r="IWZ15" s="122"/>
      <c r="IXA15" s="122"/>
      <c r="IXB15" s="122"/>
      <c r="IXC15" s="122"/>
      <c r="IXD15" s="122"/>
      <c r="IXE15" s="122"/>
      <c r="IXF15" s="122"/>
      <c r="IXG15" s="122"/>
      <c r="IXH15" s="122"/>
      <c r="IXI15" s="122"/>
      <c r="IXJ15" s="122"/>
      <c r="IXK15" s="122"/>
      <c r="IXL15" s="122"/>
      <c r="IXM15" s="122"/>
      <c r="IXN15" s="122"/>
      <c r="IXO15" s="122"/>
      <c r="IXP15" s="122"/>
      <c r="IXQ15" s="122"/>
      <c r="IXR15" s="122"/>
      <c r="IXS15" s="122"/>
      <c r="IXT15" s="122"/>
      <c r="IXU15" s="122"/>
      <c r="IXV15" s="122"/>
      <c r="IXW15" s="122"/>
      <c r="IXX15" s="122"/>
      <c r="IXY15" s="122"/>
      <c r="IXZ15" s="122"/>
      <c r="IYA15" s="122"/>
      <c r="IYB15" s="122"/>
      <c r="IYC15" s="122"/>
      <c r="IYD15" s="122"/>
      <c r="IYE15" s="122"/>
      <c r="IYF15" s="122"/>
      <c r="IYG15" s="122"/>
      <c r="IYH15" s="122"/>
      <c r="IYI15" s="122"/>
      <c r="IYJ15" s="122"/>
      <c r="IYK15" s="122"/>
      <c r="IYL15" s="122"/>
      <c r="IYM15" s="122"/>
      <c r="IYN15" s="122"/>
      <c r="IYO15" s="122"/>
      <c r="IYP15" s="122"/>
      <c r="IYQ15" s="122"/>
      <c r="IYR15" s="122"/>
      <c r="IYS15" s="122"/>
      <c r="IYT15" s="122"/>
      <c r="IYU15" s="122"/>
      <c r="IYV15" s="122"/>
      <c r="IYW15" s="122"/>
      <c r="IYX15" s="122"/>
      <c r="IYY15" s="122"/>
      <c r="IYZ15" s="122"/>
      <c r="IZA15" s="122"/>
      <c r="IZB15" s="122"/>
      <c r="IZC15" s="122"/>
      <c r="IZD15" s="122"/>
      <c r="IZE15" s="122"/>
      <c r="IZF15" s="122"/>
      <c r="IZG15" s="122"/>
      <c r="IZH15" s="122"/>
      <c r="IZI15" s="122"/>
      <c r="IZJ15" s="122"/>
      <c r="IZK15" s="122"/>
      <c r="IZL15" s="122"/>
      <c r="IZM15" s="122"/>
      <c r="IZN15" s="122"/>
      <c r="IZO15" s="122"/>
      <c r="IZP15" s="122"/>
      <c r="IZQ15" s="122"/>
      <c r="IZR15" s="122"/>
      <c r="IZS15" s="122"/>
      <c r="IZT15" s="122"/>
      <c r="IZU15" s="122"/>
      <c r="IZV15" s="122"/>
      <c r="IZW15" s="122"/>
      <c r="IZX15" s="122"/>
      <c r="IZY15" s="122"/>
      <c r="IZZ15" s="122"/>
      <c r="JAA15" s="122"/>
      <c r="JAB15" s="122"/>
      <c r="JAC15" s="122"/>
      <c r="JAD15" s="122"/>
      <c r="JAE15" s="122"/>
      <c r="JAF15" s="122"/>
      <c r="JAG15" s="122"/>
      <c r="JAH15" s="122"/>
      <c r="JAI15" s="122"/>
      <c r="JAJ15" s="122"/>
      <c r="JAK15" s="122"/>
      <c r="JAL15" s="122"/>
      <c r="JAM15" s="122"/>
      <c r="JAN15" s="122"/>
      <c r="JAO15" s="122"/>
      <c r="JAP15" s="122"/>
      <c r="JAQ15" s="122"/>
      <c r="JAR15" s="122"/>
      <c r="JAS15" s="122"/>
      <c r="JAT15" s="122"/>
      <c r="JAU15" s="122"/>
      <c r="JAV15" s="122"/>
      <c r="JAW15" s="122"/>
      <c r="JAX15" s="122"/>
      <c r="JAY15" s="122"/>
      <c r="JAZ15" s="122"/>
      <c r="JBA15" s="122"/>
      <c r="JBB15" s="122"/>
      <c r="JBC15" s="122"/>
      <c r="JBD15" s="122"/>
      <c r="JBE15" s="122"/>
      <c r="JBF15" s="122"/>
      <c r="JBG15" s="122"/>
      <c r="JBH15" s="122"/>
      <c r="JBI15" s="122"/>
      <c r="JBJ15" s="122"/>
      <c r="JBK15" s="122"/>
      <c r="JBL15" s="122"/>
      <c r="JBM15" s="122"/>
      <c r="JBN15" s="122"/>
      <c r="JBO15" s="122"/>
      <c r="JBP15" s="122"/>
      <c r="JBQ15" s="122"/>
      <c r="JBR15" s="122"/>
      <c r="JBS15" s="122"/>
      <c r="JBT15" s="122"/>
      <c r="JBU15" s="122"/>
      <c r="JBV15" s="122"/>
      <c r="JBW15" s="122"/>
      <c r="JBX15" s="122"/>
      <c r="JBY15" s="122"/>
      <c r="JBZ15" s="122"/>
      <c r="JCA15" s="122"/>
      <c r="JCB15" s="122"/>
      <c r="JCC15" s="122"/>
      <c r="JCD15" s="122"/>
      <c r="JCE15" s="122"/>
      <c r="JCF15" s="122"/>
      <c r="JCG15" s="122"/>
      <c r="JCH15" s="122"/>
      <c r="JCI15" s="122"/>
      <c r="JCJ15" s="122"/>
      <c r="JCK15" s="122"/>
      <c r="JCL15" s="122"/>
      <c r="JCM15" s="122"/>
      <c r="JCN15" s="122"/>
      <c r="JCO15" s="122"/>
      <c r="JCP15" s="122"/>
      <c r="JCQ15" s="122"/>
      <c r="JCR15" s="122"/>
      <c r="JCS15" s="122"/>
      <c r="JCT15" s="122"/>
      <c r="JCU15" s="122"/>
      <c r="JCV15" s="122"/>
      <c r="JCW15" s="122"/>
      <c r="JCX15" s="122"/>
      <c r="JCY15" s="122"/>
      <c r="JCZ15" s="122"/>
      <c r="JDA15" s="122"/>
      <c r="JDB15" s="122"/>
      <c r="JDC15" s="122"/>
      <c r="JDD15" s="122"/>
      <c r="JDE15" s="122"/>
      <c r="JDF15" s="122"/>
      <c r="JDG15" s="122"/>
      <c r="JDH15" s="122"/>
      <c r="JDI15" s="122"/>
      <c r="JDJ15" s="122"/>
      <c r="JDK15" s="122"/>
      <c r="JDL15" s="122"/>
      <c r="JDM15" s="122"/>
      <c r="JDN15" s="122"/>
      <c r="JDO15" s="122"/>
      <c r="JDP15" s="122"/>
      <c r="JDQ15" s="122"/>
      <c r="JDR15" s="122"/>
      <c r="JDS15" s="122"/>
      <c r="JDT15" s="122"/>
      <c r="JDU15" s="122"/>
      <c r="JDV15" s="122"/>
      <c r="JDW15" s="122"/>
      <c r="JDX15" s="122"/>
      <c r="JDY15" s="122"/>
      <c r="JDZ15" s="122"/>
      <c r="JEA15" s="122"/>
      <c r="JEB15" s="122"/>
      <c r="JEC15" s="122"/>
      <c r="JED15" s="122"/>
      <c r="JEE15" s="122"/>
      <c r="JEF15" s="122"/>
      <c r="JEG15" s="122"/>
      <c r="JEH15" s="122"/>
      <c r="JEI15" s="122"/>
      <c r="JEJ15" s="122"/>
      <c r="JEK15" s="122"/>
      <c r="JEL15" s="122"/>
      <c r="JEM15" s="122"/>
      <c r="JEN15" s="122"/>
      <c r="JEO15" s="122"/>
      <c r="JEP15" s="122"/>
      <c r="JEQ15" s="122"/>
      <c r="JER15" s="122"/>
      <c r="JES15" s="122"/>
      <c r="JET15" s="122"/>
      <c r="JEU15" s="122"/>
      <c r="JEV15" s="122"/>
      <c r="JEW15" s="122"/>
      <c r="JEX15" s="122"/>
      <c r="JEY15" s="122"/>
      <c r="JEZ15" s="122"/>
      <c r="JFA15" s="122"/>
      <c r="JFB15" s="122"/>
      <c r="JFC15" s="122"/>
      <c r="JFD15" s="122"/>
      <c r="JFE15" s="122"/>
      <c r="JFF15" s="122"/>
      <c r="JFG15" s="122"/>
      <c r="JFH15" s="122"/>
      <c r="JFI15" s="122"/>
      <c r="JFJ15" s="122"/>
      <c r="JFK15" s="122"/>
      <c r="JFL15" s="122"/>
      <c r="JFM15" s="122"/>
      <c r="JFN15" s="122"/>
      <c r="JFO15" s="122"/>
      <c r="JFP15" s="122"/>
      <c r="JFQ15" s="122"/>
      <c r="JFR15" s="122"/>
      <c r="JFS15" s="122"/>
      <c r="JFT15" s="122"/>
      <c r="JFU15" s="122"/>
      <c r="JFV15" s="122"/>
      <c r="JFW15" s="122"/>
      <c r="JFX15" s="122"/>
      <c r="JFY15" s="122"/>
      <c r="JFZ15" s="122"/>
      <c r="JGA15" s="122"/>
      <c r="JGB15" s="122"/>
      <c r="JGC15" s="122"/>
      <c r="JGD15" s="122"/>
      <c r="JGE15" s="122"/>
      <c r="JGF15" s="122"/>
      <c r="JGG15" s="122"/>
      <c r="JGH15" s="122"/>
      <c r="JGI15" s="122"/>
      <c r="JGJ15" s="122"/>
      <c r="JGK15" s="122"/>
      <c r="JGL15" s="122"/>
      <c r="JGM15" s="122"/>
      <c r="JGN15" s="122"/>
      <c r="JGO15" s="122"/>
      <c r="JGP15" s="122"/>
      <c r="JGQ15" s="122"/>
      <c r="JGR15" s="122"/>
      <c r="JGS15" s="122"/>
      <c r="JGT15" s="122"/>
      <c r="JGU15" s="122"/>
      <c r="JGV15" s="122"/>
      <c r="JGW15" s="122"/>
      <c r="JGX15" s="122"/>
      <c r="JGY15" s="122"/>
      <c r="JGZ15" s="122"/>
      <c r="JHA15" s="122"/>
      <c r="JHB15" s="122"/>
      <c r="JHC15" s="122"/>
      <c r="JHD15" s="122"/>
      <c r="JHE15" s="122"/>
      <c r="JHF15" s="122"/>
      <c r="JHG15" s="122"/>
      <c r="JHH15" s="122"/>
      <c r="JHI15" s="122"/>
      <c r="JHJ15" s="122"/>
      <c r="JHK15" s="122"/>
      <c r="JHL15" s="122"/>
      <c r="JHM15" s="122"/>
      <c r="JHN15" s="122"/>
      <c r="JHO15" s="122"/>
      <c r="JHP15" s="122"/>
      <c r="JHQ15" s="122"/>
      <c r="JHR15" s="122"/>
      <c r="JHS15" s="122"/>
      <c r="JHT15" s="122"/>
      <c r="JHU15" s="122"/>
      <c r="JHV15" s="122"/>
      <c r="JHW15" s="122"/>
      <c r="JHX15" s="122"/>
      <c r="JHY15" s="122"/>
      <c r="JHZ15" s="122"/>
      <c r="JIA15" s="122"/>
      <c r="JIB15" s="122"/>
      <c r="JIC15" s="122"/>
      <c r="JID15" s="122"/>
      <c r="JIE15" s="122"/>
      <c r="JIF15" s="122"/>
      <c r="JIG15" s="122"/>
      <c r="JIH15" s="122"/>
      <c r="JII15" s="122"/>
      <c r="JIJ15" s="122"/>
      <c r="JIK15" s="122"/>
      <c r="JIL15" s="122"/>
      <c r="JIM15" s="122"/>
      <c r="JIN15" s="122"/>
      <c r="JIO15" s="122"/>
      <c r="JIP15" s="122"/>
      <c r="JIQ15" s="122"/>
      <c r="JIR15" s="122"/>
      <c r="JIS15" s="122"/>
      <c r="JIT15" s="122"/>
      <c r="JIU15" s="122"/>
      <c r="JIV15" s="122"/>
      <c r="JIW15" s="122"/>
      <c r="JIX15" s="122"/>
      <c r="JIY15" s="122"/>
      <c r="JIZ15" s="122"/>
      <c r="JJA15" s="122"/>
      <c r="JJB15" s="122"/>
      <c r="JJC15" s="122"/>
      <c r="JJD15" s="122"/>
      <c r="JJE15" s="122"/>
      <c r="JJF15" s="122"/>
      <c r="JJG15" s="122"/>
      <c r="JJH15" s="122"/>
      <c r="JJI15" s="122"/>
      <c r="JJJ15" s="122"/>
      <c r="JJK15" s="122"/>
      <c r="JJL15" s="122"/>
      <c r="JJM15" s="122"/>
      <c r="JJN15" s="122"/>
      <c r="JJO15" s="122"/>
      <c r="JJP15" s="122"/>
      <c r="JJQ15" s="122"/>
      <c r="JJR15" s="122"/>
      <c r="JJS15" s="122"/>
      <c r="JJT15" s="122"/>
      <c r="JJU15" s="122"/>
      <c r="JJV15" s="122"/>
      <c r="JJW15" s="122"/>
      <c r="JJX15" s="122"/>
      <c r="JJY15" s="122"/>
      <c r="JJZ15" s="122"/>
      <c r="JKA15" s="122"/>
      <c r="JKB15" s="122"/>
      <c r="JKC15" s="122"/>
      <c r="JKD15" s="122"/>
      <c r="JKE15" s="122"/>
      <c r="JKF15" s="122"/>
      <c r="JKG15" s="122"/>
      <c r="JKH15" s="122"/>
      <c r="JKI15" s="122"/>
      <c r="JKJ15" s="122"/>
      <c r="JKK15" s="122"/>
      <c r="JKL15" s="122"/>
      <c r="JKM15" s="122"/>
      <c r="JKN15" s="122"/>
      <c r="JKO15" s="122"/>
      <c r="JKP15" s="122"/>
      <c r="JKQ15" s="122"/>
      <c r="JKR15" s="122"/>
      <c r="JKS15" s="122"/>
      <c r="JKT15" s="122"/>
      <c r="JKU15" s="122"/>
      <c r="JKV15" s="122"/>
      <c r="JKW15" s="122"/>
      <c r="JKX15" s="122"/>
      <c r="JKY15" s="122"/>
      <c r="JKZ15" s="122"/>
      <c r="JLA15" s="122"/>
      <c r="JLB15" s="122"/>
      <c r="JLC15" s="122"/>
      <c r="JLD15" s="122"/>
      <c r="JLE15" s="122"/>
      <c r="JLF15" s="122"/>
      <c r="JLG15" s="122"/>
      <c r="JLH15" s="122"/>
      <c r="JLI15" s="122"/>
      <c r="JLJ15" s="122"/>
      <c r="JLK15" s="122"/>
      <c r="JLL15" s="122"/>
      <c r="JLM15" s="122"/>
      <c r="JLN15" s="122"/>
      <c r="JLO15" s="122"/>
      <c r="JLP15" s="122"/>
      <c r="JLQ15" s="122"/>
      <c r="JLR15" s="122"/>
      <c r="JLS15" s="122"/>
      <c r="JLT15" s="122"/>
      <c r="JLU15" s="122"/>
      <c r="JLV15" s="122"/>
      <c r="JLW15" s="122"/>
      <c r="JLX15" s="122"/>
      <c r="JLY15" s="122"/>
      <c r="JLZ15" s="122"/>
      <c r="JMA15" s="122"/>
      <c r="JMB15" s="122"/>
      <c r="JMC15" s="122"/>
      <c r="JMD15" s="122"/>
      <c r="JME15" s="122"/>
      <c r="JMF15" s="122"/>
      <c r="JMG15" s="122"/>
      <c r="JMH15" s="122"/>
      <c r="JMI15" s="122"/>
      <c r="JMJ15" s="122"/>
      <c r="JMK15" s="122"/>
      <c r="JML15" s="122"/>
      <c r="JMM15" s="122"/>
      <c r="JMN15" s="122"/>
      <c r="JMO15" s="122"/>
      <c r="JMP15" s="122"/>
      <c r="JMQ15" s="122"/>
      <c r="JMR15" s="122"/>
      <c r="JMS15" s="122"/>
      <c r="JMT15" s="122"/>
      <c r="JMU15" s="122"/>
      <c r="JMV15" s="122"/>
      <c r="JMW15" s="122"/>
      <c r="JMX15" s="122"/>
      <c r="JMY15" s="122"/>
      <c r="JMZ15" s="122"/>
      <c r="JNA15" s="122"/>
      <c r="JNB15" s="122"/>
      <c r="JNC15" s="122"/>
      <c r="JND15" s="122"/>
      <c r="JNE15" s="122"/>
      <c r="JNF15" s="122"/>
      <c r="JNG15" s="122"/>
      <c r="JNH15" s="122"/>
      <c r="JNI15" s="122"/>
      <c r="JNJ15" s="122"/>
      <c r="JNK15" s="122"/>
      <c r="JNL15" s="122"/>
      <c r="JNM15" s="122"/>
      <c r="JNN15" s="122"/>
      <c r="JNO15" s="122"/>
      <c r="JNP15" s="122"/>
      <c r="JNQ15" s="122"/>
      <c r="JNR15" s="122"/>
      <c r="JNS15" s="122"/>
      <c r="JNT15" s="122"/>
      <c r="JNU15" s="122"/>
      <c r="JNV15" s="122"/>
      <c r="JNW15" s="122"/>
      <c r="JNX15" s="122"/>
      <c r="JNY15" s="122"/>
      <c r="JNZ15" s="122"/>
      <c r="JOA15" s="122"/>
      <c r="JOB15" s="122"/>
      <c r="JOC15" s="122"/>
      <c r="JOD15" s="122"/>
      <c r="JOE15" s="122"/>
      <c r="JOF15" s="122"/>
      <c r="JOG15" s="122"/>
      <c r="JOH15" s="122"/>
      <c r="JOI15" s="122"/>
      <c r="JOJ15" s="122"/>
      <c r="JOK15" s="122"/>
      <c r="JOL15" s="122"/>
      <c r="JOM15" s="122"/>
      <c r="JON15" s="122"/>
      <c r="JOO15" s="122"/>
      <c r="JOP15" s="122"/>
      <c r="JOQ15" s="122"/>
      <c r="JOR15" s="122"/>
      <c r="JOS15" s="122"/>
      <c r="JOT15" s="122"/>
      <c r="JOU15" s="122"/>
      <c r="JOV15" s="122"/>
      <c r="JOW15" s="122"/>
      <c r="JOX15" s="122"/>
      <c r="JOY15" s="122"/>
      <c r="JOZ15" s="122"/>
      <c r="JPA15" s="122"/>
      <c r="JPB15" s="122"/>
      <c r="JPC15" s="122"/>
      <c r="JPD15" s="122"/>
      <c r="JPE15" s="122"/>
      <c r="JPF15" s="122"/>
      <c r="JPG15" s="122"/>
      <c r="JPH15" s="122"/>
      <c r="JPI15" s="122"/>
      <c r="JPJ15" s="122"/>
      <c r="JPK15" s="122"/>
      <c r="JPL15" s="122"/>
      <c r="JPM15" s="122"/>
      <c r="JPN15" s="122"/>
      <c r="JPO15" s="122"/>
      <c r="JPP15" s="122"/>
      <c r="JPQ15" s="122"/>
      <c r="JPR15" s="122"/>
      <c r="JPS15" s="122"/>
      <c r="JPT15" s="122"/>
      <c r="JPU15" s="122"/>
      <c r="JPV15" s="122"/>
      <c r="JPW15" s="122"/>
      <c r="JPX15" s="122"/>
      <c r="JPY15" s="122"/>
      <c r="JPZ15" s="122"/>
      <c r="JQA15" s="122"/>
      <c r="JQB15" s="122"/>
      <c r="JQC15" s="122"/>
      <c r="JQD15" s="122"/>
      <c r="JQE15" s="122"/>
      <c r="JQF15" s="122"/>
      <c r="JQG15" s="122"/>
      <c r="JQH15" s="122"/>
      <c r="JQI15" s="122"/>
      <c r="JQJ15" s="122"/>
      <c r="JQK15" s="122"/>
      <c r="JQL15" s="122"/>
      <c r="JQM15" s="122"/>
      <c r="JQN15" s="122"/>
      <c r="JQO15" s="122"/>
      <c r="JQP15" s="122"/>
      <c r="JQQ15" s="122"/>
      <c r="JQR15" s="122"/>
      <c r="JQS15" s="122"/>
      <c r="JQT15" s="122"/>
      <c r="JQU15" s="122"/>
      <c r="JQV15" s="122"/>
      <c r="JQW15" s="122"/>
      <c r="JQX15" s="122"/>
      <c r="JQY15" s="122"/>
      <c r="JQZ15" s="122"/>
      <c r="JRA15" s="122"/>
      <c r="JRB15" s="122"/>
      <c r="JRC15" s="122"/>
      <c r="JRD15" s="122"/>
      <c r="JRE15" s="122"/>
      <c r="JRF15" s="122"/>
      <c r="JRG15" s="122"/>
      <c r="JRH15" s="122"/>
      <c r="JRI15" s="122"/>
      <c r="JRJ15" s="122"/>
      <c r="JRK15" s="122"/>
      <c r="JRL15" s="122"/>
      <c r="JRM15" s="122"/>
      <c r="JRN15" s="122"/>
      <c r="JRO15" s="122"/>
      <c r="JRP15" s="122"/>
      <c r="JRQ15" s="122"/>
      <c r="JRR15" s="122"/>
      <c r="JRS15" s="122"/>
      <c r="JRT15" s="122"/>
      <c r="JRU15" s="122"/>
      <c r="JRV15" s="122"/>
      <c r="JRW15" s="122"/>
      <c r="JRX15" s="122"/>
      <c r="JRY15" s="122"/>
      <c r="JRZ15" s="122"/>
      <c r="JSA15" s="122"/>
      <c r="JSB15" s="122"/>
      <c r="JSC15" s="122"/>
      <c r="JSD15" s="122"/>
      <c r="JSE15" s="122"/>
      <c r="JSF15" s="122"/>
      <c r="JSG15" s="122"/>
      <c r="JSH15" s="122"/>
      <c r="JSI15" s="122"/>
      <c r="JSJ15" s="122"/>
      <c r="JSK15" s="122"/>
      <c r="JSL15" s="122"/>
      <c r="JSM15" s="122"/>
      <c r="JSN15" s="122"/>
      <c r="JSO15" s="122"/>
      <c r="JSP15" s="122"/>
      <c r="JSQ15" s="122"/>
      <c r="JSR15" s="122"/>
      <c r="JSS15" s="122"/>
      <c r="JST15" s="122"/>
      <c r="JSU15" s="122"/>
      <c r="JSV15" s="122"/>
      <c r="JSW15" s="122"/>
      <c r="JSX15" s="122"/>
      <c r="JSY15" s="122"/>
      <c r="JSZ15" s="122"/>
      <c r="JTA15" s="122"/>
      <c r="JTB15" s="122"/>
      <c r="JTC15" s="122"/>
      <c r="JTD15" s="122"/>
      <c r="JTE15" s="122"/>
      <c r="JTF15" s="122"/>
      <c r="JTG15" s="122"/>
      <c r="JTH15" s="122"/>
      <c r="JTI15" s="122"/>
      <c r="JTJ15" s="122"/>
      <c r="JTK15" s="122"/>
      <c r="JTL15" s="122"/>
      <c r="JTM15" s="122"/>
      <c r="JTN15" s="122"/>
      <c r="JTO15" s="122"/>
      <c r="JTP15" s="122"/>
      <c r="JTQ15" s="122"/>
      <c r="JTR15" s="122"/>
      <c r="JTS15" s="122"/>
      <c r="JTT15" s="122"/>
      <c r="JTU15" s="122"/>
      <c r="JTV15" s="122"/>
      <c r="JTW15" s="122"/>
      <c r="JTX15" s="122"/>
      <c r="JTY15" s="122"/>
      <c r="JTZ15" s="122"/>
      <c r="JUA15" s="122"/>
      <c r="JUB15" s="122"/>
      <c r="JUC15" s="122"/>
      <c r="JUD15" s="122"/>
      <c r="JUE15" s="122"/>
      <c r="JUF15" s="122"/>
      <c r="JUG15" s="122"/>
      <c r="JUH15" s="122"/>
      <c r="JUI15" s="122"/>
      <c r="JUJ15" s="122"/>
      <c r="JUK15" s="122"/>
      <c r="JUL15" s="122"/>
      <c r="JUM15" s="122"/>
      <c r="JUN15" s="122"/>
      <c r="JUO15" s="122"/>
      <c r="JUP15" s="122"/>
      <c r="JUQ15" s="122"/>
      <c r="JUR15" s="122"/>
      <c r="JUS15" s="122"/>
      <c r="JUT15" s="122"/>
      <c r="JUU15" s="122"/>
      <c r="JUV15" s="122"/>
      <c r="JUW15" s="122"/>
      <c r="JUX15" s="122"/>
      <c r="JUY15" s="122"/>
      <c r="JUZ15" s="122"/>
      <c r="JVA15" s="122"/>
      <c r="JVB15" s="122"/>
      <c r="JVC15" s="122"/>
      <c r="JVD15" s="122"/>
      <c r="JVE15" s="122"/>
      <c r="JVF15" s="122"/>
      <c r="JVG15" s="122"/>
      <c r="JVH15" s="122"/>
      <c r="JVI15" s="122"/>
      <c r="JVJ15" s="122"/>
      <c r="JVK15" s="122"/>
      <c r="JVL15" s="122"/>
      <c r="JVM15" s="122"/>
      <c r="JVN15" s="122"/>
      <c r="JVO15" s="122"/>
      <c r="JVP15" s="122"/>
      <c r="JVQ15" s="122"/>
      <c r="JVR15" s="122"/>
      <c r="JVS15" s="122"/>
      <c r="JVT15" s="122"/>
      <c r="JVU15" s="122"/>
      <c r="JVV15" s="122"/>
      <c r="JVW15" s="122"/>
      <c r="JVX15" s="122"/>
      <c r="JVY15" s="122"/>
      <c r="JVZ15" s="122"/>
      <c r="JWA15" s="122"/>
      <c r="JWB15" s="122"/>
      <c r="JWC15" s="122"/>
      <c r="JWD15" s="122"/>
      <c r="JWE15" s="122"/>
      <c r="JWF15" s="122"/>
      <c r="JWG15" s="122"/>
      <c r="JWH15" s="122"/>
      <c r="JWI15" s="122"/>
      <c r="JWJ15" s="122"/>
      <c r="JWK15" s="122"/>
      <c r="JWL15" s="122"/>
      <c r="JWM15" s="122"/>
      <c r="JWN15" s="122"/>
      <c r="JWO15" s="122"/>
      <c r="JWP15" s="122"/>
      <c r="JWQ15" s="122"/>
      <c r="JWR15" s="122"/>
      <c r="JWS15" s="122"/>
      <c r="JWT15" s="122"/>
      <c r="JWU15" s="122"/>
      <c r="JWV15" s="122"/>
      <c r="JWW15" s="122"/>
      <c r="JWX15" s="122"/>
      <c r="JWY15" s="122"/>
      <c r="JWZ15" s="122"/>
      <c r="JXA15" s="122"/>
      <c r="JXB15" s="122"/>
      <c r="JXC15" s="122"/>
      <c r="JXD15" s="122"/>
      <c r="JXE15" s="122"/>
      <c r="JXF15" s="122"/>
      <c r="JXG15" s="122"/>
      <c r="JXH15" s="122"/>
      <c r="JXI15" s="122"/>
      <c r="JXJ15" s="122"/>
      <c r="JXK15" s="122"/>
      <c r="JXL15" s="122"/>
      <c r="JXM15" s="122"/>
      <c r="JXN15" s="122"/>
      <c r="JXO15" s="122"/>
      <c r="JXP15" s="122"/>
      <c r="JXQ15" s="122"/>
      <c r="JXR15" s="122"/>
      <c r="JXS15" s="122"/>
      <c r="JXT15" s="122"/>
      <c r="JXU15" s="122"/>
      <c r="JXV15" s="122"/>
      <c r="JXW15" s="122"/>
      <c r="JXX15" s="122"/>
      <c r="JXY15" s="122"/>
      <c r="JXZ15" s="122"/>
      <c r="JYA15" s="122"/>
      <c r="JYB15" s="122"/>
      <c r="JYC15" s="122"/>
      <c r="JYD15" s="122"/>
      <c r="JYE15" s="122"/>
      <c r="JYF15" s="122"/>
      <c r="JYG15" s="122"/>
      <c r="JYH15" s="122"/>
      <c r="JYI15" s="122"/>
      <c r="JYJ15" s="122"/>
      <c r="JYK15" s="122"/>
      <c r="JYL15" s="122"/>
      <c r="JYM15" s="122"/>
      <c r="JYN15" s="122"/>
      <c r="JYO15" s="122"/>
      <c r="JYP15" s="122"/>
      <c r="JYQ15" s="122"/>
      <c r="JYR15" s="122"/>
      <c r="JYS15" s="122"/>
      <c r="JYT15" s="122"/>
      <c r="JYU15" s="122"/>
      <c r="JYV15" s="122"/>
      <c r="JYW15" s="122"/>
      <c r="JYX15" s="122"/>
      <c r="JYY15" s="122"/>
      <c r="JYZ15" s="122"/>
      <c r="JZA15" s="122"/>
      <c r="JZB15" s="122"/>
      <c r="JZC15" s="122"/>
      <c r="JZD15" s="122"/>
      <c r="JZE15" s="122"/>
      <c r="JZF15" s="122"/>
      <c r="JZG15" s="122"/>
      <c r="JZH15" s="122"/>
      <c r="JZI15" s="122"/>
      <c r="JZJ15" s="122"/>
      <c r="JZK15" s="122"/>
      <c r="JZL15" s="122"/>
      <c r="JZM15" s="122"/>
      <c r="JZN15" s="122"/>
      <c r="JZO15" s="122"/>
      <c r="JZP15" s="122"/>
      <c r="JZQ15" s="122"/>
      <c r="JZR15" s="122"/>
      <c r="JZS15" s="122"/>
      <c r="JZT15" s="122"/>
      <c r="JZU15" s="122"/>
      <c r="JZV15" s="122"/>
      <c r="JZW15" s="122"/>
      <c r="JZX15" s="122"/>
      <c r="JZY15" s="122"/>
      <c r="JZZ15" s="122"/>
      <c r="KAA15" s="122"/>
      <c r="KAB15" s="122"/>
      <c r="KAC15" s="122"/>
      <c r="KAD15" s="122"/>
      <c r="KAE15" s="122"/>
      <c r="KAF15" s="122"/>
      <c r="KAG15" s="122"/>
      <c r="KAH15" s="122"/>
      <c r="KAI15" s="122"/>
      <c r="KAJ15" s="122"/>
      <c r="KAK15" s="122"/>
      <c r="KAL15" s="122"/>
      <c r="KAM15" s="122"/>
      <c r="KAN15" s="122"/>
      <c r="KAO15" s="122"/>
      <c r="KAP15" s="122"/>
      <c r="KAQ15" s="122"/>
      <c r="KAR15" s="122"/>
      <c r="KAS15" s="122"/>
      <c r="KAT15" s="122"/>
      <c r="KAU15" s="122"/>
      <c r="KAV15" s="122"/>
      <c r="KAW15" s="122"/>
      <c r="KAX15" s="122"/>
      <c r="KAY15" s="122"/>
      <c r="KAZ15" s="122"/>
      <c r="KBA15" s="122"/>
      <c r="KBB15" s="122"/>
      <c r="KBC15" s="122"/>
      <c r="KBD15" s="122"/>
      <c r="KBE15" s="122"/>
      <c r="KBF15" s="122"/>
      <c r="KBG15" s="122"/>
      <c r="KBH15" s="122"/>
      <c r="KBI15" s="122"/>
      <c r="KBJ15" s="122"/>
      <c r="KBK15" s="122"/>
      <c r="KBL15" s="122"/>
      <c r="KBM15" s="122"/>
      <c r="KBN15" s="122"/>
      <c r="KBO15" s="122"/>
      <c r="KBP15" s="122"/>
      <c r="KBQ15" s="122"/>
      <c r="KBR15" s="122"/>
      <c r="KBS15" s="122"/>
      <c r="KBT15" s="122"/>
      <c r="KBU15" s="122"/>
      <c r="KBV15" s="122"/>
      <c r="KBW15" s="122"/>
      <c r="KBX15" s="122"/>
      <c r="KBY15" s="122"/>
      <c r="KBZ15" s="122"/>
      <c r="KCA15" s="122"/>
      <c r="KCB15" s="122"/>
      <c r="KCC15" s="122"/>
      <c r="KCD15" s="122"/>
      <c r="KCE15" s="122"/>
      <c r="KCF15" s="122"/>
      <c r="KCG15" s="122"/>
      <c r="KCH15" s="122"/>
      <c r="KCI15" s="122"/>
      <c r="KCJ15" s="122"/>
      <c r="KCK15" s="122"/>
      <c r="KCL15" s="122"/>
      <c r="KCM15" s="122"/>
      <c r="KCN15" s="122"/>
      <c r="KCO15" s="122"/>
      <c r="KCP15" s="122"/>
      <c r="KCQ15" s="122"/>
      <c r="KCR15" s="122"/>
      <c r="KCS15" s="122"/>
      <c r="KCT15" s="122"/>
      <c r="KCU15" s="122"/>
      <c r="KCV15" s="122"/>
      <c r="KCW15" s="122"/>
      <c r="KCX15" s="122"/>
      <c r="KCY15" s="122"/>
      <c r="KCZ15" s="122"/>
      <c r="KDA15" s="122"/>
      <c r="KDB15" s="122"/>
      <c r="KDC15" s="122"/>
      <c r="KDD15" s="122"/>
      <c r="KDE15" s="122"/>
      <c r="KDF15" s="122"/>
      <c r="KDG15" s="122"/>
      <c r="KDH15" s="122"/>
      <c r="KDI15" s="122"/>
      <c r="KDJ15" s="122"/>
      <c r="KDK15" s="122"/>
      <c r="KDL15" s="122"/>
      <c r="KDM15" s="122"/>
      <c r="KDN15" s="122"/>
      <c r="KDO15" s="122"/>
      <c r="KDP15" s="122"/>
      <c r="KDQ15" s="122"/>
      <c r="KDR15" s="122"/>
      <c r="KDS15" s="122"/>
      <c r="KDT15" s="122"/>
      <c r="KDU15" s="122"/>
      <c r="KDV15" s="122"/>
      <c r="KDW15" s="122"/>
      <c r="KDX15" s="122"/>
      <c r="KDY15" s="122"/>
      <c r="KDZ15" s="122"/>
      <c r="KEA15" s="122"/>
      <c r="KEB15" s="122"/>
      <c r="KEC15" s="122"/>
      <c r="KED15" s="122"/>
      <c r="KEE15" s="122"/>
      <c r="KEF15" s="122"/>
      <c r="KEG15" s="122"/>
      <c r="KEH15" s="122"/>
      <c r="KEI15" s="122"/>
      <c r="KEJ15" s="122"/>
      <c r="KEK15" s="122"/>
      <c r="KEL15" s="122"/>
      <c r="KEM15" s="122"/>
      <c r="KEN15" s="122"/>
      <c r="KEO15" s="122"/>
      <c r="KEP15" s="122"/>
      <c r="KEQ15" s="122"/>
      <c r="KER15" s="122"/>
      <c r="KES15" s="122"/>
      <c r="KET15" s="122"/>
      <c r="KEU15" s="122"/>
      <c r="KEV15" s="122"/>
      <c r="KEW15" s="122"/>
      <c r="KEX15" s="122"/>
      <c r="KEY15" s="122"/>
      <c r="KEZ15" s="122"/>
      <c r="KFA15" s="122"/>
      <c r="KFB15" s="122"/>
      <c r="KFC15" s="122"/>
      <c r="KFD15" s="122"/>
      <c r="KFE15" s="122"/>
      <c r="KFF15" s="122"/>
      <c r="KFG15" s="122"/>
      <c r="KFH15" s="122"/>
      <c r="KFI15" s="122"/>
      <c r="KFJ15" s="122"/>
      <c r="KFK15" s="122"/>
      <c r="KFL15" s="122"/>
      <c r="KFM15" s="122"/>
      <c r="KFN15" s="122"/>
      <c r="KFO15" s="122"/>
      <c r="KFP15" s="122"/>
      <c r="KFQ15" s="122"/>
      <c r="KFR15" s="122"/>
      <c r="KFS15" s="122"/>
      <c r="KFT15" s="122"/>
      <c r="KFU15" s="122"/>
      <c r="KFV15" s="122"/>
      <c r="KFW15" s="122"/>
      <c r="KFX15" s="122"/>
      <c r="KFY15" s="122"/>
      <c r="KFZ15" s="122"/>
      <c r="KGA15" s="122"/>
      <c r="KGB15" s="122"/>
      <c r="KGC15" s="122"/>
      <c r="KGD15" s="122"/>
      <c r="KGE15" s="122"/>
      <c r="KGF15" s="122"/>
      <c r="KGG15" s="122"/>
      <c r="KGH15" s="122"/>
      <c r="KGI15" s="122"/>
      <c r="KGJ15" s="122"/>
      <c r="KGK15" s="122"/>
      <c r="KGL15" s="122"/>
      <c r="KGM15" s="122"/>
      <c r="KGN15" s="122"/>
      <c r="KGO15" s="122"/>
      <c r="KGP15" s="122"/>
      <c r="KGQ15" s="122"/>
      <c r="KGR15" s="122"/>
      <c r="KGS15" s="122"/>
      <c r="KGT15" s="122"/>
      <c r="KGU15" s="122"/>
      <c r="KGV15" s="122"/>
      <c r="KGW15" s="122"/>
      <c r="KGX15" s="122"/>
      <c r="KGY15" s="122"/>
      <c r="KGZ15" s="122"/>
      <c r="KHA15" s="122"/>
      <c r="KHB15" s="122"/>
      <c r="KHC15" s="122"/>
      <c r="KHD15" s="122"/>
      <c r="KHE15" s="122"/>
      <c r="KHF15" s="122"/>
      <c r="KHG15" s="122"/>
      <c r="KHH15" s="122"/>
      <c r="KHI15" s="122"/>
      <c r="KHJ15" s="122"/>
      <c r="KHK15" s="122"/>
      <c r="KHL15" s="122"/>
      <c r="KHM15" s="122"/>
      <c r="KHN15" s="122"/>
      <c r="KHO15" s="122"/>
      <c r="KHP15" s="122"/>
      <c r="KHQ15" s="122"/>
      <c r="KHR15" s="122"/>
      <c r="KHS15" s="122"/>
      <c r="KHT15" s="122"/>
      <c r="KHU15" s="122"/>
      <c r="KHV15" s="122"/>
      <c r="KHW15" s="122"/>
      <c r="KHX15" s="122"/>
      <c r="KHY15" s="122"/>
      <c r="KHZ15" s="122"/>
      <c r="KIA15" s="122"/>
      <c r="KIB15" s="122"/>
      <c r="KIC15" s="122"/>
      <c r="KID15" s="122"/>
      <c r="KIE15" s="122"/>
      <c r="KIF15" s="122"/>
      <c r="KIG15" s="122"/>
      <c r="KIH15" s="122"/>
      <c r="KII15" s="122"/>
      <c r="KIJ15" s="122"/>
      <c r="KIK15" s="122"/>
      <c r="KIL15" s="122"/>
      <c r="KIM15" s="122"/>
      <c r="KIN15" s="122"/>
      <c r="KIO15" s="122"/>
      <c r="KIP15" s="122"/>
      <c r="KIQ15" s="122"/>
      <c r="KIR15" s="122"/>
      <c r="KIS15" s="122"/>
      <c r="KIT15" s="122"/>
      <c r="KIU15" s="122"/>
      <c r="KIV15" s="122"/>
      <c r="KIW15" s="122"/>
      <c r="KIX15" s="122"/>
      <c r="KIY15" s="122"/>
      <c r="KIZ15" s="122"/>
      <c r="KJA15" s="122"/>
      <c r="KJB15" s="122"/>
      <c r="KJC15" s="122"/>
      <c r="KJD15" s="122"/>
      <c r="KJE15" s="122"/>
      <c r="KJF15" s="122"/>
      <c r="KJG15" s="122"/>
      <c r="KJH15" s="122"/>
      <c r="KJI15" s="122"/>
      <c r="KJJ15" s="122"/>
      <c r="KJK15" s="122"/>
      <c r="KJL15" s="122"/>
      <c r="KJM15" s="122"/>
      <c r="KJN15" s="122"/>
      <c r="KJO15" s="122"/>
      <c r="KJP15" s="122"/>
      <c r="KJQ15" s="122"/>
      <c r="KJR15" s="122"/>
      <c r="KJS15" s="122"/>
      <c r="KJT15" s="122"/>
      <c r="KJU15" s="122"/>
      <c r="KJV15" s="122"/>
      <c r="KJW15" s="122"/>
      <c r="KJX15" s="122"/>
      <c r="KJY15" s="122"/>
      <c r="KJZ15" s="122"/>
      <c r="KKA15" s="122"/>
      <c r="KKB15" s="122"/>
      <c r="KKC15" s="122"/>
      <c r="KKD15" s="122"/>
      <c r="KKE15" s="122"/>
      <c r="KKF15" s="122"/>
      <c r="KKG15" s="122"/>
      <c r="KKH15" s="122"/>
      <c r="KKI15" s="122"/>
      <c r="KKJ15" s="122"/>
      <c r="KKK15" s="122"/>
      <c r="KKL15" s="122"/>
      <c r="KKM15" s="122"/>
      <c r="KKN15" s="122"/>
      <c r="KKO15" s="122"/>
      <c r="KKP15" s="122"/>
      <c r="KKQ15" s="122"/>
      <c r="KKR15" s="122"/>
      <c r="KKS15" s="122"/>
      <c r="KKT15" s="122"/>
      <c r="KKU15" s="122"/>
      <c r="KKV15" s="122"/>
      <c r="KKW15" s="122"/>
      <c r="KKX15" s="122"/>
      <c r="KKY15" s="122"/>
      <c r="KKZ15" s="122"/>
      <c r="KLA15" s="122"/>
      <c r="KLB15" s="122"/>
      <c r="KLC15" s="122"/>
      <c r="KLD15" s="122"/>
      <c r="KLE15" s="122"/>
      <c r="KLF15" s="122"/>
      <c r="KLG15" s="122"/>
      <c r="KLH15" s="122"/>
      <c r="KLI15" s="122"/>
      <c r="KLJ15" s="122"/>
      <c r="KLK15" s="122"/>
      <c r="KLL15" s="122"/>
      <c r="KLM15" s="122"/>
      <c r="KLN15" s="122"/>
      <c r="KLO15" s="122"/>
      <c r="KLP15" s="122"/>
      <c r="KLQ15" s="122"/>
      <c r="KLR15" s="122"/>
      <c r="KLS15" s="122"/>
      <c r="KLT15" s="122"/>
      <c r="KLU15" s="122"/>
      <c r="KLV15" s="122"/>
      <c r="KLW15" s="122"/>
      <c r="KLX15" s="122"/>
      <c r="KLY15" s="122"/>
      <c r="KLZ15" s="122"/>
      <c r="KMA15" s="122"/>
      <c r="KMB15" s="122"/>
      <c r="KMC15" s="122"/>
      <c r="KMD15" s="122"/>
      <c r="KME15" s="122"/>
      <c r="KMF15" s="122"/>
      <c r="KMG15" s="122"/>
      <c r="KMH15" s="122"/>
      <c r="KMI15" s="122"/>
      <c r="KMJ15" s="122"/>
      <c r="KMK15" s="122"/>
      <c r="KML15" s="122"/>
      <c r="KMM15" s="122"/>
      <c r="KMN15" s="122"/>
      <c r="KMO15" s="122"/>
      <c r="KMP15" s="122"/>
      <c r="KMQ15" s="122"/>
      <c r="KMR15" s="122"/>
      <c r="KMS15" s="122"/>
      <c r="KMT15" s="122"/>
      <c r="KMU15" s="122"/>
      <c r="KMV15" s="122"/>
      <c r="KMW15" s="122"/>
      <c r="KMX15" s="122"/>
      <c r="KMY15" s="122"/>
      <c r="KMZ15" s="122"/>
      <c r="KNA15" s="122"/>
      <c r="KNB15" s="122"/>
      <c r="KNC15" s="122"/>
      <c r="KND15" s="122"/>
      <c r="KNE15" s="122"/>
      <c r="KNF15" s="122"/>
      <c r="KNG15" s="122"/>
      <c r="KNH15" s="122"/>
      <c r="KNI15" s="122"/>
      <c r="KNJ15" s="122"/>
      <c r="KNK15" s="122"/>
      <c r="KNL15" s="122"/>
      <c r="KNM15" s="122"/>
      <c r="KNN15" s="122"/>
      <c r="KNO15" s="122"/>
      <c r="KNP15" s="122"/>
      <c r="KNQ15" s="122"/>
      <c r="KNR15" s="122"/>
      <c r="KNS15" s="122"/>
      <c r="KNT15" s="122"/>
      <c r="KNU15" s="122"/>
      <c r="KNV15" s="122"/>
      <c r="KNW15" s="122"/>
      <c r="KNX15" s="122"/>
      <c r="KNY15" s="122"/>
      <c r="KNZ15" s="122"/>
      <c r="KOA15" s="122"/>
      <c r="KOB15" s="122"/>
      <c r="KOC15" s="122"/>
      <c r="KOD15" s="122"/>
      <c r="KOE15" s="122"/>
      <c r="KOF15" s="122"/>
      <c r="KOG15" s="122"/>
      <c r="KOH15" s="122"/>
      <c r="KOI15" s="122"/>
      <c r="KOJ15" s="122"/>
      <c r="KOK15" s="122"/>
      <c r="KOL15" s="122"/>
      <c r="KOM15" s="122"/>
      <c r="KON15" s="122"/>
      <c r="KOO15" s="122"/>
      <c r="KOP15" s="122"/>
      <c r="KOQ15" s="122"/>
      <c r="KOR15" s="122"/>
      <c r="KOS15" s="122"/>
      <c r="KOT15" s="122"/>
      <c r="KOU15" s="122"/>
      <c r="KOV15" s="122"/>
      <c r="KOW15" s="122"/>
      <c r="KOX15" s="122"/>
      <c r="KOY15" s="122"/>
      <c r="KOZ15" s="122"/>
      <c r="KPA15" s="122"/>
      <c r="KPB15" s="122"/>
      <c r="KPC15" s="122"/>
      <c r="KPD15" s="122"/>
      <c r="KPE15" s="122"/>
      <c r="KPF15" s="122"/>
      <c r="KPG15" s="122"/>
      <c r="KPH15" s="122"/>
      <c r="KPI15" s="122"/>
      <c r="KPJ15" s="122"/>
      <c r="KPK15" s="122"/>
      <c r="KPL15" s="122"/>
      <c r="KPM15" s="122"/>
      <c r="KPN15" s="122"/>
      <c r="KPO15" s="122"/>
      <c r="KPP15" s="122"/>
      <c r="KPQ15" s="122"/>
      <c r="KPR15" s="122"/>
      <c r="KPS15" s="122"/>
      <c r="KPT15" s="122"/>
      <c r="KPU15" s="122"/>
      <c r="KPV15" s="122"/>
      <c r="KPW15" s="122"/>
      <c r="KPX15" s="122"/>
      <c r="KPY15" s="122"/>
      <c r="KPZ15" s="122"/>
      <c r="KQA15" s="122"/>
      <c r="KQB15" s="122"/>
      <c r="KQC15" s="122"/>
      <c r="KQD15" s="122"/>
      <c r="KQE15" s="122"/>
      <c r="KQF15" s="122"/>
      <c r="KQG15" s="122"/>
      <c r="KQH15" s="122"/>
      <c r="KQI15" s="122"/>
      <c r="KQJ15" s="122"/>
      <c r="KQK15" s="122"/>
      <c r="KQL15" s="122"/>
      <c r="KQM15" s="122"/>
      <c r="KQN15" s="122"/>
      <c r="KQO15" s="122"/>
      <c r="KQP15" s="122"/>
      <c r="KQQ15" s="122"/>
      <c r="KQR15" s="122"/>
      <c r="KQS15" s="122"/>
      <c r="KQT15" s="122"/>
      <c r="KQU15" s="122"/>
      <c r="KQV15" s="122"/>
      <c r="KQW15" s="122"/>
      <c r="KQX15" s="122"/>
      <c r="KQY15" s="122"/>
      <c r="KQZ15" s="122"/>
      <c r="KRA15" s="122"/>
      <c r="KRB15" s="122"/>
      <c r="KRC15" s="122"/>
      <c r="KRD15" s="122"/>
      <c r="KRE15" s="122"/>
      <c r="KRF15" s="122"/>
      <c r="KRG15" s="122"/>
      <c r="KRH15" s="122"/>
      <c r="KRI15" s="122"/>
      <c r="KRJ15" s="122"/>
      <c r="KRK15" s="122"/>
      <c r="KRL15" s="122"/>
      <c r="KRM15" s="122"/>
      <c r="KRN15" s="122"/>
      <c r="KRO15" s="122"/>
      <c r="KRP15" s="122"/>
      <c r="KRQ15" s="122"/>
      <c r="KRR15" s="122"/>
      <c r="KRS15" s="122"/>
      <c r="KRT15" s="122"/>
      <c r="KRU15" s="122"/>
      <c r="KRV15" s="122"/>
      <c r="KRW15" s="122"/>
      <c r="KRX15" s="122"/>
      <c r="KRY15" s="122"/>
      <c r="KRZ15" s="122"/>
      <c r="KSA15" s="122"/>
      <c r="KSB15" s="122"/>
      <c r="KSC15" s="122"/>
      <c r="KSD15" s="122"/>
      <c r="KSE15" s="122"/>
      <c r="KSF15" s="122"/>
      <c r="KSG15" s="122"/>
      <c r="KSH15" s="122"/>
      <c r="KSI15" s="122"/>
      <c r="KSJ15" s="122"/>
      <c r="KSK15" s="122"/>
      <c r="KSL15" s="122"/>
      <c r="KSM15" s="122"/>
      <c r="KSN15" s="122"/>
      <c r="KSO15" s="122"/>
      <c r="KSP15" s="122"/>
      <c r="KSQ15" s="122"/>
      <c r="KSR15" s="122"/>
      <c r="KSS15" s="122"/>
      <c r="KST15" s="122"/>
      <c r="KSU15" s="122"/>
      <c r="KSV15" s="122"/>
      <c r="KSW15" s="122"/>
      <c r="KSX15" s="122"/>
      <c r="KSY15" s="122"/>
      <c r="KSZ15" s="122"/>
      <c r="KTA15" s="122"/>
      <c r="KTB15" s="122"/>
      <c r="KTC15" s="122"/>
      <c r="KTD15" s="122"/>
      <c r="KTE15" s="122"/>
      <c r="KTF15" s="122"/>
      <c r="KTG15" s="122"/>
      <c r="KTH15" s="122"/>
      <c r="KTI15" s="122"/>
      <c r="KTJ15" s="122"/>
      <c r="KTK15" s="122"/>
      <c r="KTL15" s="122"/>
      <c r="KTM15" s="122"/>
      <c r="KTN15" s="122"/>
      <c r="KTO15" s="122"/>
      <c r="KTP15" s="122"/>
      <c r="KTQ15" s="122"/>
      <c r="KTR15" s="122"/>
      <c r="KTS15" s="122"/>
      <c r="KTT15" s="122"/>
      <c r="KTU15" s="122"/>
      <c r="KTV15" s="122"/>
      <c r="KTW15" s="122"/>
      <c r="KTX15" s="122"/>
      <c r="KTY15" s="122"/>
      <c r="KTZ15" s="122"/>
      <c r="KUA15" s="122"/>
      <c r="KUB15" s="122"/>
      <c r="KUC15" s="122"/>
      <c r="KUD15" s="122"/>
      <c r="KUE15" s="122"/>
      <c r="KUF15" s="122"/>
      <c r="KUG15" s="122"/>
      <c r="KUH15" s="122"/>
      <c r="KUI15" s="122"/>
      <c r="KUJ15" s="122"/>
      <c r="KUK15" s="122"/>
      <c r="KUL15" s="122"/>
      <c r="KUM15" s="122"/>
      <c r="KUN15" s="122"/>
      <c r="KUO15" s="122"/>
      <c r="KUP15" s="122"/>
      <c r="KUQ15" s="122"/>
      <c r="KUR15" s="122"/>
      <c r="KUS15" s="122"/>
      <c r="KUT15" s="122"/>
      <c r="KUU15" s="122"/>
      <c r="KUV15" s="122"/>
      <c r="KUW15" s="122"/>
      <c r="KUX15" s="122"/>
      <c r="KUY15" s="122"/>
      <c r="KUZ15" s="122"/>
      <c r="KVA15" s="122"/>
      <c r="KVB15" s="122"/>
      <c r="KVC15" s="122"/>
      <c r="KVD15" s="122"/>
      <c r="KVE15" s="122"/>
      <c r="KVF15" s="122"/>
      <c r="KVG15" s="122"/>
      <c r="KVH15" s="122"/>
      <c r="KVI15" s="122"/>
      <c r="KVJ15" s="122"/>
      <c r="KVK15" s="122"/>
      <c r="KVL15" s="122"/>
      <c r="KVM15" s="122"/>
      <c r="KVN15" s="122"/>
      <c r="KVO15" s="122"/>
      <c r="KVP15" s="122"/>
      <c r="KVQ15" s="122"/>
      <c r="KVR15" s="122"/>
      <c r="KVS15" s="122"/>
      <c r="KVT15" s="122"/>
      <c r="KVU15" s="122"/>
      <c r="KVV15" s="122"/>
      <c r="KVW15" s="122"/>
      <c r="KVX15" s="122"/>
      <c r="KVY15" s="122"/>
      <c r="KVZ15" s="122"/>
      <c r="KWA15" s="122"/>
      <c r="KWB15" s="122"/>
      <c r="KWC15" s="122"/>
      <c r="KWD15" s="122"/>
      <c r="KWE15" s="122"/>
      <c r="KWF15" s="122"/>
      <c r="KWG15" s="122"/>
      <c r="KWH15" s="122"/>
      <c r="KWI15" s="122"/>
      <c r="KWJ15" s="122"/>
      <c r="KWK15" s="122"/>
      <c r="KWL15" s="122"/>
      <c r="KWM15" s="122"/>
      <c r="KWN15" s="122"/>
      <c r="KWO15" s="122"/>
      <c r="KWP15" s="122"/>
      <c r="KWQ15" s="122"/>
      <c r="KWR15" s="122"/>
      <c r="KWS15" s="122"/>
      <c r="KWT15" s="122"/>
      <c r="KWU15" s="122"/>
      <c r="KWV15" s="122"/>
      <c r="KWW15" s="122"/>
      <c r="KWX15" s="122"/>
      <c r="KWY15" s="122"/>
      <c r="KWZ15" s="122"/>
      <c r="KXA15" s="122"/>
      <c r="KXB15" s="122"/>
      <c r="KXC15" s="122"/>
      <c r="KXD15" s="122"/>
      <c r="KXE15" s="122"/>
      <c r="KXF15" s="122"/>
      <c r="KXG15" s="122"/>
      <c r="KXH15" s="122"/>
      <c r="KXI15" s="122"/>
      <c r="KXJ15" s="122"/>
      <c r="KXK15" s="122"/>
      <c r="KXL15" s="122"/>
      <c r="KXM15" s="122"/>
      <c r="KXN15" s="122"/>
      <c r="KXO15" s="122"/>
      <c r="KXP15" s="122"/>
      <c r="KXQ15" s="122"/>
      <c r="KXR15" s="122"/>
      <c r="KXS15" s="122"/>
      <c r="KXT15" s="122"/>
      <c r="KXU15" s="122"/>
      <c r="KXV15" s="122"/>
      <c r="KXW15" s="122"/>
      <c r="KXX15" s="122"/>
      <c r="KXY15" s="122"/>
      <c r="KXZ15" s="122"/>
      <c r="KYA15" s="122"/>
      <c r="KYB15" s="122"/>
      <c r="KYC15" s="122"/>
      <c r="KYD15" s="122"/>
      <c r="KYE15" s="122"/>
      <c r="KYF15" s="122"/>
      <c r="KYG15" s="122"/>
      <c r="KYH15" s="122"/>
      <c r="KYI15" s="122"/>
      <c r="KYJ15" s="122"/>
      <c r="KYK15" s="122"/>
      <c r="KYL15" s="122"/>
      <c r="KYM15" s="122"/>
      <c r="KYN15" s="122"/>
      <c r="KYO15" s="122"/>
      <c r="KYP15" s="122"/>
      <c r="KYQ15" s="122"/>
      <c r="KYR15" s="122"/>
      <c r="KYS15" s="122"/>
      <c r="KYT15" s="122"/>
      <c r="KYU15" s="122"/>
      <c r="KYV15" s="122"/>
      <c r="KYW15" s="122"/>
      <c r="KYX15" s="122"/>
      <c r="KYY15" s="122"/>
      <c r="KYZ15" s="122"/>
      <c r="KZA15" s="122"/>
      <c r="KZB15" s="122"/>
      <c r="KZC15" s="122"/>
      <c r="KZD15" s="122"/>
      <c r="KZE15" s="122"/>
      <c r="KZF15" s="122"/>
      <c r="KZG15" s="122"/>
      <c r="KZH15" s="122"/>
      <c r="KZI15" s="122"/>
      <c r="KZJ15" s="122"/>
      <c r="KZK15" s="122"/>
      <c r="KZL15" s="122"/>
      <c r="KZM15" s="122"/>
      <c r="KZN15" s="122"/>
      <c r="KZO15" s="122"/>
      <c r="KZP15" s="122"/>
      <c r="KZQ15" s="122"/>
      <c r="KZR15" s="122"/>
      <c r="KZS15" s="122"/>
      <c r="KZT15" s="122"/>
      <c r="KZU15" s="122"/>
      <c r="KZV15" s="122"/>
      <c r="KZW15" s="122"/>
      <c r="KZX15" s="122"/>
      <c r="KZY15" s="122"/>
      <c r="KZZ15" s="122"/>
      <c r="LAA15" s="122"/>
      <c r="LAB15" s="122"/>
      <c r="LAC15" s="122"/>
      <c r="LAD15" s="122"/>
      <c r="LAE15" s="122"/>
      <c r="LAF15" s="122"/>
      <c r="LAG15" s="122"/>
      <c r="LAH15" s="122"/>
      <c r="LAI15" s="122"/>
      <c r="LAJ15" s="122"/>
      <c r="LAK15" s="122"/>
      <c r="LAL15" s="122"/>
      <c r="LAM15" s="122"/>
      <c r="LAN15" s="122"/>
      <c r="LAO15" s="122"/>
      <c r="LAP15" s="122"/>
      <c r="LAQ15" s="122"/>
      <c r="LAR15" s="122"/>
      <c r="LAS15" s="122"/>
      <c r="LAT15" s="122"/>
      <c r="LAU15" s="122"/>
      <c r="LAV15" s="122"/>
      <c r="LAW15" s="122"/>
      <c r="LAX15" s="122"/>
      <c r="LAY15" s="122"/>
      <c r="LAZ15" s="122"/>
      <c r="LBA15" s="122"/>
      <c r="LBB15" s="122"/>
      <c r="LBC15" s="122"/>
      <c r="LBD15" s="122"/>
      <c r="LBE15" s="122"/>
      <c r="LBF15" s="122"/>
      <c r="LBG15" s="122"/>
      <c r="LBH15" s="122"/>
      <c r="LBI15" s="122"/>
      <c r="LBJ15" s="122"/>
      <c r="LBK15" s="122"/>
      <c r="LBL15" s="122"/>
      <c r="LBM15" s="122"/>
      <c r="LBN15" s="122"/>
      <c r="LBO15" s="122"/>
      <c r="LBP15" s="122"/>
      <c r="LBQ15" s="122"/>
      <c r="LBR15" s="122"/>
      <c r="LBS15" s="122"/>
      <c r="LBT15" s="122"/>
      <c r="LBU15" s="122"/>
      <c r="LBV15" s="122"/>
      <c r="LBW15" s="122"/>
      <c r="LBX15" s="122"/>
      <c r="LBY15" s="122"/>
      <c r="LBZ15" s="122"/>
      <c r="LCA15" s="122"/>
      <c r="LCB15" s="122"/>
      <c r="LCC15" s="122"/>
      <c r="LCD15" s="122"/>
      <c r="LCE15" s="122"/>
      <c r="LCF15" s="122"/>
      <c r="LCG15" s="122"/>
      <c r="LCH15" s="122"/>
      <c r="LCI15" s="122"/>
      <c r="LCJ15" s="122"/>
      <c r="LCK15" s="122"/>
      <c r="LCL15" s="122"/>
      <c r="LCM15" s="122"/>
      <c r="LCN15" s="122"/>
      <c r="LCO15" s="122"/>
      <c r="LCP15" s="122"/>
      <c r="LCQ15" s="122"/>
      <c r="LCR15" s="122"/>
      <c r="LCS15" s="122"/>
      <c r="LCT15" s="122"/>
      <c r="LCU15" s="122"/>
      <c r="LCV15" s="122"/>
      <c r="LCW15" s="122"/>
      <c r="LCX15" s="122"/>
      <c r="LCY15" s="122"/>
      <c r="LCZ15" s="122"/>
      <c r="LDA15" s="122"/>
      <c r="LDB15" s="122"/>
      <c r="LDC15" s="122"/>
      <c r="LDD15" s="122"/>
      <c r="LDE15" s="122"/>
      <c r="LDF15" s="122"/>
      <c r="LDG15" s="122"/>
      <c r="LDH15" s="122"/>
      <c r="LDI15" s="122"/>
      <c r="LDJ15" s="122"/>
      <c r="LDK15" s="122"/>
      <c r="LDL15" s="122"/>
      <c r="LDM15" s="122"/>
      <c r="LDN15" s="122"/>
      <c r="LDO15" s="122"/>
      <c r="LDP15" s="122"/>
      <c r="LDQ15" s="122"/>
      <c r="LDR15" s="122"/>
      <c r="LDS15" s="122"/>
      <c r="LDT15" s="122"/>
      <c r="LDU15" s="122"/>
      <c r="LDV15" s="122"/>
      <c r="LDW15" s="122"/>
      <c r="LDX15" s="122"/>
      <c r="LDY15" s="122"/>
      <c r="LDZ15" s="122"/>
      <c r="LEA15" s="122"/>
      <c r="LEB15" s="122"/>
      <c r="LEC15" s="122"/>
      <c r="LED15" s="122"/>
      <c r="LEE15" s="122"/>
      <c r="LEF15" s="122"/>
      <c r="LEG15" s="122"/>
      <c r="LEH15" s="122"/>
      <c r="LEI15" s="122"/>
      <c r="LEJ15" s="122"/>
      <c r="LEK15" s="122"/>
      <c r="LEL15" s="122"/>
      <c r="LEM15" s="122"/>
      <c r="LEN15" s="122"/>
      <c r="LEO15" s="122"/>
      <c r="LEP15" s="122"/>
      <c r="LEQ15" s="122"/>
      <c r="LER15" s="122"/>
      <c r="LES15" s="122"/>
      <c r="LET15" s="122"/>
      <c r="LEU15" s="122"/>
      <c r="LEV15" s="122"/>
      <c r="LEW15" s="122"/>
      <c r="LEX15" s="122"/>
      <c r="LEY15" s="122"/>
      <c r="LEZ15" s="122"/>
      <c r="LFA15" s="122"/>
      <c r="LFB15" s="122"/>
      <c r="LFC15" s="122"/>
      <c r="LFD15" s="122"/>
      <c r="LFE15" s="122"/>
      <c r="LFF15" s="122"/>
      <c r="LFG15" s="122"/>
      <c r="LFH15" s="122"/>
      <c r="LFI15" s="122"/>
      <c r="LFJ15" s="122"/>
      <c r="LFK15" s="122"/>
      <c r="LFL15" s="122"/>
      <c r="LFM15" s="122"/>
      <c r="LFN15" s="122"/>
      <c r="LFO15" s="122"/>
      <c r="LFP15" s="122"/>
      <c r="LFQ15" s="122"/>
      <c r="LFR15" s="122"/>
      <c r="LFS15" s="122"/>
      <c r="LFT15" s="122"/>
      <c r="LFU15" s="122"/>
      <c r="LFV15" s="122"/>
      <c r="LFW15" s="122"/>
      <c r="LFX15" s="122"/>
      <c r="LFY15" s="122"/>
      <c r="LFZ15" s="122"/>
      <c r="LGA15" s="122"/>
      <c r="LGB15" s="122"/>
      <c r="LGC15" s="122"/>
      <c r="LGD15" s="122"/>
      <c r="LGE15" s="122"/>
      <c r="LGF15" s="122"/>
      <c r="LGG15" s="122"/>
      <c r="LGH15" s="122"/>
      <c r="LGI15" s="122"/>
      <c r="LGJ15" s="122"/>
      <c r="LGK15" s="122"/>
      <c r="LGL15" s="122"/>
      <c r="LGM15" s="122"/>
      <c r="LGN15" s="122"/>
      <c r="LGO15" s="122"/>
      <c r="LGP15" s="122"/>
      <c r="LGQ15" s="122"/>
      <c r="LGR15" s="122"/>
      <c r="LGS15" s="122"/>
      <c r="LGT15" s="122"/>
      <c r="LGU15" s="122"/>
      <c r="LGV15" s="122"/>
      <c r="LGW15" s="122"/>
      <c r="LGX15" s="122"/>
      <c r="LGY15" s="122"/>
      <c r="LGZ15" s="122"/>
      <c r="LHA15" s="122"/>
      <c r="LHB15" s="122"/>
      <c r="LHC15" s="122"/>
      <c r="LHD15" s="122"/>
      <c r="LHE15" s="122"/>
      <c r="LHF15" s="122"/>
      <c r="LHG15" s="122"/>
      <c r="LHH15" s="122"/>
      <c r="LHI15" s="122"/>
      <c r="LHJ15" s="122"/>
      <c r="LHK15" s="122"/>
      <c r="LHL15" s="122"/>
      <c r="LHM15" s="122"/>
      <c r="LHN15" s="122"/>
      <c r="LHO15" s="122"/>
      <c r="LHP15" s="122"/>
      <c r="LHQ15" s="122"/>
      <c r="LHR15" s="122"/>
      <c r="LHS15" s="122"/>
      <c r="LHT15" s="122"/>
      <c r="LHU15" s="122"/>
      <c r="LHV15" s="122"/>
      <c r="LHW15" s="122"/>
      <c r="LHX15" s="122"/>
      <c r="LHY15" s="122"/>
      <c r="LHZ15" s="122"/>
      <c r="LIA15" s="122"/>
      <c r="LIB15" s="122"/>
      <c r="LIC15" s="122"/>
      <c r="LID15" s="122"/>
      <c r="LIE15" s="122"/>
      <c r="LIF15" s="122"/>
      <c r="LIG15" s="122"/>
      <c r="LIH15" s="122"/>
      <c r="LII15" s="122"/>
      <c r="LIJ15" s="122"/>
      <c r="LIK15" s="122"/>
      <c r="LIL15" s="122"/>
      <c r="LIM15" s="122"/>
      <c r="LIN15" s="122"/>
      <c r="LIO15" s="122"/>
      <c r="LIP15" s="122"/>
      <c r="LIQ15" s="122"/>
      <c r="LIR15" s="122"/>
      <c r="LIS15" s="122"/>
      <c r="LIT15" s="122"/>
      <c r="LIU15" s="122"/>
      <c r="LIV15" s="122"/>
      <c r="LIW15" s="122"/>
      <c r="LIX15" s="122"/>
      <c r="LIY15" s="122"/>
      <c r="LIZ15" s="122"/>
      <c r="LJA15" s="122"/>
      <c r="LJB15" s="122"/>
      <c r="LJC15" s="122"/>
      <c r="LJD15" s="122"/>
      <c r="LJE15" s="122"/>
      <c r="LJF15" s="122"/>
      <c r="LJG15" s="122"/>
      <c r="LJH15" s="122"/>
      <c r="LJI15" s="122"/>
      <c r="LJJ15" s="122"/>
      <c r="LJK15" s="122"/>
      <c r="LJL15" s="122"/>
      <c r="LJM15" s="122"/>
      <c r="LJN15" s="122"/>
      <c r="LJO15" s="122"/>
      <c r="LJP15" s="122"/>
      <c r="LJQ15" s="122"/>
      <c r="LJR15" s="122"/>
      <c r="LJS15" s="122"/>
      <c r="LJT15" s="122"/>
      <c r="LJU15" s="122"/>
      <c r="LJV15" s="122"/>
      <c r="LJW15" s="122"/>
      <c r="LJX15" s="122"/>
      <c r="LJY15" s="122"/>
      <c r="LJZ15" s="122"/>
      <c r="LKA15" s="122"/>
      <c r="LKB15" s="122"/>
      <c r="LKC15" s="122"/>
      <c r="LKD15" s="122"/>
      <c r="LKE15" s="122"/>
      <c r="LKF15" s="122"/>
      <c r="LKG15" s="122"/>
      <c r="LKH15" s="122"/>
      <c r="LKI15" s="122"/>
      <c r="LKJ15" s="122"/>
      <c r="LKK15" s="122"/>
      <c r="LKL15" s="122"/>
      <c r="LKM15" s="122"/>
      <c r="LKN15" s="122"/>
      <c r="LKO15" s="122"/>
      <c r="LKP15" s="122"/>
      <c r="LKQ15" s="122"/>
      <c r="LKR15" s="122"/>
      <c r="LKS15" s="122"/>
      <c r="LKT15" s="122"/>
      <c r="LKU15" s="122"/>
      <c r="LKV15" s="122"/>
      <c r="LKW15" s="122"/>
      <c r="LKX15" s="122"/>
      <c r="LKY15" s="122"/>
      <c r="LKZ15" s="122"/>
      <c r="LLA15" s="122"/>
      <c r="LLB15" s="122"/>
      <c r="LLC15" s="122"/>
      <c r="LLD15" s="122"/>
      <c r="LLE15" s="122"/>
      <c r="LLF15" s="122"/>
      <c r="LLG15" s="122"/>
      <c r="LLH15" s="122"/>
      <c r="LLI15" s="122"/>
      <c r="LLJ15" s="122"/>
      <c r="LLK15" s="122"/>
      <c r="LLL15" s="122"/>
      <c r="LLM15" s="122"/>
      <c r="LLN15" s="122"/>
      <c r="LLO15" s="122"/>
      <c r="LLP15" s="122"/>
      <c r="LLQ15" s="122"/>
      <c r="LLR15" s="122"/>
      <c r="LLS15" s="122"/>
      <c r="LLT15" s="122"/>
      <c r="LLU15" s="122"/>
      <c r="LLV15" s="122"/>
      <c r="LLW15" s="122"/>
      <c r="LLX15" s="122"/>
      <c r="LLY15" s="122"/>
      <c r="LLZ15" s="122"/>
      <c r="LMA15" s="122"/>
      <c r="LMB15" s="122"/>
      <c r="LMC15" s="122"/>
      <c r="LMD15" s="122"/>
      <c r="LME15" s="122"/>
      <c r="LMF15" s="122"/>
      <c r="LMG15" s="122"/>
      <c r="LMH15" s="122"/>
      <c r="LMI15" s="122"/>
      <c r="LMJ15" s="122"/>
      <c r="LMK15" s="122"/>
      <c r="LML15" s="122"/>
      <c r="LMM15" s="122"/>
      <c r="LMN15" s="122"/>
      <c r="LMO15" s="122"/>
      <c r="LMP15" s="122"/>
      <c r="LMQ15" s="122"/>
      <c r="LMR15" s="122"/>
      <c r="LMS15" s="122"/>
      <c r="LMT15" s="122"/>
      <c r="LMU15" s="122"/>
      <c r="LMV15" s="122"/>
      <c r="LMW15" s="122"/>
      <c r="LMX15" s="122"/>
      <c r="LMY15" s="122"/>
      <c r="LMZ15" s="122"/>
      <c r="LNA15" s="122"/>
      <c r="LNB15" s="122"/>
      <c r="LNC15" s="122"/>
      <c r="LND15" s="122"/>
      <c r="LNE15" s="122"/>
      <c r="LNF15" s="122"/>
      <c r="LNG15" s="122"/>
      <c r="LNH15" s="122"/>
      <c r="LNI15" s="122"/>
      <c r="LNJ15" s="122"/>
      <c r="LNK15" s="122"/>
      <c r="LNL15" s="122"/>
      <c r="LNM15" s="122"/>
      <c r="LNN15" s="122"/>
      <c r="LNO15" s="122"/>
      <c r="LNP15" s="122"/>
      <c r="LNQ15" s="122"/>
      <c r="LNR15" s="122"/>
      <c r="LNS15" s="122"/>
      <c r="LNT15" s="122"/>
      <c r="LNU15" s="122"/>
      <c r="LNV15" s="122"/>
      <c r="LNW15" s="122"/>
      <c r="LNX15" s="122"/>
      <c r="LNY15" s="122"/>
      <c r="LNZ15" s="122"/>
      <c r="LOA15" s="122"/>
      <c r="LOB15" s="122"/>
      <c r="LOC15" s="122"/>
      <c r="LOD15" s="122"/>
      <c r="LOE15" s="122"/>
      <c r="LOF15" s="122"/>
      <c r="LOG15" s="122"/>
      <c r="LOH15" s="122"/>
      <c r="LOI15" s="122"/>
      <c r="LOJ15" s="122"/>
      <c r="LOK15" s="122"/>
      <c r="LOL15" s="122"/>
      <c r="LOM15" s="122"/>
      <c r="LON15" s="122"/>
      <c r="LOO15" s="122"/>
      <c r="LOP15" s="122"/>
      <c r="LOQ15" s="122"/>
      <c r="LOR15" s="122"/>
      <c r="LOS15" s="122"/>
      <c r="LOT15" s="122"/>
      <c r="LOU15" s="122"/>
      <c r="LOV15" s="122"/>
      <c r="LOW15" s="122"/>
      <c r="LOX15" s="122"/>
      <c r="LOY15" s="122"/>
      <c r="LOZ15" s="122"/>
      <c r="LPA15" s="122"/>
      <c r="LPB15" s="122"/>
      <c r="LPC15" s="122"/>
      <c r="LPD15" s="122"/>
      <c r="LPE15" s="122"/>
      <c r="LPF15" s="122"/>
      <c r="LPG15" s="122"/>
      <c r="LPH15" s="122"/>
      <c r="LPI15" s="122"/>
      <c r="LPJ15" s="122"/>
      <c r="LPK15" s="122"/>
      <c r="LPL15" s="122"/>
      <c r="LPM15" s="122"/>
      <c r="LPN15" s="122"/>
      <c r="LPO15" s="122"/>
      <c r="LPP15" s="122"/>
      <c r="LPQ15" s="122"/>
      <c r="LPR15" s="122"/>
      <c r="LPS15" s="122"/>
      <c r="LPT15" s="122"/>
      <c r="LPU15" s="122"/>
      <c r="LPV15" s="122"/>
      <c r="LPW15" s="122"/>
      <c r="LPX15" s="122"/>
      <c r="LPY15" s="122"/>
      <c r="LPZ15" s="122"/>
      <c r="LQA15" s="122"/>
      <c r="LQB15" s="122"/>
      <c r="LQC15" s="122"/>
      <c r="LQD15" s="122"/>
      <c r="LQE15" s="122"/>
      <c r="LQF15" s="122"/>
      <c r="LQG15" s="122"/>
      <c r="LQH15" s="122"/>
      <c r="LQI15" s="122"/>
      <c r="LQJ15" s="122"/>
      <c r="LQK15" s="122"/>
      <c r="LQL15" s="122"/>
      <c r="LQM15" s="122"/>
      <c r="LQN15" s="122"/>
      <c r="LQO15" s="122"/>
      <c r="LQP15" s="122"/>
      <c r="LQQ15" s="122"/>
      <c r="LQR15" s="122"/>
      <c r="LQS15" s="122"/>
      <c r="LQT15" s="122"/>
      <c r="LQU15" s="122"/>
      <c r="LQV15" s="122"/>
      <c r="LQW15" s="122"/>
      <c r="LQX15" s="122"/>
      <c r="LQY15" s="122"/>
      <c r="LQZ15" s="122"/>
      <c r="LRA15" s="122"/>
      <c r="LRB15" s="122"/>
      <c r="LRC15" s="122"/>
      <c r="LRD15" s="122"/>
      <c r="LRE15" s="122"/>
      <c r="LRF15" s="122"/>
      <c r="LRG15" s="122"/>
      <c r="LRH15" s="122"/>
      <c r="LRI15" s="122"/>
      <c r="LRJ15" s="122"/>
      <c r="LRK15" s="122"/>
      <c r="LRL15" s="122"/>
      <c r="LRM15" s="122"/>
      <c r="LRN15" s="122"/>
      <c r="LRO15" s="122"/>
      <c r="LRP15" s="122"/>
      <c r="LRQ15" s="122"/>
      <c r="LRR15" s="122"/>
      <c r="LRS15" s="122"/>
      <c r="LRT15" s="122"/>
      <c r="LRU15" s="122"/>
      <c r="LRV15" s="122"/>
      <c r="LRW15" s="122"/>
      <c r="LRX15" s="122"/>
      <c r="LRY15" s="122"/>
      <c r="LRZ15" s="122"/>
      <c r="LSA15" s="122"/>
      <c r="LSB15" s="122"/>
      <c r="LSC15" s="122"/>
      <c r="LSD15" s="122"/>
      <c r="LSE15" s="122"/>
      <c r="LSF15" s="122"/>
      <c r="LSG15" s="122"/>
      <c r="LSH15" s="122"/>
      <c r="LSI15" s="122"/>
      <c r="LSJ15" s="122"/>
      <c r="LSK15" s="122"/>
      <c r="LSL15" s="122"/>
      <c r="LSM15" s="122"/>
      <c r="LSN15" s="122"/>
      <c r="LSO15" s="122"/>
      <c r="LSP15" s="122"/>
      <c r="LSQ15" s="122"/>
      <c r="LSR15" s="122"/>
      <c r="LSS15" s="122"/>
      <c r="LST15" s="122"/>
      <c r="LSU15" s="122"/>
      <c r="LSV15" s="122"/>
      <c r="LSW15" s="122"/>
      <c r="LSX15" s="122"/>
      <c r="LSY15" s="122"/>
      <c r="LSZ15" s="122"/>
      <c r="LTA15" s="122"/>
      <c r="LTB15" s="122"/>
      <c r="LTC15" s="122"/>
      <c r="LTD15" s="122"/>
      <c r="LTE15" s="122"/>
      <c r="LTF15" s="122"/>
      <c r="LTG15" s="122"/>
      <c r="LTH15" s="122"/>
      <c r="LTI15" s="122"/>
      <c r="LTJ15" s="122"/>
      <c r="LTK15" s="122"/>
      <c r="LTL15" s="122"/>
      <c r="LTM15" s="122"/>
      <c r="LTN15" s="122"/>
      <c r="LTO15" s="122"/>
      <c r="LTP15" s="122"/>
      <c r="LTQ15" s="122"/>
      <c r="LTR15" s="122"/>
      <c r="LTS15" s="122"/>
      <c r="LTT15" s="122"/>
      <c r="LTU15" s="122"/>
      <c r="LTV15" s="122"/>
      <c r="LTW15" s="122"/>
      <c r="LTX15" s="122"/>
      <c r="LTY15" s="122"/>
      <c r="LTZ15" s="122"/>
      <c r="LUA15" s="122"/>
      <c r="LUB15" s="122"/>
      <c r="LUC15" s="122"/>
      <c r="LUD15" s="122"/>
      <c r="LUE15" s="122"/>
      <c r="LUF15" s="122"/>
      <c r="LUG15" s="122"/>
      <c r="LUH15" s="122"/>
      <c r="LUI15" s="122"/>
      <c r="LUJ15" s="122"/>
      <c r="LUK15" s="122"/>
      <c r="LUL15" s="122"/>
      <c r="LUM15" s="122"/>
      <c r="LUN15" s="122"/>
      <c r="LUO15" s="122"/>
      <c r="LUP15" s="122"/>
      <c r="LUQ15" s="122"/>
      <c r="LUR15" s="122"/>
      <c r="LUS15" s="122"/>
      <c r="LUT15" s="122"/>
      <c r="LUU15" s="122"/>
      <c r="LUV15" s="122"/>
      <c r="LUW15" s="122"/>
      <c r="LUX15" s="122"/>
      <c r="LUY15" s="122"/>
      <c r="LUZ15" s="122"/>
      <c r="LVA15" s="122"/>
      <c r="LVB15" s="122"/>
      <c r="LVC15" s="122"/>
      <c r="LVD15" s="122"/>
      <c r="LVE15" s="122"/>
      <c r="LVF15" s="122"/>
      <c r="LVG15" s="122"/>
      <c r="LVH15" s="122"/>
      <c r="LVI15" s="122"/>
      <c r="LVJ15" s="122"/>
      <c r="LVK15" s="122"/>
      <c r="LVL15" s="122"/>
      <c r="LVM15" s="122"/>
      <c r="LVN15" s="122"/>
      <c r="LVO15" s="122"/>
      <c r="LVP15" s="122"/>
      <c r="LVQ15" s="122"/>
      <c r="LVR15" s="122"/>
      <c r="LVS15" s="122"/>
      <c r="LVT15" s="122"/>
      <c r="LVU15" s="122"/>
      <c r="LVV15" s="122"/>
      <c r="LVW15" s="122"/>
      <c r="LVX15" s="122"/>
      <c r="LVY15" s="122"/>
      <c r="LVZ15" s="122"/>
      <c r="LWA15" s="122"/>
      <c r="LWB15" s="122"/>
      <c r="LWC15" s="122"/>
      <c r="LWD15" s="122"/>
      <c r="LWE15" s="122"/>
      <c r="LWF15" s="122"/>
      <c r="LWG15" s="122"/>
      <c r="LWH15" s="122"/>
      <c r="LWI15" s="122"/>
      <c r="LWJ15" s="122"/>
      <c r="LWK15" s="122"/>
      <c r="LWL15" s="122"/>
      <c r="LWM15" s="122"/>
      <c r="LWN15" s="122"/>
      <c r="LWO15" s="122"/>
      <c r="LWP15" s="122"/>
      <c r="LWQ15" s="122"/>
      <c r="LWR15" s="122"/>
      <c r="LWS15" s="122"/>
      <c r="LWT15" s="122"/>
      <c r="LWU15" s="122"/>
      <c r="LWV15" s="122"/>
      <c r="LWW15" s="122"/>
      <c r="LWX15" s="122"/>
      <c r="LWY15" s="122"/>
      <c r="LWZ15" s="122"/>
      <c r="LXA15" s="122"/>
      <c r="LXB15" s="122"/>
      <c r="LXC15" s="122"/>
      <c r="LXD15" s="122"/>
      <c r="LXE15" s="122"/>
      <c r="LXF15" s="122"/>
      <c r="LXG15" s="122"/>
      <c r="LXH15" s="122"/>
      <c r="LXI15" s="122"/>
      <c r="LXJ15" s="122"/>
      <c r="LXK15" s="122"/>
      <c r="LXL15" s="122"/>
      <c r="LXM15" s="122"/>
      <c r="LXN15" s="122"/>
      <c r="LXO15" s="122"/>
      <c r="LXP15" s="122"/>
      <c r="LXQ15" s="122"/>
      <c r="LXR15" s="122"/>
      <c r="LXS15" s="122"/>
      <c r="LXT15" s="122"/>
      <c r="LXU15" s="122"/>
      <c r="LXV15" s="122"/>
      <c r="LXW15" s="122"/>
      <c r="LXX15" s="122"/>
      <c r="LXY15" s="122"/>
      <c r="LXZ15" s="122"/>
      <c r="LYA15" s="122"/>
      <c r="LYB15" s="122"/>
      <c r="LYC15" s="122"/>
      <c r="LYD15" s="122"/>
      <c r="LYE15" s="122"/>
      <c r="LYF15" s="122"/>
      <c r="LYG15" s="122"/>
      <c r="LYH15" s="122"/>
      <c r="LYI15" s="122"/>
      <c r="LYJ15" s="122"/>
      <c r="LYK15" s="122"/>
      <c r="LYL15" s="122"/>
      <c r="LYM15" s="122"/>
      <c r="LYN15" s="122"/>
      <c r="LYO15" s="122"/>
      <c r="LYP15" s="122"/>
      <c r="LYQ15" s="122"/>
      <c r="LYR15" s="122"/>
      <c r="LYS15" s="122"/>
      <c r="LYT15" s="122"/>
      <c r="LYU15" s="122"/>
      <c r="LYV15" s="122"/>
      <c r="LYW15" s="122"/>
      <c r="LYX15" s="122"/>
      <c r="LYY15" s="122"/>
      <c r="LYZ15" s="122"/>
      <c r="LZA15" s="122"/>
      <c r="LZB15" s="122"/>
      <c r="LZC15" s="122"/>
      <c r="LZD15" s="122"/>
      <c r="LZE15" s="122"/>
      <c r="LZF15" s="122"/>
      <c r="LZG15" s="122"/>
      <c r="LZH15" s="122"/>
      <c r="LZI15" s="122"/>
      <c r="LZJ15" s="122"/>
      <c r="LZK15" s="122"/>
      <c r="LZL15" s="122"/>
      <c r="LZM15" s="122"/>
      <c r="LZN15" s="122"/>
      <c r="LZO15" s="122"/>
      <c r="LZP15" s="122"/>
      <c r="LZQ15" s="122"/>
      <c r="LZR15" s="122"/>
      <c r="LZS15" s="122"/>
      <c r="LZT15" s="122"/>
      <c r="LZU15" s="122"/>
      <c r="LZV15" s="122"/>
      <c r="LZW15" s="122"/>
      <c r="LZX15" s="122"/>
      <c r="LZY15" s="122"/>
      <c r="LZZ15" s="122"/>
      <c r="MAA15" s="122"/>
      <c r="MAB15" s="122"/>
      <c r="MAC15" s="122"/>
      <c r="MAD15" s="122"/>
      <c r="MAE15" s="122"/>
      <c r="MAF15" s="122"/>
      <c r="MAG15" s="122"/>
      <c r="MAH15" s="122"/>
      <c r="MAI15" s="122"/>
      <c r="MAJ15" s="122"/>
      <c r="MAK15" s="122"/>
      <c r="MAL15" s="122"/>
      <c r="MAM15" s="122"/>
      <c r="MAN15" s="122"/>
      <c r="MAO15" s="122"/>
      <c r="MAP15" s="122"/>
      <c r="MAQ15" s="122"/>
      <c r="MAR15" s="122"/>
      <c r="MAS15" s="122"/>
      <c r="MAT15" s="122"/>
      <c r="MAU15" s="122"/>
      <c r="MAV15" s="122"/>
      <c r="MAW15" s="122"/>
      <c r="MAX15" s="122"/>
      <c r="MAY15" s="122"/>
      <c r="MAZ15" s="122"/>
      <c r="MBA15" s="122"/>
      <c r="MBB15" s="122"/>
      <c r="MBC15" s="122"/>
      <c r="MBD15" s="122"/>
      <c r="MBE15" s="122"/>
      <c r="MBF15" s="122"/>
      <c r="MBG15" s="122"/>
      <c r="MBH15" s="122"/>
      <c r="MBI15" s="122"/>
      <c r="MBJ15" s="122"/>
      <c r="MBK15" s="122"/>
      <c r="MBL15" s="122"/>
      <c r="MBM15" s="122"/>
      <c r="MBN15" s="122"/>
      <c r="MBO15" s="122"/>
      <c r="MBP15" s="122"/>
      <c r="MBQ15" s="122"/>
      <c r="MBR15" s="122"/>
      <c r="MBS15" s="122"/>
      <c r="MBT15" s="122"/>
      <c r="MBU15" s="122"/>
      <c r="MBV15" s="122"/>
      <c r="MBW15" s="122"/>
      <c r="MBX15" s="122"/>
      <c r="MBY15" s="122"/>
      <c r="MBZ15" s="122"/>
      <c r="MCA15" s="122"/>
      <c r="MCB15" s="122"/>
      <c r="MCC15" s="122"/>
      <c r="MCD15" s="122"/>
      <c r="MCE15" s="122"/>
      <c r="MCF15" s="122"/>
      <c r="MCG15" s="122"/>
      <c r="MCH15" s="122"/>
      <c r="MCI15" s="122"/>
      <c r="MCJ15" s="122"/>
      <c r="MCK15" s="122"/>
      <c r="MCL15" s="122"/>
      <c r="MCM15" s="122"/>
      <c r="MCN15" s="122"/>
      <c r="MCO15" s="122"/>
      <c r="MCP15" s="122"/>
      <c r="MCQ15" s="122"/>
      <c r="MCR15" s="122"/>
      <c r="MCS15" s="122"/>
      <c r="MCT15" s="122"/>
      <c r="MCU15" s="122"/>
      <c r="MCV15" s="122"/>
      <c r="MCW15" s="122"/>
      <c r="MCX15" s="122"/>
      <c r="MCY15" s="122"/>
      <c r="MCZ15" s="122"/>
      <c r="MDA15" s="122"/>
      <c r="MDB15" s="122"/>
      <c r="MDC15" s="122"/>
      <c r="MDD15" s="122"/>
      <c r="MDE15" s="122"/>
      <c r="MDF15" s="122"/>
      <c r="MDG15" s="122"/>
      <c r="MDH15" s="122"/>
      <c r="MDI15" s="122"/>
      <c r="MDJ15" s="122"/>
      <c r="MDK15" s="122"/>
      <c r="MDL15" s="122"/>
      <c r="MDM15" s="122"/>
      <c r="MDN15" s="122"/>
      <c r="MDO15" s="122"/>
      <c r="MDP15" s="122"/>
      <c r="MDQ15" s="122"/>
      <c r="MDR15" s="122"/>
      <c r="MDS15" s="122"/>
      <c r="MDT15" s="122"/>
      <c r="MDU15" s="122"/>
      <c r="MDV15" s="122"/>
      <c r="MDW15" s="122"/>
      <c r="MDX15" s="122"/>
      <c r="MDY15" s="122"/>
      <c r="MDZ15" s="122"/>
      <c r="MEA15" s="122"/>
      <c r="MEB15" s="122"/>
      <c r="MEC15" s="122"/>
      <c r="MED15" s="122"/>
      <c r="MEE15" s="122"/>
      <c r="MEF15" s="122"/>
      <c r="MEG15" s="122"/>
      <c r="MEH15" s="122"/>
      <c r="MEI15" s="122"/>
      <c r="MEJ15" s="122"/>
      <c r="MEK15" s="122"/>
      <c r="MEL15" s="122"/>
      <c r="MEM15" s="122"/>
      <c r="MEN15" s="122"/>
      <c r="MEO15" s="122"/>
      <c r="MEP15" s="122"/>
      <c r="MEQ15" s="122"/>
      <c r="MER15" s="122"/>
      <c r="MES15" s="122"/>
      <c r="MET15" s="122"/>
      <c r="MEU15" s="122"/>
      <c r="MEV15" s="122"/>
      <c r="MEW15" s="122"/>
      <c r="MEX15" s="122"/>
      <c r="MEY15" s="122"/>
      <c r="MEZ15" s="122"/>
      <c r="MFA15" s="122"/>
      <c r="MFB15" s="122"/>
      <c r="MFC15" s="122"/>
      <c r="MFD15" s="122"/>
      <c r="MFE15" s="122"/>
      <c r="MFF15" s="122"/>
      <c r="MFG15" s="122"/>
      <c r="MFH15" s="122"/>
      <c r="MFI15" s="122"/>
      <c r="MFJ15" s="122"/>
      <c r="MFK15" s="122"/>
      <c r="MFL15" s="122"/>
      <c r="MFM15" s="122"/>
      <c r="MFN15" s="122"/>
      <c r="MFO15" s="122"/>
      <c r="MFP15" s="122"/>
      <c r="MFQ15" s="122"/>
      <c r="MFR15" s="122"/>
      <c r="MFS15" s="122"/>
      <c r="MFT15" s="122"/>
      <c r="MFU15" s="122"/>
      <c r="MFV15" s="122"/>
      <c r="MFW15" s="122"/>
      <c r="MFX15" s="122"/>
      <c r="MFY15" s="122"/>
      <c r="MFZ15" s="122"/>
      <c r="MGA15" s="122"/>
      <c r="MGB15" s="122"/>
      <c r="MGC15" s="122"/>
      <c r="MGD15" s="122"/>
      <c r="MGE15" s="122"/>
      <c r="MGF15" s="122"/>
      <c r="MGG15" s="122"/>
      <c r="MGH15" s="122"/>
      <c r="MGI15" s="122"/>
      <c r="MGJ15" s="122"/>
      <c r="MGK15" s="122"/>
      <c r="MGL15" s="122"/>
      <c r="MGM15" s="122"/>
      <c r="MGN15" s="122"/>
      <c r="MGO15" s="122"/>
      <c r="MGP15" s="122"/>
      <c r="MGQ15" s="122"/>
      <c r="MGR15" s="122"/>
      <c r="MGS15" s="122"/>
      <c r="MGT15" s="122"/>
      <c r="MGU15" s="122"/>
      <c r="MGV15" s="122"/>
      <c r="MGW15" s="122"/>
      <c r="MGX15" s="122"/>
      <c r="MGY15" s="122"/>
      <c r="MGZ15" s="122"/>
      <c r="MHA15" s="122"/>
      <c r="MHB15" s="122"/>
      <c r="MHC15" s="122"/>
      <c r="MHD15" s="122"/>
      <c r="MHE15" s="122"/>
      <c r="MHF15" s="122"/>
      <c r="MHG15" s="122"/>
      <c r="MHH15" s="122"/>
      <c r="MHI15" s="122"/>
      <c r="MHJ15" s="122"/>
      <c r="MHK15" s="122"/>
      <c r="MHL15" s="122"/>
      <c r="MHM15" s="122"/>
      <c r="MHN15" s="122"/>
      <c r="MHO15" s="122"/>
      <c r="MHP15" s="122"/>
      <c r="MHQ15" s="122"/>
      <c r="MHR15" s="122"/>
      <c r="MHS15" s="122"/>
      <c r="MHT15" s="122"/>
      <c r="MHU15" s="122"/>
      <c r="MHV15" s="122"/>
      <c r="MHW15" s="122"/>
      <c r="MHX15" s="122"/>
      <c r="MHY15" s="122"/>
      <c r="MHZ15" s="122"/>
      <c r="MIA15" s="122"/>
      <c r="MIB15" s="122"/>
      <c r="MIC15" s="122"/>
      <c r="MID15" s="122"/>
      <c r="MIE15" s="122"/>
      <c r="MIF15" s="122"/>
      <c r="MIG15" s="122"/>
      <c r="MIH15" s="122"/>
      <c r="MII15" s="122"/>
      <c r="MIJ15" s="122"/>
      <c r="MIK15" s="122"/>
      <c r="MIL15" s="122"/>
      <c r="MIM15" s="122"/>
      <c r="MIN15" s="122"/>
      <c r="MIO15" s="122"/>
      <c r="MIP15" s="122"/>
      <c r="MIQ15" s="122"/>
      <c r="MIR15" s="122"/>
      <c r="MIS15" s="122"/>
      <c r="MIT15" s="122"/>
      <c r="MIU15" s="122"/>
      <c r="MIV15" s="122"/>
      <c r="MIW15" s="122"/>
      <c r="MIX15" s="122"/>
      <c r="MIY15" s="122"/>
      <c r="MIZ15" s="122"/>
      <c r="MJA15" s="122"/>
      <c r="MJB15" s="122"/>
      <c r="MJC15" s="122"/>
      <c r="MJD15" s="122"/>
      <c r="MJE15" s="122"/>
      <c r="MJF15" s="122"/>
      <c r="MJG15" s="122"/>
      <c r="MJH15" s="122"/>
      <c r="MJI15" s="122"/>
      <c r="MJJ15" s="122"/>
      <c r="MJK15" s="122"/>
      <c r="MJL15" s="122"/>
      <c r="MJM15" s="122"/>
      <c r="MJN15" s="122"/>
      <c r="MJO15" s="122"/>
      <c r="MJP15" s="122"/>
      <c r="MJQ15" s="122"/>
      <c r="MJR15" s="122"/>
      <c r="MJS15" s="122"/>
      <c r="MJT15" s="122"/>
      <c r="MJU15" s="122"/>
      <c r="MJV15" s="122"/>
      <c r="MJW15" s="122"/>
      <c r="MJX15" s="122"/>
      <c r="MJY15" s="122"/>
      <c r="MJZ15" s="122"/>
      <c r="MKA15" s="122"/>
      <c r="MKB15" s="122"/>
      <c r="MKC15" s="122"/>
      <c r="MKD15" s="122"/>
      <c r="MKE15" s="122"/>
      <c r="MKF15" s="122"/>
      <c r="MKG15" s="122"/>
      <c r="MKH15" s="122"/>
      <c r="MKI15" s="122"/>
      <c r="MKJ15" s="122"/>
      <c r="MKK15" s="122"/>
      <c r="MKL15" s="122"/>
      <c r="MKM15" s="122"/>
      <c r="MKN15" s="122"/>
      <c r="MKO15" s="122"/>
      <c r="MKP15" s="122"/>
      <c r="MKQ15" s="122"/>
      <c r="MKR15" s="122"/>
      <c r="MKS15" s="122"/>
      <c r="MKT15" s="122"/>
      <c r="MKU15" s="122"/>
      <c r="MKV15" s="122"/>
      <c r="MKW15" s="122"/>
      <c r="MKX15" s="122"/>
      <c r="MKY15" s="122"/>
      <c r="MKZ15" s="122"/>
      <c r="MLA15" s="122"/>
      <c r="MLB15" s="122"/>
      <c r="MLC15" s="122"/>
      <c r="MLD15" s="122"/>
      <c r="MLE15" s="122"/>
      <c r="MLF15" s="122"/>
      <c r="MLG15" s="122"/>
      <c r="MLH15" s="122"/>
      <c r="MLI15" s="122"/>
      <c r="MLJ15" s="122"/>
      <c r="MLK15" s="122"/>
      <c r="MLL15" s="122"/>
      <c r="MLM15" s="122"/>
      <c r="MLN15" s="122"/>
      <c r="MLO15" s="122"/>
      <c r="MLP15" s="122"/>
      <c r="MLQ15" s="122"/>
      <c r="MLR15" s="122"/>
      <c r="MLS15" s="122"/>
      <c r="MLT15" s="122"/>
      <c r="MLU15" s="122"/>
      <c r="MLV15" s="122"/>
      <c r="MLW15" s="122"/>
      <c r="MLX15" s="122"/>
      <c r="MLY15" s="122"/>
      <c r="MLZ15" s="122"/>
      <c r="MMA15" s="122"/>
      <c r="MMB15" s="122"/>
      <c r="MMC15" s="122"/>
      <c r="MMD15" s="122"/>
      <c r="MME15" s="122"/>
      <c r="MMF15" s="122"/>
      <c r="MMG15" s="122"/>
      <c r="MMH15" s="122"/>
      <c r="MMI15" s="122"/>
      <c r="MMJ15" s="122"/>
      <c r="MMK15" s="122"/>
      <c r="MML15" s="122"/>
      <c r="MMM15" s="122"/>
      <c r="MMN15" s="122"/>
      <c r="MMO15" s="122"/>
      <c r="MMP15" s="122"/>
      <c r="MMQ15" s="122"/>
      <c r="MMR15" s="122"/>
      <c r="MMS15" s="122"/>
      <c r="MMT15" s="122"/>
      <c r="MMU15" s="122"/>
      <c r="MMV15" s="122"/>
      <c r="MMW15" s="122"/>
      <c r="MMX15" s="122"/>
      <c r="MMY15" s="122"/>
      <c r="MMZ15" s="122"/>
      <c r="MNA15" s="122"/>
      <c r="MNB15" s="122"/>
      <c r="MNC15" s="122"/>
      <c r="MND15" s="122"/>
      <c r="MNE15" s="122"/>
      <c r="MNF15" s="122"/>
      <c r="MNG15" s="122"/>
      <c r="MNH15" s="122"/>
      <c r="MNI15" s="122"/>
      <c r="MNJ15" s="122"/>
      <c r="MNK15" s="122"/>
      <c r="MNL15" s="122"/>
      <c r="MNM15" s="122"/>
      <c r="MNN15" s="122"/>
      <c r="MNO15" s="122"/>
      <c r="MNP15" s="122"/>
      <c r="MNQ15" s="122"/>
      <c r="MNR15" s="122"/>
      <c r="MNS15" s="122"/>
      <c r="MNT15" s="122"/>
      <c r="MNU15" s="122"/>
      <c r="MNV15" s="122"/>
      <c r="MNW15" s="122"/>
      <c r="MNX15" s="122"/>
      <c r="MNY15" s="122"/>
      <c r="MNZ15" s="122"/>
      <c r="MOA15" s="122"/>
      <c r="MOB15" s="122"/>
      <c r="MOC15" s="122"/>
      <c r="MOD15" s="122"/>
      <c r="MOE15" s="122"/>
      <c r="MOF15" s="122"/>
      <c r="MOG15" s="122"/>
      <c r="MOH15" s="122"/>
      <c r="MOI15" s="122"/>
      <c r="MOJ15" s="122"/>
      <c r="MOK15" s="122"/>
      <c r="MOL15" s="122"/>
      <c r="MOM15" s="122"/>
      <c r="MON15" s="122"/>
      <c r="MOO15" s="122"/>
      <c r="MOP15" s="122"/>
      <c r="MOQ15" s="122"/>
      <c r="MOR15" s="122"/>
      <c r="MOS15" s="122"/>
      <c r="MOT15" s="122"/>
      <c r="MOU15" s="122"/>
      <c r="MOV15" s="122"/>
      <c r="MOW15" s="122"/>
      <c r="MOX15" s="122"/>
      <c r="MOY15" s="122"/>
      <c r="MOZ15" s="122"/>
      <c r="MPA15" s="122"/>
      <c r="MPB15" s="122"/>
      <c r="MPC15" s="122"/>
      <c r="MPD15" s="122"/>
      <c r="MPE15" s="122"/>
      <c r="MPF15" s="122"/>
      <c r="MPG15" s="122"/>
      <c r="MPH15" s="122"/>
      <c r="MPI15" s="122"/>
      <c r="MPJ15" s="122"/>
      <c r="MPK15" s="122"/>
      <c r="MPL15" s="122"/>
      <c r="MPM15" s="122"/>
      <c r="MPN15" s="122"/>
      <c r="MPO15" s="122"/>
      <c r="MPP15" s="122"/>
      <c r="MPQ15" s="122"/>
      <c r="MPR15" s="122"/>
      <c r="MPS15" s="122"/>
      <c r="MPT15" s="122"/>
      <c r="MPU15" s="122"/>
      <c r="MPV15" s="122"/>
      <c r="MPW15" s="122"/>
      <c r="MPX15" s="122"/>
      <c r="MPY15" s="122"/>
      <c r="MPZ15" s="122"/>
      <c r="MQA15" s="122"/>
      <c r="MQB15" s="122"/>
      <c r="MQC15" s="122"/>
      <c r="MQD15" s="122"/>
      <c r="MQE15" s="122"/>
      <c r="MQF15" s="122"/>
      <c r="MQG15" s="122"/>
      <c r="MQH15" s="122"/>
      <c r="MQI15" s="122"/>
      <c r="MQJ15" s="122"/>
      <c r="MQK15" s="122"/>
      <c r="MQL15" s="122"/>
      <c r="MQM15" s="122"/>
      <c r="MQN15" s="122"/>
      <c r="MQO15" s="122"/>
      <c r="MQP15" s="122"/>
      <c r="MQQ15" s="122"/>
      <c r="MQR15" s="122"/>
      <c r="MQS15" s="122"/>
      <c r="MQT15" s="122"/>
      <c r="MQU15" s="122"/>
      <c r="MQV15" s="122"/>
      <c r="MQW15" s="122"/>
      <c r="MQX15" s="122"/>
      <c r="MQY15" s="122"/>
      <c r="MQZ15" s="122"/>
      <c r="MRA15" s="122"/>
      <c r="MRB15" s="122"/>
      <c r="MRC15" s="122"/>
      <c r="MRD15" s="122"/>
      <c r="MRE15" s="122"/>
      <c r="MRF15" s="122"/>
      <c r="MRG15" s="122"/>
      <c r="MRH15" s="122"/>
      <c r="MRI15" s="122"/>
      <c r="MRJ15" s="122"/>
      <c r="MRK15" s="122"/>
      <c r="MRL15" s="122"/>
      <c r="MRM15" s="122"/>
      <c r="MRN15" s="122"/>
      <c r="MRO15" s="122"/>
      <c r="MRP15" s="122"/>
      <c r="MRQ15" s="122"/>
      <c r="MRR15" s="122"/>
      <c r="MRS15" s="122"/>
      <c r="MRT15" s="122"/>
      <c r="MRU15" s="122"/>
      <c r="MRV15" s="122"/>
      <c r="MRW15" s="122"/>
      <c r="MRX15" s="122"/>
      <c r="MRY15" s="122"/>
      <c r="MRZ15" s="122"/>
      <c r="MSA15" s="122"/>
      <c r="MSB15" s="122"/>
      <c r="MSC15" s="122"/>
      <c r="MSD15" s="122"/>
      <c r="MSE15" s="122"/>
      <c r="MSF15" s="122"/>
      <c r="MSG15" s="122"/>
      <c r="MSH15" s="122"/>
      <c r="MSI15" s="122"/>
      <c r="MSJ15" s="122"/>
      <c r="MSK15" s="122"/>
      <c r="MSL15" s="122"/>
      <c r="MSM15" s="122"/>
      <c r="MSN15" s="122"/>
      <c r="MSO15" s="122"/>
      <c r="MSP15" s="122"/>
      <c r="MSQ15" s="122"/>
      <c r="MSR15" s="122"/>
      <c r="MSS15" s="122"/>
      <c r="MST15" s="122"/>
      <c r="MSU15" s="122"/>
      <c r="MSV15" s="122"/>
      <c r="MSW15" s="122"/>
      <c r="MSX15" s="122"/>
      <c r="MSY15" s="122"/>
      <c r="MSZ15" s="122"/>
      <c r="MTA15" s="122"/>
      <c r="MTB15" s="122"/>
      <c r="MTC15" s="122"/>
      <c r="MTD15" s="122"/>
      <c r="MTE15" s="122"/>
      <c r="MTF15" s="122"/>
      <c r="MTG15" s="122"/>
      <c r="MTH15" s="122"/>
      <c r="MTI15" s="122"/>
      <c r="MTJ15" s="122"/>
      <c r="MTK15" s="122"/>
      <c r="MTL15" s="122"/>
      <c r="MTM15" s="122"/>
      <c r="MTN15" s="122"/>
      <c r="MTO15" s="122"/>
      <c r="MTP15" s="122"/>
      <c r="MTQ15" s="122"/>
      <c r="MTR15" s="122"/>
      <c r="MTS15" s="122"/>
      <c r="MTT15" s="122"/>
      <c r="MTU15" s="122"/>
      <c r="MTV15" s="122"/>
      <c r="MTW15" s="122"/>
      <c r="MTX15" s="122"/>
      <c r="MTY15" s="122"/>
      <c r="MTZ15" s="122"/>
      <c r="MUA15" s="122"/>
      <c r="MUB15" s="122"/>
      <c r="MUC15" s="122"/>
      <c r="MUD15" s="122"/>
      <c r="MUE15" s="122"/>
      <c r="MUF15" s="122"/>
      <c r="MUG15" s="122"/>
      <c r="MUH15" s="122"/>
      <c r="MUI15" s="122"/>
      <c r="MUJ15" s="122"/>
      <c r="MUK15" s="122"/>
      <c r="MUL15" s="122"/>
      <c r="MUM15" s="122"/>
      <c r="MUN15" s="122"/>
      <c r="MUO15" s="122"/>
      <c r="MUP15" s="122"/>
      <c r="MUQ15" s="122"/>
      <c r="MUR15" s="122"/>
      <c r="MUS15" s="122"/>
      <c r="MUT15" s="122"/>
      <c r="MUU15" s="122"/>
      <c r="MUV15" s="122"/>
      <c r="MUW15" s="122"/>
      <c r="MUX15" s="122"/>
      <c r="MUY15" s="122"/>
      <c r="MUZ15" s="122"/>
      <c r="MVA15" s="122"/>
      <c r="MVB15" s="122"/>
      <c r="MVC15" s="122"/>
      <c r="MVD15" s="122"/>
      <c r="MVE15" s="122"/>
      <c r="MVF15" s="122"/>
      <c r="MVG15" s="122"/>
      <c r="MVH15" s="122"/>
      <c r="MVI15" s="122"/>
      <c r="MVJ15" s="122"/>
      <c r="MVK15" s="122"/>
      <c r="MVL15" s="122"/>
      <c r="MVM15" s="122"/>
      <c r="MVN15" s="122"/>
      <c r="MVO15" s="122"/>
      <c r="MVP15" s="122"/>
      <c r="MVQ15" s="122"/>
      <c r="MVR15" s="122"/>
      <c r="MVS15" s="122"/>
      <c r="MVT15" s="122"/>
      <c r="MVU15" s="122"/>
      <c r="MVV15" s="122"/>
      <c r="MVW15" s="122"/>
      <c r="MVX15" s="122"/>
      <c r="MVY15" s="122"/>
      <c r="MVZ15" s="122"/>
      <c r="MWA15" s="122"/>
      <c r="MWB15" s="122"/>
      <c r="MWC15" s="122"/>
      <c r="MWD15" s="122"/>
      <c r="MWE15" s="122"/>
      <c r="MWF15" s="122"/>
      <c r="MWG15" s="122"/>
      <c r="MWH15" s="122"/>
      <c r="MWI15" s="122"/>
      <c r="MWJ15" s="122"/>
      <c r="MWK15" s="122"/>
      <c r="MWL15" s="122"/>
      <c r="MWM15" s="122"/>
      <c r="MWN15" s="122"/>
      <c r="MWO15" s="122"/>
      <c r="MWP15" s="122"/>
      <c r="MWQ15" s="122"/>
      <c r="MWR15" s="122"/>
      <c r="MWS15" s="122"/>
      <c r="MWT15" s="122"/>
      <c r="MWU15" s="122"/>
      <c r="MWV15" s="122"/>
      <c r="MWW15" s="122"/>
      <c r="MWX15" s="122"/>
      <c r="MWY15" s="122"/>
      <c r="MWZ15" s="122"/>
      <c r="MXA15" s="122"/>
      <c r="MXB15" s="122"/>
      <c r="MXC15" s="122"/>
      <c r="MXD15" s="122"/>
      <c r="MXE15" s="122"/>
      <c r="MXF15" s="122"/>
      <c r="MXG15" s="122"/>
      <c r="MXH15" s="122"/>
      <c r="MXI15" s="122"/>
      <c r="MXJ15" s="122"/>
      <c r="MXK15" s="122"/>
      <c r="MXL15" s="122"/>
      <c r="MXM15" s="122"/>
      <c r="MXN15" s="122"/>
      <c r="MXO15" s="122"/>
      <c r="MXP15" s="122"/>
      <c r="MXQ15" s="122"/>
      <c r="MXR15" s="122"/>
      <c r="MXS15" s="122"/>
      <c r="MXT15" s="122"/>
      <c r="MXU15" s="122"/>
      <c r="MXV15" s="122"/>
      <c r="MXW15" s="122"/>
      <c r="MXX15" s="122"/>
      <c r="MXY15" s="122"/>
      <c r="MXZ15" s="122"/>
      <c r="MYA15" s="122"/>
      <c r="MYB15" s="122"/>
      <c r="MYC15" s="122"/>
      <c r="MYD15" s="122"/>
      <c r="MYE15" s="122"/>
      <c r="MYF15" s="122"/>
      <c r="MYG15" s="122"/>
      <c r="MYH15" s="122"/>
      <c r="MYI15" s="122"/>
      <c r="MYJ15" s="122"/>
      <c r="MYK15" s="122"/>
      <c r="MYL15" s="122"/>
      <c r="MYM15" s="122"/>
      <c r="MYN15" s="122"/>
      <c r="MYO15" s="122"/>
      <c r="MYP15" s="122"/>
      <c r="MYQ15" s="122"/>
      <c r="MYR15" s="122"/>
      <c r="MYS15" s="122"/>
      <c r="MYT15" s="122"/>
      <c r="MYU15" s="122"/>
      <c r="MYV15" s="122"/>
      <c r="MYW15" s="122"/>
      <c r="MYX15" s="122"/>
      <c r="MYY15" s="122"/>
      <c r="MYZ15" s="122"/>
      <c r="MZA15" s="122"/>
      <c r="MZB15" s="122"/>
      <c r="MZC15" s="122"/>
      <c r="MZD15" s="122"/>
      <c r="MZE15" s="122"/>
      <c r="MZF15" s="122"/>
      <c r="MZG15" s="122"/>
      <c r="MZH15" s="122"/>
      <c r="MZI15" s="122"/>
      <c r="MZJ15" s="122"/>
      <c r="MZK15" s="122"/>
      <c r="MZL15" s="122"/>
      <c r="MZM15" s="122"/>
      <c r="MZN15" s="122"/>
      <c r="MZO15" s="122"/>
      <c r="MZP15" s="122"/>
      <c r="MZQ15" s="122"/>
      <c r="MZR15" s="122"/>
      <c r="MZS15" s="122"/>
      <c r="MZT15" s="122"/>
      <c r="MZU15" s="122"/>
      <c r="MZV15" s="122"/>
      <c r="MZW15" s="122"/>
      <c r="MZX15" s="122"/>
      <c r="MZY15" s="122"/>
      <c r="MZZ15" s="122"/>
      <c r="NAA15" s="122"/>
      <c r="NAB15" s="122"/>
      <c r="NAC15" s="122"/>
      <c r="NAD15" s="122"/>
      <c r="NAE15" s="122"/>
      <c r="NAF15" s="122"/>
      <c r="NAG15" s="122"/>
      <c r="NAH15" s="122"/>
      <c r="NAI15" s="122"/>
      <c r="NAJ15" s="122"/>
      <c r="NAK15" s="122"/>
      <c r="NAL15" s="122"/>
      <c r="NAM15" s="122"/>
      <c r="NAN15" s="122"/>
      <c r="NAO15" s="122"/>
      <c r="NAP15" s="122"/>
      <c r="NAQ15" s="122"/>
      <c r="NAR15" s="122"/>
      <c r="NAS15" s="122"/>
      <c r="NAT15" s="122"/>
      <c r="NAU15" s="122"/>
      <c r="NAV15" s="122"/>
      <c r="NAW15" s="122"/>
      <c r="NAX15" s="122"/>
      <c r="NAY15" s="122"/>
      <c r="NAZ15" s="122"/>
      <c r="NBA15" s="122"/>
      <c r="NBB15" s="122"/>
      <c r="NBC15" s="122"/>
      <c r="NBD15" s="122"/>
      <c r="NBE15" s="122"/>
      <c r="NBF15" s="122"/>
      <c r="NBG15" s="122"/>
      <c r="NBH15" s="122"/>
      <c r="NBI15" s="122"/>
      <c r="NBJ15" s="122"/>
      <c r="NBK15" s="122"/>
      <c r="NBL15" s="122"/>
      <c r="NBM15" s="122"/>
      <c r="NBN15" s="122"/>
      <c r="NBO15" s="122"/>
      <c r="NBP15" s="122"/>
      <c r="NBQ15" s="122"/>
      <c r="NBR15" s="122"/>
      <c r="NBS15" s="122"/>
      <c r="NBT15" s="122"/>
      <c r="NBU15" s="122"/>
      <c r="NBV15" s="122"/>
      <c r="NBW15" s="122"/>
      <c r="NBX15" s="122"/>
      <c r="NBY15" s="122"/>
      <c r="NBZ15" s="122"/>
      <c r="NCA15" s="122"/>
      <c r="NCB15" s="122"/>
      <c r="NCC15" s="122"/>
      <c r="NCD15" s="122"/>
      <c r="NCE15" s="122"/>
      <c r="NCF15" s="122"/>
      <c r="NCG15" s="122"/>
      <c r="NCH15" s="122"/>
      <c r="NCI15" s="122"/>
      <c r="NCJ15" s="122"/>
      <c r="NCK15" s="122"/>
      <c r="NCL15" s="122"/>
      <c r="NCM15" s="122"/>
      <c r="NCN15" s="122"/>
      <c r="NCO15" s="122"/>
      <c r="NCP15" s="122"/>
      <c r="NCQ15" s="122"/>
      <c r="NCR15" s="122"/>
      <c r="NCS15" s="122"/>
      <c r="NCT15" s="122"/>
      <c r="NCU15" s="122"/>
      <c r="NCV15" s="122"/>
      <c r="NCW15" s="122"/>
      <c r="NCX15" s="122"/>
      <c r="NCY15" s="122"/>
      <c r="NCZ15" s="122"/>
      <c r="NDA15" s="122"/>
      <c r="NDB15" s="122"/>
      <c r="NDC15" s="122"/>
      <c r="NDD15" s="122"/>
      <c r="NDE15" s="122"/>
      <c r="NDF15" s="122"/>
      <c r="NDG15" s="122"/>
      <c r="NDH15" s="122"/>
      <c r="NDI15" s="122"/>
      <c r="NDJ15" s="122"/>
      <c r="NDK15" s="122"/>
      <c r="NDL15" s="122"/>
      <c r="NDM15" s="122"/>
      <c r="NDN15" s="122"/>
      <c r="NDO15" s="122"/>
      <c r="NDP15" s="122"/>
      <c r="NDQ15" s="122"/>
      <c r="NDR15" s="122"/>
      <c r="NDS15" s="122"/>
      <c r="NDT15" s="122"/>
      <c r="NDU15" s="122"/>
      <c r="NDV15" s="122"/>
      <c r="NDW15" s="122"/>
      <c r="NDX15" s="122"/>
      <c r="NDY15" s="122"/>
      <c r="NDZ15" s="122"/>
      <c r="NEA15" s="122"/>
      <c r="NEB15" s="122"/>
      <c r="NEC15" s="122"/>
      <c r="NED15" s="122"/>
      <c r="NEE15" s="122"/>
      <c r="NEF15" s="122"/>
      <c r="NEG15" s="122"/>
      <c r="NEH15" s="122"/>
      <c r="NEI15" s="122"/>
      <c r="NEJ15" s="122"/>
      <c r="NEK15" s="122"/>
      <c r="NEL15" s="122"/>
      <c r="NEM15" s="122"/>
      <c r="NEN15" s="122"/>
      <c r="NEO15" s="122"/>
      <c r="NEP15" s="122"/>
      <c r="NEQ15" s="122"/>
      <c r="NER15" s="122"/>
      <c r="NES15" s="122"/>
      <c r="NET15" s="122"/>
      <c r="NEU15" s="122"/>
      <c r="NEV15" s="122"/>
      <c r="NEW15" s="122"/>
      <c r="NEX15" s="122"/>
      <c r="NEY15" s="122"/>
      <c r="NEZ15" s="122"/>
      <c r="NFA15" s="122"/>
      <c r="NFB15" s="122"/>
      <c r="NFC15" s="122"/>
      <c r="NFD15" s="122"/>
      <c r="NFE15" s="122"/>
      <c r="NFF15" s="122"/>
      <c r="NFG15" s="122"/>
      <c r="NFH15" s="122"/>
      <c r="NFI15" s="122"/>
      <c r="NFJ15" s="122"/>
      <c r="NFK15" s="122"/>
      <c r="NFL15" s="122"/>
      <c r="NFM15" s="122"/>
      <c r="NFN15" s="122"/>
      <c r="NFO15" s="122"/>
      <c r="NFP15" s="122"/>
      <c r="NFQ15" s="122"/>
      <c r="NFR15" s="122"/>
      <c r="NFS15" s="122"/>
      <c r="NFT15" s="122"/>
      <c r="NFU15" s="122"/>
      <c r="NFV15" s="122"/>
      <c r="NFW15" s="122"/>
      <c r="NFX15" s="122"/>
      <c r="NFY15" s="122"/>
      <c r="NFZ15" s="122"/>
      <c r="NGA15" s="122"/>
      <c r="NGB15" s="122"/>
      <c r="NGC15" s="122"/>
      <c r="NGD15" s="122"/>
      <c r="NGE15" s="122"/>
      <c r="NGF15" s="122"/>
      <c r="NGG15" s="122"/>
      <c r="NGH15" s="122"/>
      <c r="NGI15" s="122"/>
      <c r="NGJ15" s="122"/>
      <c r="NGK15" s="122"/>
      <c r="NGL15" s="122"/>
      <c r="NGM15" s="122"/>
      <c r="NGN15" s="122"/>
      <c r="NGO15" s="122"/>
      <c r="NGP15" s="122"/>
      <c r="NGQ15" s="122"/>
      <c r="NGR15" s="122"/>
      <c r="NGS15" s="122"/>
      <c r="NGT15" s="122"/>
      <c r="NGU15" s="122"/>
      <c r="NGV15" s="122"/>
      <c r="NGW15" s="122"/>
      <c r="NGX15" s="122"/>
      <c r="NGY15" s="122"/>
      <c r="NGZ15" s="122"/>
      <c r="NHA15" s="122"/>
      <c r="NHB15" s="122"/>
      <c r="NHC15" s="122"/>
      <c r="NHD15" s="122"/>
      <c r="NHE15" s="122"/>
      <c r="NHF15" s="122"/>
      <c r="NHG15" s="122"/>
      <c r="NHH15" s="122"/>
      <c r="NHI15" s="122"/>
      <c r="NHJ15" s="122"/>
      <c r="NHK15" s="122"/>
      <c r="NHL15" s="122"/>
      <c r="NHM15" s="122"/>
      <c r="NHN15" s="122"/>
      <c r="NHO15" s="122"/>
      <c r="NHP15" s="122"/>
      <c r="NHQ15" s="122"/>
      <c r="NHR15" s="122"/>
      <c r="NHS15" s="122"/>
      <c r="NHT15" s="122"/>
      <c r="NHU15" s="122"/>
      <c r="NHV15" s="122"/>
      <c r="NHW15" s="122"/>
      <c r="NHX15" s="122"/>
      <c r="NHY15" s="122"/>
      <c r="NHZ15" s="122"/>
      <c r="NIA15" s="122"/>
      <c r="NIB15" s="122"/>
      <c r="NIC15" s="122"/>
      <c r="NID15" s="122"/>
      <c r="NIE15" s="122"/>
      <c r="NIF15" s="122"/>
      <c r="NIG15" s="122"/>
      <c r="NIH15" s="122"/>
      <c r="NII15" s="122"/>
      <c r="NIJ15" s="122"/>
      <c r="NIK15" s="122"/>
      <c r="NIL15" s="122"/>
      <c r="NIM15" s="122"/>
      <c r="NIN15" s="122"/>
      <c r="NIO15" s="122"/>
      <c r="NIP15" s="122"/>
      <c r="NIQ15" s="122"/>
      <c r="NIR15" s="122"/>
      <c r="NIS15" s="122"/>
      <c r="NIT15" s="122"/>
      <c r="NIU15" s="122"/>
      <c r="NIV15" s="122"/>
      <c r="NIW15" s="122"/>
      <c r="NIX15" s="122"/>
      <c r="NIY15" s="122"/>
      <c r="NIZ15" s="122"/>
      <c r="NJA15" s="122"/>
      <c r="NJB15" s="122"/>
      <c r="NJC15" s="122"/>
      <c r="NJD15" s="122"/>
      <c r="NJE15" s="122"/>
      <c r="NJF15" s="122"/>
      <c r="NJG15" s="122"/>
      <c r="NJH15" s="122"/>
      <c r="NJI15" s="122"/>
      <c r="NJJ15" s="122"/>
      <c r="NJK15" s="122"/>
      <c r="NJL15" s="122"/>
      <c r="NJM15" s="122"/>
      <c r="NJN15" s="122"/>
      <c r="NJO15" s="122"/>
      <c r="NJP15" s="122"/>
      <c r="NJQ15" s="122"/>
      <c r="NJR15" s="122"/>
      <c r="NJS15" s="122"/>
      <c r="NJT15" s="122"/>
      <c r="NJU15" s="122"/>
      <c r="NJV15" s="122"/>
      <c r="NJW15" s="122"/>
      <c r="NJX15" s="122"/>
      <c r="NJY15" s="122"/>
      <c r="NJZ15" s="122"/>
      <c r="NKA15" s="122"/>
      <c r="NKB15" s="122"/>
      <c r="NKC15" s="122"/>
      <c r="NKD15" s="122"/>
      <c r="NKE15" s="122"/>
      <c r="NKF15" s="122"/>
      <c r="NKG15" s="122"/>
      <c r="NKH15" s="122"/>
      <c r="NKI15" s="122"/>
      <c r="NKJ15" s="122"/>
      <c r="NKK15" s="122"/>
      <c r="NKL15" s="122"/>
      <c r="NKM15" s="122"/>
      <c r="NKN15" s="122"/>
      <c r="NKO15" s="122"/>
      <c r="NKP15" s="122"/>
      <c r="NKQ15" s="122"/>
      <c r="NKR15" s="122"/>
      <c r="NKS15" s="122"/>
      <c r="NKT15" s="122"/>
      <c r="NKU15" s="122"/>
      <c r="NKV15" s="122"/>
      <c r="NKW15" s="122"/>
      <c r="NKX15" s="122"/>
      <c r="NKY15" s="122"/>
      <c r="NKZ15" s="122"/>
      <c r="NLA15" s="122"/>
      <c r="NLB15" s="122"/>
      <c r="NLC15" s="122"/>
      <c r="NLD15" s="122"/>
      <c r="NLE15" s="122"/>
      <c r="NLF15" s="122"/>
      <c r="NLG15" s="122"/>
      <c r="NLH15" s="122"/>
      <c r="NLI15" s="122"/>
      <c r="NLJ15" s="122"/>
      <c r="NLK15" s="122"/>
      <c r="NLL15" s="122"/>
      <c r="NLM15" s="122"/>
      <c r="NLN15" s="122"/>
      <c r="NLO15" s="122"/>
      <c r="NLP15" s="122"/>
      <c r="NLQ15" s="122"/>
      <c r="NLR15" s="122"/>
      <c r="NLS15" s="122"/>
      <c r="NLT15" s="122"/>
      <c r="NLU15" s="122"/>
      <c r="NLV15" s="122"/>
      <c r="NLW15" s="122"/>
      <c r="NLX15" s="122"/>
      <c r="NLY15" s="122"/>
      <c r="NLZ15" s="122"/>
      <c r="NMA15" s="122"/>
      <c r="NMB15" s="122"/>
      <c r="NMC15" s="122"/>
      <c r="NMD15" s="122"/>
      <c r="NME15" s="122"/>
      <c r="NMF15" s="122"/>
      <c r="NMG15" s="122"/>
      <c r="NMH15" s="122"/>
      <c r="NMI15" s="122"/>
      <c r="NMJ15" s="122"/>
      <c r="NMK15" s="122"/>
      <c r="NML15" s="122"/>
      <c r="NMM15" s="122"/>
      <c r="NMN15" s="122"/>
      <c r="NMO15" s="122"/>
      <c r="NMP15" s="122"/>
      <c r="NMQ15" s="122"/>
      <c r="NMR15" s="122"/>
      <c r="NMS15" s="122"/>
      <c r="NMT15" s="122"/>
      <c r="NMU15" s="122"/>
      <c r="NMV15" s="122"/>
      <c r="NMW15" s="122"/>
      <c r="NMX15" s="122"/>
      <c r="NMY15" s="122"/>
      <c r="NMZ15" s="122"/>
      <c r="NNA15" s="122"/>
      <c r="NNB15" s="122"/>
      <c r="NNC15" s="122"/>
      <c r="NND15" s="122"/>
      <c r="NNE15" s="122"/>
      <c r="NNF15" s="122"/>
      <c r="NNG15" s="122"/>
      <c r="NNH15" s="122"/>
      <c r="NNI15" s="122"/>
      <c r="NNJ15" s="122"/>
      <c r="NNK15" s="122"/>
      <c r="NNL15" s="122"/>
      <c r="NNM15" s="122"/>
      <c r="NNN15" s="122"/>
      <c r="NNO15" s="122"/>
      <c r="NNP15" s="122"/>
      <c r="NNQ15" s="122"/>
      <c r="NNR15" s="122"/>
      <c r="NNS15" s="122"/>
      <c r="NNT15" s="122"/>
      <c r="NNU15" s="122"/>
      <c r="NNV15" s="122"/>
      <c r="NNW15" s="122"/>
      <c r="NNX15" s="122"/>
      <c r="NNY15" s="122"/>
      <c r="NNZ15" s="122"/>
      <c r="NOA15" s="122"/>
      <c r="NOB15" s="122"/>
      <c r="NOC15" s="122"/>
      <c r="NOD15" s="122"/>
      <c r="NOE15" s="122"/>
      <c r="NOF15" s="122"/>
      <c r="NOG15" s="122"/>
      <c r="NOH15" s="122"/>
      <c r="NOI15" s="122"/>
      <c r="NOJ15" s="122"/>
      <c r="NOK15" s="122"/>
      <c r="NOL15" s="122"/>
      <c r="NOM15" s="122"/>
      <c r="NON15" s="122"/>
      <c r="NOO15" s="122"/>
      <c r="NOP15" s="122"/>
      <c r="NOQ15" s="122"/>
      <c r="NOR15" s="122"/>
      <c r="NOS15" s="122"/>
      <c r="NOT15" s="122"/>
      <c r="NOU15" s="122"/>
      <c r="NOV15" s="122"/>
      <c r="NOW15" s="122"/>
      <c r="NOX15" s="122"/>
      <c r="NOY15" s="122"/>
      <c r="NOZ15" s="122"/>
      <c r="NPA15" s="122"/>
      <c r="NPB15" s="122"/>
      <c r="NPC15" s="122"/>
      <c r="NPD15" s="122"/>
      <c r="NPE15" s="122"/>
      <c r="NPF15" s="122"/>
      <c r="NPG15" s="122"/>
      <c r="NPH15" s="122"/>
      <c r="NPI15" s="122"/>
      <c r="NPJ15" s="122"/>
      <c r="NPK15" s="122"/>
      <c r="NPL15" s="122"/>
      <c r="NPM15" s="122"/>
      <c r="NPN15" s="122"/>
      <c r="NPO15" s="122"/>
      <c r="NPP15" s="122"/>
      <c r="NPQ15" s="122"/>
      <c r="NPR15" s="122"/>
      <c r="NPS15" s="122"/>
      <c r="NPT15" s="122"/>
      <c r="NPU15" s="122"/>
      <c r="NPV15" s="122"/>
      <c r="NPW15" s="122"/>
      <c r="NPX15" s="122"/>
      <c r="NPY15" s="122"/>
      <c r="NPZ15" s="122"/>
      <c r="NQA15" s="122"/>
      <c r="NQB15" s="122"/>
      <c r="NQC15" s="122"/>
      <c r="NQD15" s="122"/>
      <c r="NQE15" s="122"/>
      <c r="NQF15" s="122"/>
      <c r="NQG15" s="122"/>
      <c r="NQH15" s="122"/>
      <c r="NQI15" s="122"/>
      <c r="NQJ15" s="122"/>
      <c r="NQK15" s="122"/>
      <c r="NQL15" s="122"/>
      <c r="NQM15" s="122"/>
      <c r="NQN15" s="122"/>
      <c r="NQO15" s="122"/>
      <c r="NQP15" s="122"/>
      <c r="NQQ15" s="122"/>
      <c r="NQR15" s="122"/>
      <c r="NQS15" s="122"/>
      <c r="NQT15" s="122"/>
      <c r="NQU15" s="122"/>
      <c r="NQV15" s="122"/>
      <c r="NQW15" s="122"/>
      <c r="NQX15" s="122"/>
      <c r="NQY15" s="122"/>
      <c r="NQZ15" s="122"/>
      <c r="NRA15" s="122"/>
      <c r="NRB15" s="122"/>
      <c r="NRC15" s="122"/>
      <c r="NRD15" s="122"/>
      <c r="NRE15" s="122"/>
      <c r="NRF15" s="122"/>
      <c r="NRG15" s="122"/>
      <c r="NRH15" s="122"/>
      <c r="NRI15" s="122"/>
      <c r="NRJ15" s="122"/>
      <c r="NRK15" s="122"/>
      <c r="NRL15" s="122"/>
      <c r="NRM15" s="122"/>
      <c r="NRN15" s="122"/>
      <c r="NRO15" s="122"/>
      <c r="NRP15" s="122"/>
      <c r="NRQ15" s="122"/>
      <c r="NRR15" s="122"/>
      <c r="NRS15" s="122"/>
      <c r="NRT15" s="122"/>
      <c r="NRU15" s="122"/>
      <c r="NRV15" s="122"/>
      <c r="NRW15" s="122"/>
      <c r="NRX15" s="122"/>
      <c r="NRY15" s="122"/>
      <c r="NRZ15" s="122"/>
      <c r="NSA15" s="122"/>
      <c r="NSB15" s="122"/>
      <c r="NSC15" s="122"/>
      <c r="NSD15" s="122"/>
      <c r="NSE15" s="122"/>
      <c r="NSF15" s="122"/>
      <c r="NSG15" s="122"/>
      <c r="NSH15" s="122"/>
      <c r="NSI15" s="122"/>
      <c r="NSJ15" s="122"/>
      <c r="NSK15" s="122"/>
      <c r="NSL15" s="122"/>
      <c r="NSM15" s="122"/>
      <c r="NSN15" s="122"/>
      <c r="NSO15" s="122"/>
      <c r="NSP15" s="122"/>
      <c r="NSQ15" s="122"/>
      <c r="NSR15" s="122"/>
      <c r="NSS15" s="122"/>
      <c r="NST15" s="122"/>
      <c r="NSU15" s="122"/>
      <c r="NSV15" s="122"/>
      <c r="NSW15" s="122"/>
      <c r="NSX15" s="122"/>
      <c r="NSY15" s="122"/>
      <c r="NSZ15" s="122"/>
      <c r="NTA15" s="122"/>
      <c r="NTB15" s="122"/>
      <c r="NTC15" s="122"/>
      <c r="NTD15" s="122"/>
      <c r="NTE15" s="122"/>
      <c r="NTF15" s="122"/>
      <c r="NTG15" s="122"/>
      <c r="NTH15" s="122"/>
      <c r="NTI15" s="122"/>
      <c r="NTJ15" s="122"/>
      <c r="NTK15" s="122"/>
      <c r="NTL15" s="122"/>
      <c r="NTM15" s="122"/>
      <c r="NTN15" s="122"/>
      <c r="NTO15" s="122"/>
      <c r="NTP15" s="122"/>
      <c r="NTQ15" s="122"/>
      <c r="NTR15" s="122"/>
      <c r="NTS15" s="122"/>
      <c r="NTT15" s="122"/>
      <c r="NTU15" s="122"/>
      <c r="NTV15" s="122"/>
      <c r="NTW15" s="122"/>
      <c r="NTX15" s="122"/>
      <c r="NTY15" s="122"/>
      <c r="NTZ15" s="122"/>
      <c r="NUA15" s="122"/>
      <c r="NUB15" s="122"/>
      <c r="NUC15" s="122"/>
      <c r="NUD15" s="122"/>
      <c r="NUE15" s="122"/>
      <c r="NUF15" s="122"/>
      <c r="NUG15" s="122"/>
      <c r="NUH15" s="122"/>
      <c r="NUI15" s="122"/>
      <c r="NUJ15" s="122"/>
      <c r="NUK15" s="122"/>
      <c r="NUL15" s="122"/>
      <c r="NUM15" s="122"/>
      <c r="NUN15" s="122"/>
      <c r="NUO15" s="122"/>
      <c r="NUP15" s="122"/>
      <c r="NUQ15" s="122"/>
      <c r="NUR15" s="122"/>
      <c r="NUS15" s="122"/>
      <c r="NUT15" s="122"/>
      <c r="NUU15" s="122"/>
      <c r="NUV15" s="122"/>
      <c r="NUW15" s="122"/>
      <c r="NUX15" s="122"/>
      <c r="NUY15" s="122"/>
      <c r="NUZ15" s="122"/>
      <c r="NVA15" s="122"/>
      <c r="NVB15" s="122"/>
      <c r="NVC15" s="122"/>
      <c r="NVD15" s="122"/>
      <c r="NVE15" s="122"/>
      <c r="NVF15" s="122"/>
      <c r="NVG15" s="122"/>
      <c r="NVH15" s="122"/>
      <c r="NVI15" s="122"/>
      <c r="NVJ15" s="122"/>
      <c r="NVK15" s="122"/>
      <c r="NVL15" s="122"/>
      <c r="NVM15" s="122"/>
      <c r="NVN15" s="122"/>
      <c r="NVO15" s="122"/>
      <c r="NVP15" s="122"/>
      <c r="NVQ15" s="122"/>
      <c r="NVR15" s="122"/>
      <c r="NVS15" s="122"/>
      <c r="NVT15" s="122"/>
      <c r="NVU15" s="122"/>
      <c r="NVV15" s="122"/>
      <c r="NVW15" s="122"/>
      <c r="NVX15" s="122"/>
      <c r="NVY15" s="122"/>
      <c r="NVZ15" s="122"/>
      <c r="NWA15" s="122"/>
      <c r="NWB15" s="122"/>
      <c r="NWC15" s="122"/>
      <c r="NWD15" s="122"/>
      <c r="NWE15" s="122"/>
      <c r="NWF15" s="122"/>
      <c r="NWG15" s="122"/>
      <c r="NWH15" s="122"/>
      <c r="NWI15" s="122"/>
      <c r="NWJ15" s="122"/>
      <c r="NWK15" s="122"/>
      <c r="NWL15" s="122"/>
      <c r="NWM15" s="122"/>
      <c r="NWN15" s="122"/>
      <c r="NWO15" s="122"/>
      <c r="NWP15" s="122"/>
      <c r="NWQ15" s="122"/>
      <c r="NWR15" s="122"/>
      <c r="NWS15" s="122"/>
      <c r="NWT15" s="122"/>
      <c r="NWU15" s="122"/>
      <c r="NWV15" s="122"/>
      <c r="NWW15" s="122"/>
      <c r="NWX15" s="122"/>
      <c r="NWY15" s="122"/>
      <c r="NWZ15" s="122"/>
      <c r="NXA15" s="122"/>
      <c r="NXB15" s="122"/>
      <c r="NXC15" s="122"/>
      <c r="NXD15" s="122"/>
      <c r="NXE15" s="122"/>
      <c r="NXF15" s="122"/>
      <c r="NXG15" s="122"/>
      <c r="NXH15" s="122"/>
      <c r="NXI15" s="122"/>
      <c r="NXJ15" s="122"/>
      <c r="NXK15" s="122"/>
      <c r="NXL15" s="122"/>
      <c r="NXM15" s="122"/>
      <c r="NXN15" s="122"/>
      <c r="NXO15" s="122"/>
      <c r="NXP15" s="122"/>
      <c r="NXQ15" s="122"/>
      <c r="NXR15" s="122"/>
      <c r="NXS15" s="122"/>
      <c r="NXT15" s="122"/>
      <c r="NXU15" s="122"/>
      <c r="NXV15" s="122"/>
      <c r="NXW15" s="122"/>
      <c r="NXX15" s="122"/>
      <c r="NXY15" s="122"/>
      <c r="NXZ15" s="122"/>
      <c r="NYA15" s="122"/>
      <c r="NYB15" s="122"/>
      <c r="NYC15" s="122"/>
      <c r="NYD15" s="122"/>
      <c r="NYE15" s="122"/>
      <c r="NYF15" s="122"/>
      <c r="NYG15" s="122"/>
      <c r="NYH15" s="122"/>
      <c r="NYI15" s="122"/>
      <c r="NYJ15" s="122"/>
      <c r="NYK15" s="122"/>
      <c r="NYL15" s="122"/>
      <c r="NYM15" s="122"/>
      <c r="NYN15" s="122"/>
      <c r="NYO15" s="122"/>
      <c r="NYP15" s="122"/>
      <c r="NYQ15" s="122"/>
      <c r="NYR15" s="122"/>
      <c r="NYS15" s="122"/>
      <c r="NYT15" s="122"/>
      <c r="NYU15" s="122"/>
      <c r="NYV15" s="122"/>
      <c r="NYW15" s="122"/>
      <c r="NYX15" s="122"/>
      <c r="NYY15" s="122"/>
      <c r="NYZ15" s="122"/>
      <c r="NZA15" s="122"/>
      <c r="NZB15" s="122"/>
      <c r="NZC15" s="122"/>
      <c r="NZD15" s="122"/>
      <c r="NZE15" s="122"/>
      <c r="NZF15" s="122"/>
      <c r="NZG15" s="122"/>
      <c r="NZH15" s="122"/>
      <c r="NZI15" s="122"/>
      <c r="NZJ15" s="122"/>
      <c r="NZK15" s="122"/>
      <c r="NZL15" s="122"/>
      <c r="NZM15" s="122"/>
      <c r="NZN15" s="122"/>
      <c r="NZO15" s="122"/>
      <c r="NZP15" s="122"/>
      <c r="NZQ15" s="122"/>
      <c r="NZR15" s="122"/>
      <c r="NZS15" s="122"/>
      <c r="NZT15" s="122"/>
      <c r="NZU15" s="122"/>
      <c r="NZV15" s="122"/>
      <c r="NZW15" s="122"/>
      <c r="NZX15" s="122"/>
      <c r="NZY15" s="122"/>
      <c r="NZZ15" s="122"/>
      <c r="OAA15" s="122"/>
      <c r="OAB15" s="122"/>
      <c r="OAC15" s="122"/>
      <c r="OAD15" s="122"/>
      <c r="OAE15" s="122"/>
      <c r="OAF15" s="122"/>
      <c r="OAG15" s="122"/>
      <c r="OAH15" s="122"/>
      <c r="OAI15" s="122"/>
      <c r="OAJ15" s="122"/>
      <c r="OAK15" s="122"/>
      <c r="OAL15" s="122"/>
      <c r="OAM15" s="122"/>
      <c r="OAN15" s="122"/>
      <c r="OAO15" s="122"/>
      <c r="OAP15" s="122"/>
      <c r="OAQ15" s="122"/>
      <c r="OAR15" s="122"/>
      <c r="OAS15" s="122"/>
      <c r="OAT15" s="122"/>
      <c r="OAU15" s="122"/>
      <c r="OAV15" s="122"/>
      <c r="OAW15" s="122"/>
      <c r="OAX15" s="122"/>
      <c r="OAY15" s="122"/>
      <c r="OAZ15" s="122"/>
      <c r="OBA15" s="122"/>
      <c r="OBB15" s="122"/>
      <c r="OBC15" s="122"/>
      <c r="OBD15" s="122"/>
      <c r="OBE15" s="122"/>
      <c r="OBF15" s="122"/>
      <c r="OBG15" s="122"/>
      <c r="OBH15" s="122"/>
      <c r="OBI15" s="122"/>
      <c r="OBJ15" s="122"/>
      <c r="OBK15" s="122"/>
      <c r="OBL15" s="122"/>
      <c r="OBM15" s="122"/>
      <c r="OBN15" s="122"/>
      <c r="OBO15" s="122"/>
      <c r="OBP15" s="122"/>
      <c r="OBQ15" s="122"/>
      <c r="OBR15" s="122"/>
      <c r="OBS15" s="122"/>
      <c r="OBT15" s="122"/>
      <c r="OBU15" s="122"/>
      <c r="OBV15" s="122"/>
      <c r="OBW15" s="122"/>
      <c r="OBX15" s="122"/>
      <c r="OBY15" s="122"/>
      <c r="OBZ15" s="122"/>
      <c r="OCA15" s="122"/>
      <c r="OCB15" s="122"/>
      <c r="OCC15" s="122"/>
      <c r="OCD15" s="122"/>
      <c r="OCE15" s="122"/>
      <c r="OCF15" s="122"/>
      <c r="OCG15" s="122"/>
      <c r="OCH15" s="122"/>
      <c r="OCI15" s="122"/>
      <c r="OCJ15" s="122"/>
      <c r="OCK15" s="122"/>
      <c r="OCL15" s="122"/>
      <c r="OCM15" s="122"/>
      <c r="OCN15" s="122"/>
      <c r="OCO15" s="122"/>
      <c r="OCP15" s="122"/>
      <c r="OCQ15" s="122"/>
      <c r="OCR15" s="122"/>
      <c r="OCS15" s="122"/>
      <c r="OCT15" s="122"/>
      <c r="OCU15" s="122"/>
      <c r="OCV15" s="122"/>
      <c r="OCW15" s="122"/>
      <c r="OCX15" s="122"/>
      <c r="OCY15" s="122"/>
      <c r="OCZ15" s="122"/>
      <c r="ODA15" s="122"/>
      <c r="ODB15" s="122"/>
      <c r="ODC15" s="122"/>
      <c r="ODD15" s="122"/>
      <c r="ODE15" s="122"/>
      <c r="ODF15" s="122"/>
      <c r="ODG15" s="122"/>
      <c r="ODH15" s="122"/>
      <c r="ODI15" s="122"/>
      <c r="ODJ15" s="122"/>
      <c r="ODK15" s="122"/>
      <c r="ODL15" s="122"/>
      <c r="ODM15" s="122"/>
      <c r="ODN15" s="122"/>
      <c r="ODO15" s="122"/>
      <c r="ODP15" s="122"/>
      <c r="ODQ15" s="122"/>
      <c r="ODR15" s="122"/>
      <c r="ODS15" s="122"/>
      <c r="ODT15" s="122"/>
      <c r="ODU15" s="122"/>
      <c r="ODV15" s="122"/>
      <c r="ODW15" s="122"/>
      <c r="ODX15" s="122"/>
      <c r="ODY15" s="122"/>
      <c r="ODZ15" s="122"/>
      <c r="OEA15" s="122"/>
      <c r="OEB15" s="122"/>
      <c r="OEC15" s="122"/>
      <c r="OED15" s="122"/>
      <c r="OEE15" s="122"/>
      <c r="OEF15" s="122"/>
      <c r="OEG15" s="122"/>
      <c r="OEH15" s="122"/>
      <c r="OEI15" s="122"/>
      <c r="OEJ15" s="122"/>
      <c r="OEK15" s="122"/>
      <c r="OEL15" s="122"/>
      <c r="OEM15" s="122"/>
      <c r="OEN15" s="122"/>
      <c r="OEO15" s="122"/>
      <c r="OEP15" s="122"/>
      <c r="OEQ15" s="122"/>
      <c r="OER15" s="122"/>
      <c r="OES15" s="122"/>
      <c r="OET15" s="122"/>
      <c r="OEU15" s="122"/>
      <c r="OEV15" s="122"/>
      <c r="OEW15" s="122"/>
      <c r="OEX15" s="122"/>
      <c r="OEY15" s="122"/>
      <c r="OEZ15" s="122"/>
      <c r="OFA15" s="122"/>
      <c r="OFB15" s="122"/>
      <c r="OFC15" s="122"/>
      <c r="OFD15" s="122"/>
      <c r="OFE15" s="122"/>
      <c r="OFF15" s="122"/>
      <c r="OFG15" s="122"/>
      <c r="OFH15" s="122"/>
      <c r="OFI15" s="122"/>
      <c r="OFJ15" s="122"/>
      <c r="OFK15" s="122"/>
      <c r="OFL15" s="122"/>
      <c r="OFM15" s="122"/>
      <c r="OFN15" s="122"/>
      <c r="OFO15" s="122"/>
      <c r="OFP15" s="122"/>
      <c r="OFQ15" s="122"/>
      <c r="OFR15" s="122"/>
      <c r="OFS15" s="122"/>
      <c r="OFT15" s="122"/>
      <c r="OFU15" s="122"/>
      <c r="OFV15" s="122"/>
      <c r="OFW15" s="122"/>
      <c r="OFX15" s="122"/>
      <c r="OFY15" s="122"/>
      <c r="OFZ15" s="122"/>
      <c r="OGA15" s="122"/>
      <c r="OGB15" s="122"/>
      <c r="OGC15" s="122"/>
      <c r="OGD15" s="122"/>
      <c r="OGE15" s="122"/>
      <c r="OGF15" s="122"/>
      <c r="OGG15" s="122"/>
      <c r="OGH15" s="122"/>
      <c r="OGI15" s="122"/>
      <c r="OGJ15" s="122"/>
      <c r="OGK15" s="122"/>
      <c r="OGL15" s="122"/>
      <c r="OGM15" s="122"/>
      <c r="OGN15" s="122"/>
      <c r="OGO15" s="122"/>
      <c r="OGP15" s="122"/>
      <c r="OGQ15" s="122"/>
      <c r="OGR15" s="122"/>
      <c r="OGS15" s="122"/>
      <c r="OGT15" s="122"/>
      <c r="OGU15" s="122"/>
      <c r="OGV15" s="122"/>
      <c r="OGW15" s="122"/>
      <c r="OGX15" s="122"/>
      <c r="OGY15" s="122"/>
      <c r="OGZ15" s="122"/>
      <c r="OHA15" s="122"/>
      <c r="OHB15" s="122"/>
      <c r="OHC15" s="122"/>
      <c r="OHD15" s="122"/>
      <c r="OHE15" s="122"/>
      <c r="OHF15" s="122"/>
      <c r="OHG15" s="122"/>
      <c r="OHH15" s="122"/>
      <c r="OHI15" s="122"/>
      <c r="OHJ15" s="122"/>
      <c r="OHK15" s="122"/>
      <c r="OHL15" s="122"/>
      <c r="OHM15" s="122"/>
      <c r="OHN15" s="122"/>
      <c r="OHO15" s="122"/>
      <c r="OHP15" s="122"/>
      <c r="OHQ15" s="122"/>
      <c r="OHR15" s="122"/>
      <c r="OHS15" s="122"/>
      <c r="OHT15" s="122"/>
      <c r="OHU15" s="122"/>
      <c r="OHV15" s="122"/>
      <c r="OHW15" s="122"/>
      <c r="OHX15" s="122"/>
      <c r="OHY15" s="122"/>
      <c r="OHZ15" s="122"/>
      <c r="OIA15" s="122"/>
      <c r="OIB15" s="122"/>
      <c r="OIC15" s="122"/>
      <c r="OID15" s="122"/>
      <c r="OIE15" s="122"/>
      <c r="OIF15" s="122"/>
      <c r="OIG15" s="122"/>
      <c r="OIH15" s="122"/>
      <c r="OII15" s="122"/>
      <c r="OIJ15" s="122"/>
      <c r="OIK15" s="122"/>
      <c r="OIL15" s="122"/>
      <c r="OIM15" s="122"/>
      <c r="OIN15" s="122"/>
      <c r="OIO15" s="122"/>
      <c r="OIP15" s="122"/>
      <c r="OIQ15" s="122"/>
      <c r="OIR15" s="122"/>
      <c r="OIS15" s="122"/>
      <c r="OIT15" s="122"/>
      <c r="OIU15" s="122"/>
      <c r="OIV15" s="122"/>
      <c r="OIW15" s="122"/>
      <c r="OIX15" s="122"/>
      <c r="OIY15" s="122"/>
      <c r="OIZ15" s="122"/>
      <c r="OJA15" s="122"/>
      <c r="OJB15" s="122"/>
      <c r="OJC15" s="122"/>
      <c r="OJD15" s="122"/>
      <c r="OJE15" s="122"/>
      <c r="OJF15" s="122"/>
      <c r="OJG15" s="122"/>
      <c r="OJH15" s="122"/>
      <c r="OJI15" s="122"/>
      <c r="OJJ15" s="122"/>
      <c r="OJK15" s="122"/>
      <c r="OJL15" s="122"/>
      <c r="OJM15" s="122"/>
      <c r="OJN15" s="122"/>
      <c r="OJO15" s="122"/>
      <c r="OJP15" s="122"/>
      <c r="OJQ15" s="122"/>
      <c r="OJR15" s="122"/>
      <c r="OJS15" s="122"/>
      <c r="OJT15" s="122"/>
      <c r="OJU15" s="122"/>
      <c r="OJV15" s="122"/>
      <c r="OJW15" s="122"/>
      <c r="OJX15" s="122"/>
      <c r="OJY15" s="122"/>
      <c r="OJZ15" s="122"/>
      <c r="OKA15" s="122"/>
      <c r="OKB15" s="122"/>
      <c r="OKC15" s="122"/>
      <c r="OKD15" s="122"/>
      <c r="OKE15" s="122"/>
      <c r="OKF15" s="122"/>
      <c r="OKG15" s="122"/>
      <c r="OKH15" s="122"/>
      <c r="OKI15" s="122"/>
      <c r="OKJ15" s="122"/>
      <c r="OKK15" s="122"/>
      <c r="OKL15" s="122"/>
      <c r="OKM15" s="122"/>
      <c r="OKN15" s="122"/>
      <c r="OKO15" s="122"/>
      <c r="OKP15" s="122"/>
      <c r="OKQ15" s="122"/>
      <c r="OKR15" s="122"/>
      <c r="OKS15" s="122"/>
      <c r="OKT15" s="122"/>
      <c r="OKU15" s="122"/>
      <c r="OKV15" s="122"/>
      <c r="OKW15" s="122"/>
      <c r="OKX15" s="122"/>
      <c r="OKY15" s="122"/>
      <c r="OKZ15" s="122"/>
      <c r="OLA15" s="122"/>
      <c r="OLB15" s="122"/>
      <c r="OLC15" s="122"/>
      <c r="OLD15" s="122"/>
      <c r="OLE15" s="122"/>
      <c r="OLF15" s="122"/>
      <c r="OLG15" s="122"/>
      <c r="OLH15" s="122"/>
      <c r="OLI15" s="122"/>
      <c r="OLJ15" s="122"/>
      <c r="OLK15" s="122"/>
      <c r="OLL15" s="122"/>
      <c r="OLM15" s="122"/>
      <c r="OLN15" s="122"/>
      <c r="OLO15" s="122"/>
      <c r="OLP15" s="122"/>
      <c r="OLQ15" s="122"/>
      <c r="OLR15" s="122"/>
      <c r="OLS15" s="122"/>
      <c r="OLT15" s="122"/>
      <c r="OLU15" s="122"/>
      <c r="OLV15" s="122"/>
      <c r="OLW15" s="122"/>
      <c r="OLX15" s="122"/>
      <c r="OLY15" s="122"/>
      <c r="OLZ15" s="122"/>
      <c r="OMA15" s="122"/>
      <c r="OMB15" s="122"/>
      <c r="OMC15" s="122"/>
      <c r="OMD15" s="122"/>
      <c r="OME15" s="122"/>
      <c r="OMF15" s="122"/>
      <c r="OMG15" s="122"/>
      <c r="OMH15" s="122"/>
      <c r="OMI15" s="122"/>
      <c r="OMJ15" s="122"/>
      <c r="OMK15" s="122"/>
      <c r="OML15" s="122"/>
      <c r="OMM15" s="122"/>
      <c r="OMN15" s="122"/>
      <c r="OMO15" s="122"/>
      <c r="OMP15" s="122"/>
      <c r="OMQ15" s="122"/>
      <c r="OMR15" s="122"/>
      <c r="OMS15" s="122"/>
      <c r="OMT15" s="122"/>
      <c r="OMU15" s="122"/>
      <c r="OMV15" s="122"/>
      <c r="OMW15" s="122"/>
      <c r="OMX15" s="122"/>
      <c r="OMY15" s="122"/>
      <c r="OMZ15" s="122"/>
      <c r="ONA15" s="122"/>
      <c r="ONB15" s="122"/>
      <c r="ONC15" s="122"/>
      <c r="OND15" s="122"/>
      <c r="ONE15" s="122"/>
      <c r="ONF15" s="122"/>
      <c r="ONG15" s="122"/>
      <c r="ONH15" s="122"/>
      <c r="ONI15" s="122"/>
      <c r="ONJ15" s="122"/>
      <c r="ONK15" s="122"/>
      <c r="ONL15" s="122"/>
      <c r="ONM15" s="122"/>
      <c r="ONN15" s="122"/>
      <c r="ONO15" s="122"/>
      <c r="ONP15" s="122"/>
      <c r="ONQ15" s="122"/>
      <c r="ONR15" s="122"/>
      <c r="ONS15" s="122"/>
      <c r="ONT15" s="122"/>
      <c r="ONU15" s="122"/>
      <c r="ONV15" s="122"/>
      <c r="ONW15" s="122"/>
      <c r="ONX15" s="122"/>
      <c r="ONY15" s="122"/>
      <c r="ONZ15" s="122"/>
      <c r="OOA15" s="122"/>
      <c r="OOB15" s="122"/>
      <c r="OOC15" s="122"/>
      <c r="OOD15" s="122"/>
      <c r="OOE15" s="122"/>
      <c r="OOF15" s="122"/>
      <c r="OOG15" s="122"/>
      <c r="OOH15" s="122"/>
      <c r="OOI15" s="122"/>
      <c r="OOJ15" s="122"/>
      <c r="OOK15" s="122"/>
      <c r="OOL15" s="122"/>
      <c r="OOM15" s="122"/>
      <c r="OON15" s="122"/>
      <c r="OOO15" s="122"/>
      <c r="OOP15" s="122"/>
      <c r="OOQ15" s="122"/>
      <c r="OOR15" s="122"/>
      <c r="OOS15" s="122"/>
      <c r="OOT15" s="122"/>
      <c r="OOU15" s="122"/>
      <c r="OOV15" s="122"/>
      <c r="OOW15" s="122"/>
      <c r="OOX15" s="122"/>
      <c r="OOY15" s="122"/>
      <c r="OOZ15" s="122"/>
      <c r="OPA15" s="122"/>
      <c r="OPB15" s="122"/>
      <c r="OPC15" s="122"/>
      <c r="OPD15" s="122"/>
      <c r="OPE15" s="122"/>
      <c r="OPF15" s="122"/>
      <c r="OPG15" s="122"/>
      <c r="OPH15" s="122"/>
      <c r="OPI15" s="122"/>
      <c r="OPJ15" s="122"/>
      <c r="OPK15" s="122"/>
      <c r="OPL15" s="122"/>
      <c r="OPM15" s="122"/>
      <c r="OPN15" s="122"/>
      <c r="OPO15" s="122"/>
      <c r="OPP15" s="122"/>
      <c r="OPQ15" s="122"/>
      <c r="OPR15" s="122"/>
      <c r="OPS15" s="122"/>
      <c r="OPT15" s="122"/>
      <c r="OPU15" s="122"/>
      <c r="OPV15" s="122"/>
      <c r="OPW15" s="122"/>
      <c r="OPX15" s="122"/>
      <c r="OPY15" s="122"/>
      <c r="OPZ15" s="122"/>
      <c r="OQA15" s="122"/>
      <c r="OQB15" s="122"/>
      <c r="OQC15" s="122"/>
      <c r="OQD15" s="122"/>
      <c r="OQE15" s="122"/>
      <c r="OQF15" s="122"/>
      <c r="OQG15" s="122"/>
      <c r="OQH15" s="122"/>
      <c r="OQI15" s="122"/>
      <c r="OQJ15" s="122"/>
      <c r="OQK15" s="122"/>
      <c r="OQL15" s="122"/>
      <c r="OQM15" s="122"/>
      <c r="OQN15" s="122"/>
      <c r="OQO15" s="122"/>
      <c r="OQP15" s="122"/>
      <c r="OQQ15" s="122"/>
      <c r="OQR15" s="122"/>
      <c r="OQS15" s="122"/>
      <c r="OQT15" s="122"/>
      <c r="OQU15" s="122"/>
      <c r="OQV15" s="122"/>
      <c r="OQW15" s="122"/>
      <c r="OQX15" s="122"/>
      <c r="OQY15" s="122"/>
      <c r="OQZ15" s="122"/>
      <c r="ORA15" s="122"/>
      <c r="ORB15" s="122"/>
      <c r="ORC15" s="122"/>
      <c r="ORD15" s="122"/>
      <c r="ORE15" s="122"/>
      <c r="ORF15" s="122"/>
      <c r="ORG15" s="122"/>
      <c r="ORH15" s="122"/>
      <c r="ORI15" s="122"/>
      <c r="ORJ15" s="122"/>
      <c r="ORK15" s="122"/>
      <c r="ORL15" s="122"/>
      <c r="ORM15" s="122"/>
      <c r="ORN15" s="122"/>
      <c r="ORO15" s="122"/>
      <c r="ORP15" s="122"/>
      <c r="ORQ15" s="122"/>
      <c r="ORR15" s="122"/>
      <c r="ORS15" s="122"/>
      <c r="ORT15" s="122"/>
      <c r="ORU15" s="122"/>
      <c r="ORV15" s="122"/>
      <c r="ORW15" s="122"/>
      <c r="ORX15" s="122"/>
      <c r="ORY15" s="122"/>
      <c r="ORZ15" s="122"/>
      <c r="OSA15" s="122"/>
      <c r="OSB15" s="122"/>
      <c r="OSC15" s="122"/>
      <c r="OSD15" s="122"/>
      <c r="OSE15" s="122"/>
      <c r="OSF15" s="122"/>
      <c r="OSG15" s="122"/>
      <c r="OSH15" s="122"/>
      <c r="OSI15" s="122"/>
      <c r="OSJ15" s="122"/>
      <c r="OSK15" s="122"/>
      <c r="OSL15" s="122"/>
      <c r="OSM15" s="122"/>
      <c r="OSN15" s="122"/>
      <c r="OSO15" s="122"/>
      <c r="OSP15" s="122"/>
      <c r="OSQ15" s="122"/>
      <c r="OSR15" s="122"/>
      <c r="OSS15" s="122"/>
      <c r="OST15" s="122"/>
      <c r="OSU15" s="122"/>
      <c r="OSV15" s="122"/>
      <c r="OSW15" s="122"/>
      <c r="OSX15" s="122"/>
      <c r="OSY15" s="122"/>
      <c r="OSZ15" s="122"/>
      <c r="OTA15" s="122"/>
      <c r="OTB15" s="122"/>
      <c r="OTC15" s="122"/>
      <c r="OTD15" s="122"/>
      <c r="OTE15" s="122"/>
      <c r="OTF15" s="122"/>
      <c r="OTG15" s="122"/>
      <c r="OTH15" s="122"/>
      <c r="OTI15" s="122"/>
      <c r="OTJ15" s="122"/>
      <c r="OTK15" s="122"/>
      <c r="OTL15" s="122"/>
      <c r="OTM15" s="122"/>
      <c r="OTN15" s="122"/>
      <c r="OTO15" s="122"/>
      <c r="OTP15" s="122"/>
      <c r="OTQ15" s="122"/>
      <c r="OTR15" s="122"/>
      <c r="OTS15" s="122"/>
      <c r="OTT15" s="122"/>
      <c r="OTU15" s="122"/>
      <c r="OTV15" s="122"/>
      <c r="OTW15" s="122"/>
      <c r="OTX15" s="122"/>
      <c r="OTY15" s="122"/>
      <c r="OTZ15" s="122"/>
      <c r="OUA15" s="122"/>
      <c r="OUB15" s="122"/>
      <c r="OUC15" s="122"/>
      <c r="OUD15" s="122"/>
      <c r="OUE15" s="122"/>
      <c r="OUF15" s="122"/>
      <c r="OUG15" s="122"/>
      <c r="OUH15" s="122"/>
      <c r="OUI15" s="122"/>
      <c r="OUJ15" s="122"/>
      <c r="OUK15" s="122"/>
      <c r="OUL15" s="122"/>
      <c r="OUM15" s="122"/>
      <c r="OUN15" s="122"/>
      <c r="OUO15" s="122"/>
      <c r="OUP15" s="122"/>
      <c r="OUQ15" s="122"/>
      <c r="OUR15" s="122"/>
      <c r="OUS15" s="122"/>
      <c r="OUT15" s="122"/>
      <c r="OUU15" s="122"/>
      <c r="OUV15" s="122"/>
      <c r="OUW15" s="122"/>
      <c r="OUX15" s="122"/>
      <c r="OUY15" s="122"/>
      <c r="OUZ15" s="122"/>
      <c r="OVA15" s="122"/>
      <c r="OVB15" s="122"/>
      <c r="OVC15" s="122"/>
      <c r="OVD15" s="122"/>
      <c r="OVE15" s="122"/>
      <c r="OVF15" s="122"/>
      <c r="OVG15" s="122"/>
      <c r="OVH15" s="122"/>
      <c r="OVI15" s="122"/>
      <c r="OVJ15" s="122"/>
      <c r="OVK15" s="122"/>
      <c r="OVL15" s="122"/>
      <c r="OVM15" s="122"/>
      <c r="OVN15" s="122"/>
      <c r="OVO15" s="122"/>
      <c r="OVP15" s="122"/>
      <c r="OVQ15" s="122"/>
      <c r="OVR15" s="122"/>
      <c r="OVS15" s="122"/>
      <c r="OVT15" s="122"/>
      <c r="OVU15" s="122"/>
      <c r="OVV15" s="122"/>
      <c r="OVW15" s="122"/>
      <c r="OVX15" s="122"/>
      <c r="OVY15" s="122"/>
      <c r="OVZ15" s="122"/>
      <c r="OWA15" s="122"/>
      <c r="OWB15" s="122"/>
      <c r="OWC15" s="122"/>
      <c r="OWD15" s="122"/>
      <c r="OWE15" s="122"/>
      <c r="OWF15" s="122"/>
      <c r="OWG15" s="122"/>
      <c r="OWH15" s="122"/>
      <c r="OWI15" s="122"/>
      <c r="OWJ15" s="122"/>
      <c r="OWK15" s="122"/>
      <c r="OWL15" s="122"/>
      <c r="OWM15" s="122"/>
      <c r="OWN15" s="122"/>
      <c r="OWO15" s="122"/>
      <c r="OWP15" s="122"/>
      <c r="OWQ15" s="122"/>
      <c r="OWR15" s="122"/>
      <c r="OWS15" s="122"/>
      <c r="OWT15" s="122"/>
      <c r="OWU15" s="122"/>
      <c r="OWV15" s="122"/>
      <c r="OWW15" s="122"/>
      <c r="OWX15" s="122"/>
      <c r="OWY15" s="122"/>
      <c r="OWZ15" s="122"/>
      <c r="OXA15" s="122"/>
      <c r="OXB15" s="122"/>
      <c r="OXC15" s="122"/>
      <c r="OXD15" s="122"/>
      <c r="OXE15" s="122"/>
      <c r="OXF15" s="122"/>
      <c r="OXG15" s="122"/>
      <c r="OXH15" s="122"/>
      <c r="OXI15" s="122"/>
      <c r="OXJ15" s="122"/>
      <c r="OXK15" s="122"/>
      <c r="OXL15" s="122"/>
      <c r="OXM15" s="122"/>
      <c r="OXN15" s="122"/>
      <c r="OXO15" s="122"/>
      <c r="OXP15" s="122"/>
      <c r="OXQ15" s="122"/>
      <c r="OXR15" s="122"/>
      <c r="OXS15" s="122"/>
      <c r="OXT15" s="122"/>
      <c r="OXU15" s="122"/>
      <c r="OXV15" s="122"/>
      <c r="OXW15" s="122"/>
      <c r="OXX15" s="122"/>
      <c r="OXY15" s="122"/>
      <c r="OXZ15" s="122"/>
      <c r="OYA15" s="122"/>
      <c r="OYB15" s="122"/>
      <c r="OYC15" s="122"/>
      <c r="OYD15" s="122"/>
      <c r="OYE15" s="122"/>
      <c r="OYF15" s="122"/>
      <c r="OYG15" s="122"/>
      <c r="OYH15" s="122"/>
      <c r="OYI15" s="122"/>
      <c r="OYJ15" s="122"/>
      <c r="OYK15" s="122"/>
      <c r="OYL15" s="122"/>
      <c r="OYM15" s="122"/>
      <c r="OYN15" s="122"/>
      <c r="OYO15" s="122"/>
      <c r="OYP15" s="122"/>
      <c r="OYQ15" s="122"/>
      <c r="OYR15" s="122"/>
      <c r="OYS15" s="122"/>
      <c r="OYT15" s="122"/>
      <c r="OYU15" s="122"/>
      <c r="OYV15" s="122"/>
      <c r="OYW15" s="122"/>
      <c r="OYX15" s="122"/>
      <c r="OYY15" s="122"/>
      <c r="OYZ15" s="122"/>
      <c r="OZA15" s="122"/>
      <c r="OZB15" s="122"/>
      <c r="OZC15" s="122"/>
      <c r="OZD15" s="122"/>
      <c r="OZE15" s="122"/>
      <c r="OZF15" s="122"/>
      <c r="OZG15" s="122"/>
      <c r="OZH15" s="122"/>
      <c r="OZI15" s="122"/>
      <c r="OZJ15" s="122"/>
      <c r="OZK15" s="122"/>
      <c r="OZL15" s="122"/>
      <c r="OZM15" s="122"/>
      <c r="OZN15" s="122"/>
      <c r="OZO15" s="122"/>
      <c r="OZP15" s="122"/>
      <c r="OZQ15" s="122"/>
      <c r="OZR15" s="122"/>
      <c r="OZS15" s="122"/>
      <c r="OZT15" s="122"/>
      <c r="OZU15" s="122"/>
      <c r="OZV15" s="122"/>
      <c r="OZW15" s="122"/>
      <c r="OZX15" s="122"/>
      <c r="OZY15" s="122"/>
      <c r="OZZ15" s="122"/>
      <c r="PAA15" s="122"/>
      <c r="PAB15" s="122"/>
      <c r="PAC15" s="122"/>
      <c r="PAD15" s="122"/>
      <c r="PAE15" s="122"/>
      <c r="PAF15" s="122"/>
      <c r="PAG15" s="122"/>
      <c r="PAH15" s="122"/>
      <c r="PAI15" s="122"/>
      <c r="PAJ15" s="122"/>
      <c r="PAK15" s="122"/>
      <c r="PAL15" s="122"/>
      <c r="PAM15" s="122"/>
      <c r="PAN15" s="122"/>
      <c r="PAO15" s="122"/>
      <c r="PAP15" s="122"/>
      <c r="PAQ15" s="122"/>
      <c r="PAR15" s="122"/>
      <c r="PAS15" s="122"/>
      <c r="PAT15" s="122"/>
      <c r="PAU15" s="122"/>
      <c r="PAV15" s="122"/>
      <c r="PAW15" s="122"/>
      <c r="PAX15" s="122"/>
      <c r="PAY15" s="122"/>
      <c r="PAZ15" s="122"/>
      <c r="PBA15" s="122"/>
      <c r="PBB15" s="122"/>
      <c r="PBC15" s="122"/>
      <c r="PBD15" s="122"/>
      <c r="PBE15" s="122"/>
      <c r="PBF15" s="122"/>
      <c r="PBG15" s="122"/>
      <c r="PBH15" s="122"/>
      <c r="PBI15" s="122"/>
      <c r="PBJ15" s="122"/>
      <c r="PBK15" s="122"/>
      <c r="PBL15" s="122"/>
      <c r="PBM15" s="122"/>
      <c r="PBN15" s="122"/>
      <c r="PBO15" s="122"/>
      <c r="PBP15" s="122"/>
      <c r="PBQ15" s="122"/>
      <c r="PBR15" s="122"/>
      <c r="PBS15" s="122"/>
      <c r="PBT15" s="122"/>
      <c r="PBU15" s="122"/>
      <c r="PBV15" s="122"/>
      <c r="PBW15" s="122"/>
      <c r="PBX15" s="122"/>
      <c r="PBY15" s="122"/>
      <c r="PBZ15" s="122"/>
      <c r="PCA15" s="122"/>
      <c r="PCB15" s="122"/>
      <c r="PCC15" s="122"/>
      <c r="PCD15" s="122"/>
      <c r="PCE15" s="122"/>
      <c r="PCF15" s="122"/>
      <c r="PCG15" s="122"/>
      <c r="PCH15" s="122"/>
      <c r="PCI15" s="122"/>
      <c r="PCJ15" s="122"/>
      <c r="PCK15" s="122"/>
      <c r="PCL15" s="122"/>
      <c r="PCM15" s="122"/>
      <c r="PCN15" s="122"/>
      <c r="PCO15" s="122"/>
      <c r="PCP15" s="122"/>
      <c r="PCQ15" s="122"/>
      <c r="PCR15" s="122"/>
      <c r="PCS15" s="122"/>
      <c r="PCT15" s="122"/>
      <c r="PCU15" s="122"/>
      <c r="PCV15" s="122"/>
      <c r="PCW15" s="122"/>
      <c r="PCX15" s="122"/>
      <c r="PCY15" s="122"/>
      <c r="PCZ15" s="122"/>
      <c r="PDA15" s="122"/>
      <c r="PDB15" s="122"/>
      <c r="PDC15" s="122"/>
      <c r="PDD15" s="122"/>
      <c r="PDE15" s="122"/>
      <c r="PDF15" s="122"/>
      <c r="PDG15" s="122"/>
      <c r="PDH15" s="122"/>
      <c r="PDI15" s="122"/>
      <c r="PDJ15" s="122"/>
      <c r="PDK15" s="122"/>
      <c r="PDL15" s="122"/>
      <c r="PDM15" s="122"/>
      <c r="PDN15" s="122"/>
      <c r="PDO15" s="122"/>
      <c r="PDP15" s="122"/>
      <c r="PDQ15" s="122"/>
      <c r="PDR15" s="122"/>
      <c r="PDS15" s="122"/>
      <c r="PDT15" s="122"/>
      <c r="PDU15" s="122"/>
      <c r="PDV15" s="122"/>
      <c r="PDW15" s="122"/>
      <c r="PDX15" s="122"/>
      <c r="PDY15" s="122"/>
      <c r="PDZ15" s="122"/>
      <c r="PEA15" s="122"/>
      <c r="PEB15" s="122"/>
      <c r="PEC15" s="122"/>
      <c r="PED15" s="122"/>
      <c r="PEE15" s="122"/>
      <c r="PEF15" s="122"/>
      <c r="PEG15" s="122"/>
      <c r="PEH15" s="122"/>
      <c r="PEI15" s="122"/>
      <c r="PEJ15" s="122"/>
      <c r="PEK15" s="122"/>
      <c r="PEL15" s="122"/>
      <c r="PEM15" s="122"/>
      <c r="PEN15" s="122"/>
      <c r="PEO15" s="122"/>
      <c r="PEP15" s="122"/>
      <c r="PEQ15" s="122"/>
      <c r="PER15" s="122"/>
      <c r="PES15" s="122"/>
      <c r="PET15" s="122"/>
      <c r="PEU15" s="122"/>
      <c r="PEV15" s="122"/>
      <c r="PEW15" s="122"/>
      <c r="PEX15" s="122"/>
      <c r="PEY15" s="122"/>
      <c r="PEZ15" s="122"/>
      <c r="PFA15" s="122"/>
      <c r="PFB15" s="122"/>
      <c r="PFC15" s="122"/>
      <c r="PFD15" s="122"/>
      <c r="PFE15" s="122"/>
      <c r="PFF15" s="122"/>
      <c r="PFG15" s="122"/>
      <c r="PFH15" s="122"/>
      <c r="PFI15" s="122"/>
      <c r="PFJ15" s="122"/>
      <c r="PFK15" s="122"/>
      <c r="PFL15" s="122"/>
      <c r="PFM15" s="122"/>
      <c r="PFN15" s="122"/>
      <c r="PFO15" s="122"/>
      <c r="PFP15" s="122"/>
      <c r="PFQ15" s="122"/>
      <c r="PFR15" s="122"/>
      <c r="PFS15" s="122"/>
      <c r="PFT15" s="122"/>
      <c r="PFU15" s="122"/>
      <c r="PFV15" s="122"/>
      <c r="PFW15" s="122"/>
      <c r="PFX15" s="122"/>
      <c r="PFY15" s="122"/>
      <c r="PFZ15" s="122"/>
      <c r="PGA15" s="122"/>
      <c r="PGB15" s="122"/>
      <c r="PGC15" s="122"/>
      <c r="PGD15" s="122"/>
      <c r="PGE15" s="122"/>
      <c r="PGF15" s="122"/>
      <c r="PGG15" s="122"/>
      <c r="PGH15" s="122"/>
      <c r="PGI15" s="122"/>
      <c r="PGJ15" s="122"/>
      <c r="PGK15" s="122"/>
      <c r="PGL15" s="122"/>
      <c r="PGM15" s="122"/>
      <c r="PGN15" s="122"/>
      <c r="PGO15" s="122"/>
      <c r="PGP15" s="122"/>
      <c r="PGQ15" s="122"/>
      <c r="PGR15" s="122"/>
      <c r="PGS15" s="122"/>
      <c r="PGT15" s="122"/>
      <c r="PGU15" s="122"/>
      <c r="PGV15" s="122"/>
      <c r="PGW15" s="122"/>
      <c r="PGX15" s="122"/>
      <c r="PGY15" s="122"/>
      <c r="PGZ15" s="122"/>
      <c r="PHA15" s="122"/>
      <c r="PHB15" s="122"/>
      <c r="PHC15" s="122"/>
      <c r="PHD15" s="122"/>
      <c r="PHE15" s="122"/>
      <c r="PHF15" s="122"/>
      <c r="PHG15" s="122"/>
      <c r="PHH15" s="122"/>
      <c r="PHI15" s="122"/>
      <c r="PHJ15" s="122"/>
      <c r="PHK15" s="122"/>
      <c r="PHL15" s="122"/>
      <c r="PHM15" s="122"/>
      <c r="PHN15" s="122"/>
      <c r="PHO15" s="122"/>
      <c r="PHP15" s="122"/>
      <c r="PHQ15" s="122"/>
      <c r="PHR15" s="122"/>
      <c r="PHS15" s="122"/>
      <c r="PHT15" s="122"/>
      <c r="PHU15" s="122"/>
      <c r="PHV15" s="122"/>
      <c r="PHW15" s="122"/>
      <c r="PHX15" s="122"/>
      <c r="PHY15" s="122"/>
      <c r="PHZ15" s="122"/>
      <c r="PIA15" s="122"/>
      <c r="PIB15" s="122"/>
      <c r="PIC15" s="122"/>
      <c r="PID15" s="122"/>
      <c r="PIE15" s="122"/>
      <c r="PIF15" s="122"/>
      <c r="PIG15" s="122"/>
      <c r="PIH15" s="122"/>
      <c r="PII15" s="122"/>
      <c r="PIJ15" s="122"/>
      <c r="PIK15" s="122"/>
      <c r="PIL15" s="122"/>
      <c r="PIM15" s="122"/>
      <c r="PIN15" s="122"/>
      <c r="PIO15" s="122"/>
      <c r="PIP15" s="122"/>
      <c r="PIQ15" s="122"/>
      <c r="PIR15" s="122"/>
      <c r="PIS15" s="122"/>
      <c r="PIT15" s="122"/>
      <c r="PIU15" s="122"/>
      <c r="PIV15" s="122"/>
      <c r="PIW15" s="122"/>
      <c r="PIX15" s="122"/>
      <c r="PIY15" s="122"/>
      <c r="PIZ15" s="122"/>
      <c r="PJA15" s="122"/>
      <c r="PJB15" s="122"/>
      <c r="PJC15" s="122"/>
      <c r="PJD15" s="122"/>
      <c r="PJE15" s="122"/>
      <c r="PJF15" s="122"/>
      <c r="PJG15" s="122"/>
      <c r="PJH15" s="122"/>
      <c r="PJI15" s="122"/>
      <c r="PJJ15" s="122"/>
      <c r="PJK15" s="122"/>
      <c r="PJL15" s="122"/>
      <c r="PJM15" s="122"/>
      <c r="PJN15" s="122"/>
      <c r="PJO15" s="122"/>
      <c r="PJP15" s="122"/>
      <c r="PJQ15" s="122"/>
      <c r="PJR15" s="122"/>
      <c r="PJS15" s="122"/>
      <c r="PJT15" s="122"/>
      <c r="PJU15" s="122"/>
      <c r="PJV15" s="122"/>
      <c r="PJW15" s="122"/>
      <c r="PJX15" s="122"/>
      <c r="PJY15" s="122"/>
      <c r="PJZ15" s="122"/>
      <c r="PKA15" s="122"/>
      <c r="PKB15" s="122"/>
      <c r="PKC15" s="122"/>
      <c r="PKD15" s="122"/>
      <c r="PKE15" s="122"/>
      <c r="PKF15" s="122"/>
      <c r="PKG15" s="122"/>
      <c r="PKH15" s="122"/>
      <c r="PKI15" s="122"/>
      <c r="PKJ15" s="122"/>
      <c r="PKK15" s="122"/>
      <c r="PKL15" s="122"/>
      <c r="PKM15" s="122"/>
      <c r="PKN15" s="122"/>
      <c r="PKO15" s="122"/>
      <c r="PKP15" s="122"/>
      <c r="PKQ15" s="122"/>
      <c r="PKR15" s="122"/>
      <c r="PKS15" s="122"/>
      <c r="PKT15" s="122"/>
      <c r="PKU15" s="122"/>
      <c r="PKV15" s="122"/>
      <c r="PKW15" s="122"/>
      <c r="PKX15" s="122"/>
      <c r="PKY15" s="122"/>
      <c r="PKZ15" s="122"/>
      <c r="PLA15" s="122"/>
      <c r="PLB15" s="122"/>
      <c r="PLC15" s="122"/>
      <c r="PLD15" s="122"/>
      <c r="PLE15" s="122"/>
      <c r="PLF15" s="122"/>
      <c r="PLG15" s="122"/>
      <c r="PLH15" s="122"/>
      <c r="PLI15" s="122"/>
      <c r="PLJ15" s="122"/>
      <c r="PLK15" s="122"/>
      <c r="PLL15" s="122"/>
      <c r="PLM15" s="122"/>
      <c r="PLN15" s="122"/>
      <c r="PLO15" s="122"/>
      <c r="PLP15" s="122"/>
      <c r="PLQ15" s="122"/>
      <c r="PLR15" s="122"/>
      <c r="PLS15" s="122"/>
      <c r="PLT15" s="122"/>
      <c r="PLU15" s="122"/>
      <c r="PLV15" s="122"/>
      <c r="PLW15" s="122"/>
      <c r="PLX15" s="122"/>
      <c r="PLY15" s="122"/>
      <c r="PLZ15" s="122"/>
      <c r="PMA15" s="122"/>
      <c r="PMB15" s="122"/>
      <c r="PMC15" s="122"/>
      <c r="PMD15" s="122"/>
      <c r="PME15" s="122"/>
      <c r="PMF15" s="122"/>
      <c r="PMG15" s="122"/>
      <c r="PMH15" s="122"/>
      <c r="PMI15" s="122"/>
      <c r="PMJ15" s="122"/>
      <c r="PMK15" s="122"/>
      <c r="PML15" s="122"/>
      <c r="PMM15" s="122"/>
      <c r="PMN15" s="122"/>
      <c r="PMO15" s="122"/>
      <c r="PMP15" s="122"/>
      <c r="PMQ15" s="122"/>
      <c r="PMR15" s="122"/>
      <c r="PMS15" s="122"/>
      <c r="PMT15" s="122"/>
      <c r="PMU15" s="122"/>
      <c r="PMV15" s="122"/>
      <c r="PMW15" s="122"/>
      <c r="PMX15" s="122"/>
      <c r="PMY15" s="122"/>
      <c r="PMZ15" s="122"/>
      <c r="PNA15" s="122"/>
      <c r="PNB15" s="122"/>
      <c r="PNC15" s="122"/>
      <c r="PND15" s="122"/>
      <c r="PNE15" s="122"/>
      <c r="PNF15" s="122"/>
      <c r="PNG15" s="122"/>
      <c r="PNH15" s="122"/>
      <c r="PNI15" s="122"/>
      <c r="PNJ15" s="122"/>
      <c r="PNK15" s="122"/>
      <c r="PNL15" s="122"/>
      <c r="PNM15" s="122"/>
      <c r="PNN15" s="122"/>
      <c r="PNO15" s="122"/>
      <c r="PNP15" s="122"/>
      <c r="PNQ15" s="122"/>
      <c r="PNR15" s="122"/>
      <c r="PNS15" s="122"/>
      <c r="PNT15" s="122"/>
      <c r="PNU15" s="122"/>
      <c r="PNV15" s="122"/>
      <c r="PNW15" s="122"/>
      <c r="PNX15" s="122"/>
      <c r="PNY15" s="122"/>
      <c r="PNZ15" s="122"/>
      <c r="POA15" s="122"/>
      <c r="POB15" s="122"/>
      <c r="POC15" s="122"/>
      <c r="POD15" s="122"/>
      <c r="POE15" s="122"/>
      <c r="POF15" s="122"/>
      <c r="POG15" s="122"/>
      <c r="POH15" s="122"/>
      <c r="POI15" s="122"/>
      <c r="POJ15" s="122"/>
      <c r="POK15" s="122"/>
      <c r="POL15" s="122"/>
      <c r="POM15" s="122"/>
      <c r="PON15" s="122"/>
      <c r="POO15" s="122"/>
      <c r="POP15" s="122"/>
      <c r="POQ15" s="122"/>
      <c r="POR15" s="122"/>
      <c r="POS15" s="122"/>
      <c r="POT15" s="122"/>
      <c r="POU15" s="122"/>
      <c r="POV15" s="122"/>
      <c r="POW15" s="122"/>
      <c r="POX15" s="122"/>
      <c r="POY15" s="122"/>
      <c r="POZ15" s="122"/>
      <c r="PPA15" s="122"/>
      <c r="PPB15" s="122"/>
      <c r="PPC15" s="122"/>
      <c r="PPD15" s="122"/>
      <c r="PPE15" s="122"/>
      <c r="PPF15" s="122"/>
      <c r="PPG15" s="122"/>
      <c r="PPH15" s="122"/>
      <c r="PPI15" s="122"/>
      <c r="PPJ15" s="122"/>
      <c r="PPK15" s="122"/>
      <c r="PPL15" s="122"/>
      <c r="PPM15" s="122"/>
      <c r="PPN15" s="122"/>
      <c r="PPO15" s="122"/>
      <c r="PPP15" s="122"/>
      <c r="PPQ15" s="122"/>
      <c r="PPR15" s="122"/>
      <c r="PPS15" s="122"/>
      <c r="PPT15" s="122"/>
      <c r="PPU15" s="122"/>
      <c r="PPV15" s="122"/>
      <c r="PPW15" s="122"/>
      <c r="PPX15" s="122"/>
      <c r="PPY15" s="122"/>
      <c r="PPZ15" s="122"/>
      <c r="PQA15" s="122"/>
      <c r="PQB15" s="122"/>
      <c r="PQC15" s="122"/>
      <c r="PQD15" s="122"/>
      <c r="PQE15" s="122"/>
      <c r="PQF15" s="122"/>
      <c r="PQG15" s="122"/>
      <c r="PQH15" s="122"/>
      <c r="PQI15" s="122"/>
      <c r="PQJ15" s="122"/>
      <c r="PQK15" s="122"/>
      <c r="PQL15" s="122"/>
      <c r="PQM15" s="122"/>
      <c r="PQN15" s="122"/>
      <c r="PQO15" s="122"/>
      <c r="PQP15" s="122"/>
      <c r="PQQ15" s="122"/>
      <c r="PQR15" s="122"/>
      <c r="PQS15" s="122"/>
      <c r="PQT15" s="122"/>
      <c r="PQU15" s="122"/>
      <c r="PQV15" s="122"/>
      <c r="PQW15" s="122"/>
      <c r="PQX15" s="122"/>
      <c r="PQY15" s="122"/>
      <c r="PQZ15" s="122"/>
      <c r="PRA15" s="122"/>
      <c r="PRB15" s="122"/>
      <c r="PRC15" s="122"/>
      <c r="PRD15" s="122"/>
      <c r="PRE15" s="122"/>
      <c r="PRF15" s="122"/>
      <c r="PRG15" s="122"/>
      <c r="PRH15" s="122"/>
      <c r="PRI15" s="122"/>
      <c r="PRJ15" s="122"/>
      <c r="PRK15" s="122"/>
      <c r="PRL15" s="122"/>
      <c r="PRM15" s="122"/>
      <c r="PRN15" s="122"/>
      <c r="PRO15" s="122"/>
      <c r="PRP15" s="122"/>
      <c r="PRQ15" s="122"/>
      <c r="PRR15" s="122"/>
      <c r="PRS15" s="122"/>
      <c r="PRT15" s="122"/>
      <c r="PRU15" s="122"/>
      <c r="PRV15" s="122"/>
      <c r="PRW15" s="122"/>
      <c r="PRX15" s="122"/>
      <c r="PRY15" s="122"/>
      <c r="PRZ15" s="122"/>
      <c r="PSA15" s="122"/>
      <c r="PSB15" s="122"/>
      <c r="PSC15" s="122"/>
      <c r="PSD15" s="122"/>
      <c r="PSE15" s="122"/>
      <c r="PSF15" s="122"/>
      <c r="PSG15" s="122"/>
      <c r="PSH15" s="122"/>
      <c r="PSI15" s="122"/>
      <c r="PSJ15" s="122"/>
      <c r="PSK15" s="122"/>
      <c r="PSL15" s="122"/>
      <c r="PSM15" s="122"/>
      <c r="PSN15" s="122"/>
      <c r="PSO15" s="122"/>
      <c r="PSP15" s="122"/>
      <c r="PSQ15" s="122"/>
      <c r="PSR15" s="122"/>
      <c r="PSS15" s="122"/>
      <c r="PST15" s="122"/>
      <c r="PSU15" s="122"/>
      <c r="PSV15" s="122"/>
      <c r="PSW15" s="122"/>
      <c r="PSX15" s="122"/>
      <c r="PSY15" s="122"/>
      <c r="PSZ15" s="122"/>
      <c r="PTA15" s="122"/>
      <c r="PTB15" s="122"/>
      <c r="PTC15" s="122"/>
      <c r="PTD15" s="122"/>
      <c r="PTE15" s="122"/>
      <c r="PTF15" s="122"/>
      <c r="PTG15" s="122"/>
      <c r="PTH15" s="122"/>
      <c r="PTI15" s="122"/>
      <c r="PTJ15" s="122"/>
      <c r="PTK15" s="122"/>
      <c r="PTL15" s="122"/>
      <c r="PTM15" s="122"/>
      <c r="PTN15" s="122"/>
      <c r="PTO15" s="122"/>
      <c r="PTP15" s="122"/>
      <c r="PTQ15" s="122"/>
      <c r="PTR15" s="122"/>
      <c r="PTS15" s="122"/>
      <c r="PTT15" s="122"/>
      <c r="PTU15" s="122"/>
      <c r="PTV15" s="122"/>
      <c r="PTW15" s="122"/>
      <c r="PTX15" s="122"/>
      <c r="PTY15" s="122"/>
      <c r="PTZ15" s="122"/>
      <c r="PUA15" s="122"/>
      <c r="PUB15" s="122"/>
      <c r="PUC15" s="122"/>
      <c r="PUD15" s="122"/>
      <c r="PUE15" s="122"/>
      <c r="PUF15" s="122"/>
      <c r="PUG15" s="122"/>
      <c r="PUH15" s="122"/>
      <c r="PUI15" s="122"/>
      <c r="PUJ15" s="122"/>
      <c r="PUK15" s="122"/>
      <c r="PUL15" s="122"/>
      <c r="PUM15" s="122"/>
      <c r="PUN15" s="122"/>
      <c r="PUO15" s="122"/>
      <c r="PUP15" s="122"/>
      <c r="PUQ15" s="122"/>
      <c r="PUR15" s="122"/>
      <c r="PUS15" s="122"/>
      <c r="PUT15" s="122"/>
      <c r="PUU15" s="122"/>
      <c r="PUV15" s="122"/>
      <c r="PUW15" s="122"/>
      <c r="PUX15" s="122"/>
      <c r="PUY15" s="122"/>
      <c r="PUZ15" s="122"/>
      <c r="PVA15" s="122"/>
      <c r="PVB15" s="122"/>
      <c r="PVC15" s="122"/>
      <c r="PVD15" s="122"/>
      <c r="PVE15" s="122"/>
      <c r="PVF15" s="122"/>
      <c r="PVG15" s="122"/>
      <c r="PVH15" s="122"/>
      <c r="PVI15" s="122"/>
      <c r="PVJ15" s="122"/>
      <c r="PVK15" s="122"/>
      <c r="PVL15" s="122"/>
      <c r="PVM15" s="122"/>
      <c r="PVN15" s="122"/>
      <c r="PVO15" s="122"/>
      <c r="PVP15" s="122"/>
      <c r="PVQ15" s="122"/>
      <c r="PVR15" s="122"/>
      <c r="PVS15" s="122"/>
      <c r="PVT15" s="122"/>
      <c r="PVU15" s="122"/>
      <c r="PVV15" s="122"/>
      <c r="PVW15" s="122"/>
      <c r="PVX15" s="122"/>
      <c r="PVY15" s="122"/>
      <c r="PVZ15" s="122"/>
      <c r="PWA15" s="122"/>
      <c r="PWB15" s="122"/>
      <c r="PWC15" s="122"/>
      <c r="PWD15" s="122"/>
      <c r="PWE15" s="122"/>
      <c r="PWF15" s="122"/>
      <c r="PWG15" s="122"/>
      <c r="PWH15" s="122"/>
      <c r="PWI15" s="122"/>
      <c r="PWJ15" s="122"/>
      <c r="PWK15" s="122"/>
      <c r="PWL15" s="122"/>
      <c r="PWM15" s="122"/>
      <c r="PWN15" s="122"/>
      <c r="PWO15" s="122"/>
      <c r="PWP15" s="122"/>
      <c r="PWQ15" s="122"/>
      <c r="PWR15" s="122"/>
      <c r="PWS15" s="122"/>
      <c r="PWT15" s="122"/>
      <c r="PWU15" s="122"/>
      <c r="PWV15" s="122"/>
      <c r="PWW15" s="122"/>
      <c r="PWX15" s="122"/>
      <c r="PWY15" s="122"/>
      <c r="PWZ15" s="122"/>
      <c r="PXA15" s="122"/>
      <c r="PXB15" s="122"/>
      <c r="PXC15" s="122"/>
      <c r="PXD15" s="122"/>
      <c r="PXE15" s="122"/>
      <c r="PXF15" s="122"/>
      <c r="PXG15" s="122"/>
      <c r="PXH15" s="122"/>
      <c r="PXI15" s="122"/>
      <c r="PXJ15" s="122"/>
      <c r="PXK15" s="122"/>
      <c r="PXL15" s="122"/>
      <c r="PXM15" s="122"/>
      <c r="PXN15" s="122"/>
      <c r="PXO15" s="122"/>
      <c r="PXP15" s="122"/>
      <c r="PXQ15" s="122"/>
      <c r="PXR15" s="122"/>
      <c r="PXS15" s="122"/>
      <c r="PXT15" s="122"/>
      <c r="PXU15" s="122"/>
      <c r="PXV15" s="122"/>
      <c r="PXW15" s="122"/>
      <c r="PXX15" s="122"/>
      <c r="PXY15" s="122"/>
      <c r="PXZ15" s="122"/>
      <c r="PYA15" s="122"/>
      <c r="PYB15" s="122"/>
      <c r="PYC15" s="122"/>
      <c r="PYD15" s="122"/>
      <c r="PYE15" s="122"/>
      <c r="PYF15" s="122"/>
      <c r="PYG15" s="122"/>
      <c r="PYH15" s="122"/>
      <c r="PYI15" s="122"/>
      <c r="PYJ15" s="122"/>
      <c r="PYK15" s="122"/>
      <c r="PYL15" s="122"/>
      <c r="PYM15" s="122"/>
      <c r="PYN15" s="122"/>
      <c r="PYO15" s="122"/>
      <c r="PYP15" s="122"/>
      <c r="PYQ15" s="122"/>
      <c r="PYR15" s="122"/>
      <c r="PYS15" s="122"/>
      <c r="PYT15" s="122"/>
      <c r="PYU15" s="122"/>
      <c r="PYV15" s="122"/>
      <c r="PYW15" s="122"/>
      <c r="PYX15" s="122"/>
      <c r="PYY15" s="122"/>
      <c r="PYZ15" s="122"/>
      <c r="PZA15" s="122"/>
      <c r="PZB15" s="122"/>
      <c r="PZC15" s="122"/>
      <c r="PZD15" s="122"/>
      <c r="PZE15" s="122"/>
      <c r="PZF15" s="122"/>
      <c r="PZG15" s="122"/>
      <c r="PZH15" s="122"/>
      <c r="PZI15" s="122"/>
      <c r="PZJ15" s="122"/>
      <c r="PZK15" s="122"/>
      <c r="PZL15" s="122"/>
      <c r="PZM15" s="122"/>
      <c r="PZN15" s="122"/>
      <c r="PZO15" s="122"/>
      <c r="PZP15" s="122"/>
      <c r="PZQ15" s="122"/>
      <c r="PZR15" s="122"/>
      <c r="PZS15" s="122"/>
      <c r="PZT15" s="122"/>
      <c r="PZU15" s="122"/>
      <c r="PZV15" s="122"/>
      <c r="PZW15" s="122"/>
      <c r="PZX15" s="122"/>
      <c r="PZY15" s="122"/>
      <c r="PZZ15" s="122"/>
      <c r="QAA15" s="122"/>
      <c r="QAB15" s="122"/>
      <c r="QAC15" s="122"/>
      <c r="QAD15" s="122"/>
      <c r="QAE15" s="122"/>
      <c r="QAF15" s="122"/>
      <c r="QAG15" s="122"/>
      <c r="QAH15" s="122"/>
      <c r="QAI15" s="122"/>
      <c r="QAJ15" s="122"/>
      <c r="QAK15" s="122"/>
      <c r="QAL15" s="122"/>
      <c r="QAM15" s="122"/>
      <c r="QAN15" s="122"/>
      <c r="QAO15" s="122"/>
      <c r="QAP15" s="122"/>
      <c r="QAQ15" s="122"/>
      <c r="QAR15" s="122"/>
      <c r="QAS15" s="122"/>
      <c r="QAT15" s="122"/>
      <c r="QAU15" s="122"/>
      <c r="QAV15" s="122"/>
      <c r="QAW15" s="122"/>
      <c r="QAX15" s="122"/>
      <c r="QAY15" s="122"/>
      <c r="QAZ15" s="122"/>
      <c r="QBA15" s="122"/>
      <c r="QBB15" s="122"/>
      <c r="QBC15" s="122"/>
      <c r="QBD15" s="122"/>
      <c r="QBE15" s="122"/>
      <c r="QBF15" s="122"/>
      <c r="QBG15" s="122"/>
      <c r="QBH15" s="122"/>
      <c r="QBI15" s="122"/>
      <c r="QBJ15" s="122"/>
      <c r="QBK15" s="122"/>
      <c r="QBL15" s="122"/>
      <c r="QBM15" s="122"/>
      <c r="QBN15" s="122"/>
      <c r="QBO15" s="122"/>
      <c r="QBP15" s="122"/>
      <c r="QBQ15" s="122"/>
      <c r="QBR15" s="122"/>
      <c r="QBS15" s="122"/>
      <c r="QBT15" s="122"/>
      <c r="QBU15" s="122"/>
      <c r="QBV15" s="122"/>
      <c r="QBW15" s="122"/>
      <c r="QBX15" s="122"/>
      <c r="QBY15" s="122"/>
      <c r="QBZ15" s="122"/>
      <c r="QCA15" s="122"/>
      <c r="QCB15" s="122"/>
      <c r="QCC15" s="122"/>
      <c r="QCD15" s="122"/>
      <c r="QCE15" s="122"/>
      <c r="QCF15" s="122"/>
      <c r="QCG15" s="122"/>
      <c r="QCH15" s="122"/>
      <c r="QCI15" s="122"/>
      <c r="QCJ15" s="122"/>
      <c r="QCK15" s="122"/>
      <c r="QCL15" s="122"/>
      <c r="QCM15" s="122"/>
      <c r="QCN15" s="122"/>
      <c r="QCO15" s="122"/>
      <c r="QCP15" s="122"/>
      <c r="QCQ15" s="122"/>
      <c r="QCR15" s="122"/>
      <c r="QCS15" s="122"/>
      <c r="QCT15" s="122"/>
      <c r="QCU15" s="122"/>
      <c r="QCV15" s="122"/>
      <c r="QCW15" s="122"/>
      <c r="QCX15" s="122"/>
      <c r="QCY15" s="122"/>
      <c r="QCZ15" s="122"/>
      <c r="QDA15" s="122"/>
      <c r="QDB15" s="122"/>
      <c r="QDC15" s="122"/>
      <c r="QDD15" s="122"/>
      <c r="QDE15" s="122"/>
      <c r="QDF15" s="122"/>
      <c r="QDG15" s="122"/>
      <c r="QDH15" s="122"/>
      <c r="QDI15" s="122"/>
      <c r="QDJ15" s="122"/>
      <c r="QDK15" s="122"/>
      <c r="QDL15" s="122"/>
      <c r="QDM15" s="122"/>
      <c r="QDN15" s="122"/>
      <c r="QDO15" s="122"/>
      <c r="QDP15" s="122"/>
      <c r="QDQ15" s="122"/>
      <c r="QDR15" s="122"/>
      <c r="QDS15" s="122"/>
      <c r="QDT15" s="122"/>
      <c r="QDU15" s="122"/>
      <c r="QDV15" s="122"/>
      <c r="QDW15" s="122"/>
      <c r="QDX15" s="122"/>
      <c r="QDY15" s="122"/>
      <c r="QDZ15" s="122"/>
      <c r="QEA15" s="122"/>
      <c r="QEB15" s="122"/>
      <c r="QEC15" s="122"/>
      <c r="QED15" s="122"/>
      <c r="QEE15" s="122"/>
      <c r="QEF15" s="122"/>
      <c r="QEG15" s="122"/>
      <c r="QEH15" s="122"/>
      <c r="QEI15" s="122"/>
      <c r="QEJ15" s="122"/>
      <c r="QEK15" s="122"/>
      <c r="QEL15" s="122"/>
      <c r="QEM15" s="122"/>
      <c r="QEN15" s="122"/>
      <c r="QEO15" s="122"/>
      <c r="QEP15" s="122"/>
      <c r="QEQ15" s="122"/>
      <c r="QER15" s="122"/>
      <c r="QES15" s="122"/>
      <c r="QET15" s="122"/>
      <c r="QEU15" s="122"/>
      <c r="QEV15" s="122"/>
      <c r="QEW15" s="122"/>
      <c r="QEX15" s="122"/>
      <c r="QEY15" s="122"/>
      <c r="QEZ15" s="122"/>
      <c r="QFA15" s="122"/>
      <c r="QFB15" s="122"/>
      <c r="QFC15" s="122"/>
      <c r="QFD15" s="122"/>
      <c r="QFE15" s="122"/>
      <c r="QFF15" s="122"/>
      <c r="QFG15" s="122"/>
      <c r="QFH15" s="122"/>
      <c r="QFI15" s="122"/>
      <c r="QFJ15" s="122"/>
      <c r="QFK15" s="122"/>
      <c r="QFL15" s="122"/>
      <c r="QFM15" s="122"/>
      <c r="QFN15" s="122"/>
      <c r="QFO15" s="122"/>
      <c r="QFP15" s="122"/>
      <c r="QFQ15" s="122"/>
      <c r="QFR15" s="122"/>
      <c r="QFS15" s="122"/>
      <c r="QFT15" s="122"/>
      <c r="QFU15" s="122"/>
      <c r="QFV15" s="122"/>
      <c r="QFW15" s="122"/>
      <c r="QFX15" s="122"/>
      <c r="QFY15" s="122"/>
      <c r="QFZ15" s="122"/>
      <c r="QGA15" s="122"/>
      <c r="QGB15" s="122"/>
      <c r="QGC15" s="122"/>
      <c r="QGD15" s="122"/>
      <c r="QGE15" s="122"/>
      <c r="QGF15" s="122"/>
      <c r="QGG15" s="122"/>
      <c r="QGH15" s="122"/>
      <c r="QGI15" s="122"/>
      <c r="QGJ15" s="122"/>
      <c r="QGK15" s="122"/>
      <c r="QGL15" s="122"/>
      <c r="QGM15" s="122"/>
      <c r="QGN15" s="122"/>
      <c r="QGO15" s="122"/>
      <c r="QGP15" s="122"/>
      <c r="QGQ15" s="122"/>
      <c r="QGR15" s="122"/>
      <c r="QGS15" s="122"/>
      <c r="QGT15" s="122"/>
      <c r="QGU15" s="122"/>
      <c r="QGV15" s="122"/>
      <c r="QGW15" s="122"/>
      <c r="QGX15" s="122"/>
      <c r="QGY15" s="122"/>
      <c r="QGZ15" s="122"/>
      <c r="QHA15" s="122"/>
      <c r="QHB15" s="122"/>
      <c r="QHC15" s="122"/>
      <c r="QHD15" s="122"/>
      <c r="QHE15" s="122"/>
      <c r="QHF15" s="122"/>
      <c r="QHG15" s="122"/>
      <c r="QHH15" s="122"/>
      <c r="QHI15" s="122"/>
      <c r="QHJ15" s="122"/>
      <c r="QHK15" s="122"/>
      <c r="QHL15" s="122"/>
      <c r="QHM15" s="122"/>
      <c r="QHN15" s="122"/>
      <c r="QHO15" s="122"/>
      <c r="QHP15" s="122"/>
      <c r="QHQ15" s="122"/>
      <c r="QHR15" s="122"/>
      <c r="QHS15" s="122"/>
      <c r="QHT15" s="122"/>
      <c r="QHU15" s="122"/>
      <c r="QHV15" s="122"/>
      <c r="QHW15" s="122"/>
      <c r="QHX15" s="122"/>
      <c r="QHY15" s="122"/>
      <c r="QHZ15" s="122"/>
      <c r="QIA15" s="122"/>
      <c r="QIB15" s="122"/>
      <c r="QIC15" s="122"/>
      <c r="QID15" s="122"/>
      <c r="QIE15" s="122"/>
      <c r="QIF15" s="122"/>
      <c r="QIG15" s="122"/>
      <c r="QIH15" s="122"/>
      <c r="QII15" s="122"/>
      <c r="QIJ15" s="122"/>
      <c r="QIK15" s="122"/>
      <c r="QIL15" s="122"/>
      <c r="QIM15" s="122"/>
      <c r="QIN15" s="122"/>
      <c r="QIO15" s="122"/>
      <c r="QIP15" s="122"/>
      <c r="QIQ15" s="122"/>
      <c r="QIR15" s="122"/>
      <c r="QIS15" s="122"/>
      <c r="QIT15" s="122"/>
      <c r="QIU15" s="122"/>
      <c r="QIV15" s="122"/>
      <c r="QIW15" s="122"/>
      <c r="QIX15" s="122"/>
      <c r="QIY15" s="122"/>
      <c r="QIZ15" s="122"/>
      <c r="QJA15" s="122"/>
      <c r="QJB15" s="122"/>
      <c r="QJC15" s="122"/>
      <c r="QJD15" s="122"/>
      <c r="QJE15" s="122"/>
      <c r="QJF15" s="122"/>
      <c r="QJG15" s="122"/>
      <c r="QJH15" s="122"/>
      <c r="QJI15" s="122"/>
      <c r="QJJ15" s="122"/>
      <c r="QJK15" s="122"/>
      <c r="QJL15" s="122"/>
      <c r="QJM15" s="122"/>
      <c r="QJN15" s="122"/>
      <c r="QJO15" s="122"/>
      <c r="QJP15" s="122"/>
      <c r="QJQ15" s="122"/>
      <c r="QJR15" s="122"/>
      <c r="QJS15" s="122"/>
      <c r="QJT15" s="122"/>
      <c r="QJU15" s="122"/>
      <c r="QJV15" s="122"/>
      <c r="QJW15" s="122"/>
      <c r="QJX15" s="122"/>
      <c r="QJY15" s="122"/>
      <c r="QJZ15" s="122"/>
      <c r="QKA15" s="122"/>
      <c r="QKB15" s="122"/>
      <c r="QKC15" s="122"/>
      <c r="QKD15" s="122"/>
      <c r="QKE15" s="122"/>
      <c r="QKF15" s="122"/>
      <c r="QKG15" s="122"/>
      <c r="QKH15" s="122"/>
      <c r="QKI15" s="122"/>
      <c r="QKJ15" s="122"/>
      <c r="QKK15" s="122"/>
      <c r="QKL15" s="122"/>
      <c r="QKM15" s="122"/>
      <c r="QKN15" s="122"/>
      <c r="QKO15" s="122"/>
      <c r="QKP15" s="122"/>
      <c r="QKQ15" s="122"/>
      <c r="QKR15" s="122"/>
      <c r="QKS15" s="122"/>
      <c r="QKT15" s="122"/>
      <c r="QKU15" s="122"/>
      <c r="QKV15" s="122"/>
      <c r="QKW15" s="122"/>
      <c r="QKX15" s="122"/>
      <c r="QKY15" s="122"/>
      <c r="QKZ15" s="122"/>
      <c r="QLA15" s="122"/>
      <c r="QLB15" s="122"/>
      <c r="QLC15" s="122"/>
      <c r="QLD15" s="122"/>
      <c r="QLE15" s="122"/>
      <c r="QLF15" s="122"/>
      <c r="QLG15" s="122"/>
      <c r="QLH15" s="122"/>
      <c r="QLI15" s="122"/>
      <c r="QLJ15" s="122"/>
      <c r="QLK15" s="122"/>
      <c r="QLL15" s="122"/>
      <c r="QLM15" s="122"/>
      <c r="QLN15" s="122"/>
      <c r="QLO15" s="122"/>
      <c r="QLP15" s="122"/>
      <c r="QLQ15" s="122"/>
      <c r="QLR15" s="122"/>
      <c r="QLS15" s="122"/>
      <c r="QLT15" s="122"/>
      <c r="QLU15" s="122"/>
      <c r="QLV15" s="122"/>
      <c r="QLW15" s="122"/>
      <c r="QLX15" s="122"/>
      <c r="QLY15" s="122"/>
      <c r="QLZ15" s="122"/>
      <c r="QMA15" s="122"/>
      <c r="QMB15" s="122"/>
      <c r="QMC15" s="122"/>
      <c r="QMD15" s="122"/>
      <c r="QME15" s="122"/>
      <c r="QMF15" s="122"/>
      <c r="QMG15" s="122"/>
      <c r="QMH15" s="122"/>
      <c r="QMI15" s="122"/>
      <c r="QMJ15" s="122"/>
      <c r="QMK15" s="122"/>
      <c r="QML15" s="122"/>
      <c r="QMM15" s="122"/>
      <c r="QMN15" s="122"/>
      <c r="QMO15" s="122"/>
      <c r="QMP15" s="122"/>
      <c r="QMQ15" s="122"/>
      <c r="QMR15" s="122"/>
      <c r="QMS15" s="122"/>
      <c r="QMT15" s="122"/>
      <c r="QMU15" s="122"/>
      <c r="QMV15" s="122"/>
      <c r="QMW15" s="122"/>
      <c r="QMX15" s="122"/>
      <c r="QMY15" s="122"/>
      <c r="QMZ15" s="122"/>
      <c r="QNA15" s="122"/>
      <c r="QNB15" s="122"/>
      <c r="QNC15" s="122"/>
      <c r="QND15" s="122"/>
      <c r="QNE15" s="122"/>
      <c r="QNF15" s="122"/>
      <c r="QNG15" s="122"/>
      <c r="QNH15" s="122"/>
      <c r="QNI15" s="122"/>
      <c r="QNJ15" s="122"/>
      <c r="QNK15" s="122"/>
      <c r="QNL15" s="122"/>
      <c r="QNM15" s="122"/>
      <c r="QNN15" s="122"/>
      <c r="QNO15" s="122"/>
      <c r="QNP15" s="122"/>
      <c r="QNQ15" s="122"/>
      <c r="QNR15" s="122"/>
      <c r="QNS15" s="122"/>
      <c r="QNT15" s="122"/>
      <c r="QNU15" s="122"/>
      <c r="QNV15" s="122"/>
      <c r="QNW15" s="122"/>
      <c r="QNX15" s="122"/>
      <c r="QNY15" s="122"/>
      <c r="QNZ15" s="122"/>
      <c r="QOA15" s="122"/>
      <c r="QOB15" s="122"/>
      <c r="QOC15" s="122"/>
      <c r="QOD15" s="122"/>
      <c r="QOE15" s="122"/>
      <c r="QOF15" s="122"/>
      <c r="QOG15" s="122"/>
      <c r="QOH15" s="122"/>
      <c r="QOI15" s="122"/>
      <c r="QOJ15" s="122"/>
      <c r="QOK15" s="122"/>
      <c r="QOL15" s="122"/>
      <c r="QOM15" s="122"/>
      <c r="QON15" s="122"/>
      <c r="QOO15" s="122"/>
      <c r="QOP15" s="122"/>
      <c r="QOQ15" s="122"/>
      <c r="QOR15" s="122"/>
      <c r="QOS15" s="122"/>
      <c r="QOT15" s="122"/>
      <c r="QOU15" s="122"/>
      <c r="QOV15" s="122"/>
      <c r="QOW15" s="122"/>
      <c r="QOX15" s="122"/>
      <c r="QOY15" s="122"/>
      <c r="QOZ15" s="122"/>
      <c r="QPA15" s="122"/>
      <c r="QPB15" s="122"/>
      <c r="QPC15" s="122"/>
      <c r="QPD15" s="122"/>
      <c r="QPE15" s="122"/>
      <c r="QPF15" s="122"/>
      <c r="QPG15" s="122"/>
      <c r="QPH15" s="122"/>
      <c r="QPI15" s="122"/>
      <c r="QPJ15" s="122"/>
      <c r="QPK15" s="122"/>
      <c r="QPL15" s="122"/>
      <c r="QPM15" s="122"/>
      <c r="QPN15" s="122"/>
      <c r="QPO15" s="122"/>
      <c r="QPP15" s="122"/>
      <c r="QPQ15" s="122"/>
      <c r="QPR15" s="122"/>
      <c r="QPS15" s="122"/>
      <c r="QPT15" s="122"/>
      <c r="QPU15" s="122"/>
      <c r="QPV15" s="122"/>
      <c r="QPW15" s="122"/>
      <c r="QPX15" s="122"/>
      <c r="QPY15" s="122"/>
      <c r="QPZ15" s="122"/>
      <c r="QQA15" s="122"/>
      <c r="QQB15" s="122"/>
      <c r="QQC15" s="122"/>
      <c r="QQD15" s="122"/>
      <c r="QQE15" s="122"/>
      <c r="QQF15" s="122"/>
      <c r="QQG15" s="122"/>
      <c r="QQH15" s="122"/>
      <c r="QQI15" s="122"/>
      <c r="QQJ15" s="122"/>
      <c r="QQK15" s="122"/>
      <c r="QQL15" s="122"/>
      <c r="QQM15" s="122"/>
      <c r="QQN15" s="122"/>
      <c r="QQO15" s="122"/>
      <c r="QQP15" s="122"/>
      <c r="QQQ15" s="122"/>
      <c r="QQR15" s="122"/>
      <c r="QQS15" s="122"/>
      <c r="QQT15" s="122"/>
      <c r="QQU15" s="122"/>
      <c r="QQV15" s="122"/>
      <c r="QQW15" s="122"/>
      <c r="QQX15" s="122"/>
      <c r="QQY15" s="122"/>
      <c r="QQZ15" s="122"/>
      <c r="QRA15" s="122"/>
      <c r="QRB15" s="122"/>
      <c r="QRC15" s="122"/>
      <c r="QRD15" s="122"/>
      <c r="QRE15" s="122"/>
      <c r="QRF15" s="122"/>
      <c r="QRG15" s="122"/>
      <c r="QRH15" s="122"/>
      <c r="QRI15" s="122"/>
      <c r="QRJ15" s="122"/>
      <c r="QRK15" s="122"/>
      <c r="QRL15" s="122"/>
      <c r="QRM15" s="122"/>
      <c r="QRN15" s="122"/>
      <c r="QRO15" s="122"/>
      <c r="QRP15" s="122"/>
      <c r="QRQ15" s="122"/>
      <c r="QRR15" s="122"/>
      <c r="QRS15" s="122"/>
      <c r="QRT15" s="122"/>
      <c r="QRU15" s="122"/>
      <c r="QRV15" s="122"/>
      <c r="QRW15" s="122"/>
      <c r="QRX15" s="122"/>
      <c r="QRY15" s="122"/>
      <c r="QRZ15" s="122"/>
      <c r="QSA15" s="122"/>
      <c r="QSB15" s="122"/>
      <c r="QSC15" s="122"/>
      <c r="QSD15" s="122"/>
      <c r="QSE15" s="122"/>
      <c r="QSF15" s="122"/>
      <c r="QSG15" s="122"/>
      <c r="QSH15" s="122"/>
      <c r="QSI15" s="122"/>
      <c r="QSJ15" s="122"/>
      <c r="QSK15" s="122"/>
      <c r="QSL15" s="122"/>
      <c r="QSM15" s="122"/>
      <c r="QSN15" s="122"/>
      <c r="QSO15" s="122"/>
      <c r="QSP15" s="122"/>
      <c r="QSQ15" s="122"/>
      <c r="QSR15" s="122"/>
      <c r="QSS15" s="122"/>
      <c r="QST15" s="122"/>
      <c r="QSU15" s="122"/>
      <c r="QSV15" s="122"/>
      <c r="QSW15" s="122"/>
      <c r="QSX15" s="122"/>
      <c r="QSY15" s="122"/>
      <c r="QSZ15" s="122"/>
      <c r="QTA15" s="122"/>
      <c r="QTB15" s="122"/>
      <c r="QTC15" s="122"/>
      <c r="QTD15" s="122"/>
      <c r="QTE15" s="122"/>
      <c r="QTF15" s="122"/>
      <c r="QTG15" s="122"/>
      <c r="QTH15" s="122"/>
      <c r="QTI15" s="122"/>
      <c r="QTJ15" s="122"/>
      <c r="QTK15" s="122"/>
      <c r="QTL15" s="122"/>
      <c r="QTM15" s="122"/>
      <c r="QTN15" s="122"/>
      <c r="QTO15" s="122"/>
      <c r="QTP15" s="122"/>
      <c r="QTQ15" s="122"/>
      <c r="QTR15" s="122"/>
      <c r="QTS15" s="122"/>
      <c r="QTT15" s="122"/>
      <c r="QTU15" s="122"/>
      <c r="QTV15" s="122"/>
      <c r="QTW15" s="122"/>
      <c r="QTX15" s="122"/>
      <c r="QTY15" s="122"/>
      <c r="QTZ15" s="122"/>
      <c r="QUA15" s="122"/>
      <c r="QUB15" s="122"/>
      <c r="QUC15" s="122"/>
      <c r="QUD15" s="122"/>
      <c r="QUE15" s="122"/>
      <c r="QUF15" s="122"/>
      <c r="QUG15" s="122"/>
      <c r="QUH15" s="122"/>
      <c r="QUI15" s="122"/>
      <c r="QUJ15" s="122"/>
      <c r="QUK15" s="122"/>
      <c r="QUL15" s="122"/>
      <c r="QUM15" s="122"/>
      <c r="QUN15" s="122"/>
      <c r="QUO15" s="122"/>
      <c r="QUP15" s="122"/>
      <c r="QUQ15" s="122"/>
      <c r="QUR15" s="122"/>
      <c r="QUS15" s="122"/>
      <c r="QUT15" s="122"/>
      <c r="QUU15" s="122"/>
      <c r="QUV15" s="122"/>
      <c r="QUW15" s="122"/>
      <c r="QUX15" s="122"/>
      <c r="QUY15" s="122"/>
      <c r="QUZ15" s="122"/>
      <c r="QVA15" s="122"/>
      <c r="QVB15" s="122"/>
      <c r="QVC15" s="122"/>
      <c r="QVD15" s="122"/>
      <c r="QVE15" s="122"/>
      <c r="QVF15" s="122"/>
      <c r="QVG15" s="122"/>
      <c r="QVH15" s="122"/>
      <c r="QVI15" s="122"/>
      <c r="QVJ15" s="122"/>
      <c r="QVK15" s="122"/>
      <c r="QVL15" s="122"/>
      <c r="QVM15" s="122"/>
      <c r="QVN15" s="122"/>
      <c r="QVO15" s="122"/>
      <c r="QVP15" s="122"/>
      <c r="QVQ15" s="122"/>
      <c r="QVR15" s="122"/>
      <c r="QVS15" s="122"/>
      <c r="QVT15" s="122"/>
      <c r="QVU15" s="122"/>
      <c r="QVV15" s="122"/>
      <c r="QVW15" s="122"/>
      <c r="QVX15" s="122"/>
      <c r="QVY15" s="122"/>
      <c r="QVZ15" s="122"/>
      <c r="QWA15" s="122"/>
      <c r="QWB15" s="122"/>
      <c r="QWC15" s="122"/>
      <c r="QWD15" s="122"/>
      <c r="QWE15" s="122"/>
      <c r="QWF15" s="122"/>
      <c r="QWG15" s="122"/>
      <c r="QWH15" s="122"/>
      <c r="QWI15" s="122"/>
      <c r="QWJ15" s="122"/>
      <c r="QWK15" s="122"/>
      <c r="QWL15" s="122"/>
      <c r="QWM15" s="122"/>
      <c r="QWN15" s="122"/>
      <c r="QWO15" s="122"/>
      <c r="QWP15" s="122"/>
      <c r="QWQ15" s="122"/>
      <c r="QWR15" s="122"/>
      <c r="QWS15" s="122"/>
      <c r="QWT15" s="122"/>
      <c r="QWU15" s="122"/>
      <c r="QWV15" s="122"/>
      <c r="QWW15" s="122"/>
      <c r="QWX15" s="122"/>
      <c r="QWY15" s="122"/>
      <c r="QWZ15" s="122"/>
      <c r="QXA15" s="122"/>
      <c r="QXB15" s="122"/>
      <c r="QXC15" s="122"/>
      <c r="QXD15" s="122"/>
      <c r="QXE15" s="122"/>
      <c r="QXF15" s="122"/>
      <c r="QXG15" s="122"/>
      <c r="QXH15" s="122"/>
      <c r="QXI15" s="122"/>
      <c r="QXJ15" s="122"/>
      <c r="QXK15" s="122"/>
      <c r="QXL15" s="122"/>
      <c r="QXM15" s="122"/>
      <c r="QXN15" s="122"/>
      <c r="QXO15" s="122"/>
      <c r="QXP15" s="122"/>
      <c r="QXQ15" s="122"/>
      <c r="QXR15" s="122"/>
      <c r="QXS15" s="122"/>
      <c r="QXT15" s="122"/>
      <c r="QXU15" s="122"/>
      <c r="QXV15" s="122"/>
      <c r="QXW15" s="122"/>
      <c r="QXX15" s="122"/>
      <c r="QXY15" s="122"/>
      <c r="QXZ15" s="122"/>
      <c r="QYA15" s="122"/>
      <c r="QYB15" s="122"/>
      <c r="QYC15" s="122"/>
      <c r="QYD15" s="122"/>
      <c r="QYE15" s="122"/>
      <c r="QYF15" s="122"/>
      <c r="QYG15" s="122"/>
      <c r="QYH15" s="122"/>
      <c r="QYI15" s="122"/>
      <c r="QYJ15" s="122"/>
      <c r="QYK15" s="122"/>
      <c r="QYL15" s="122"/>
      <c r="QYM15" s="122"/>
      <c r="QYN15" s="122"/>
      <c r="QYO15" s="122"/>
      <c r="QYP15" s="122"/>
      <c r="QYQ15" s="122"/>
      <c r="QYR15" s="122"/>
      <c r="QYS15" s="122"/>
      <c r="QYT15" s="122"/>
      <c r="QYU15" s="122"/>
      <c r="QYV15" s="122"/>
      <c r="QYW15" s="122"/>
      <c r="QYX15" s="122"/>
      <c r="QYY15" s="122"/>
      <c r="QYZ15" s="122"/>
      <c r="QZA15" s="122"/>
      <c r="QZB15" s="122"/>
      <c r="QZC15" s="122"/>
      <c r="QZD15" s="122"/>
      <c r="QZE15" s="122"/>
      <c r="QZF15" s="122"/>
      <c r="QZG15" s="122"/>
      <c r="QZH15" s="122"/>
      <c r="QZI15" s="122"/>
      <c r="QZJ15" s="122"/>
      <c r="QZK15" s="122"/>
      <c r="QZL15" s="122"/>
      <c r="QZM15" s="122"/>
      <c r="QZN15" s="122"/>
      <c r="QZO15" s="122"/>
      <c r="QZP15" s="122"/>
      <c r="QZQ15" s="122"/>
      <c r="QZR15" s="122"/>
      <c r="QZS15" s="122"/>
      <c r="QZT15" s="122"/>
      <c r="QZU15" s="122"/>
      <c r="QZV15" s="122"/>
      <c r="QZW15" s="122"/>
      <c r="QZX15" s="122"/>
      <c r="QZY15" s="122"/>
      <c r="QZZ15" s="122"/>
      <c r="RAA15" s="122"/>
      <c r="RAB15" s="122"/>
      <c r="RAC15" s="122"/>
      <c r="RAD15" s="122"/>
      <c r="RAE15" s="122"/>
      <c r="RAF15" s="122"/>
      <c r="RAG15" s="122"/>
      <c r="RAH15" s="122"/>
      <c r="RAI15" s="122"/>
      <c r="RAJ15" s="122"/>
      <c r="RAK15" s="122"/>
      <c r="RAL15" s="122"/>
      <c r="RAM15" s="122"/>
      <c r="RAN15" s="122"/>
      <c r="RAO15" s="122"/>
      <c r="RAP15" s="122"/>
      <c r="RAQ15" s="122"/>
      <c r="RAR15" s="122"/>
      <c r="RAS15" s="122"/>
      <c r="RAT15" s="122"/>
      <c r="RAU15" s="122"/>
      <c r="RAV15" s="122"/>
      <c r="RAW15" s="122"/>
      <c r="RAX15" s="122"/>
      <c r="RAY15" s="122"/>
      <c r="RAZ15" s="122"/>
      <c r="RBA15" s="122"/>
      <c r="RBB15" s="122"/>
      <c r="RBC15" s="122"/>
      <c r="RBD15" s="122"/>
      <c r="RBE15" s="122"/>
      <c r="RBF15" s="122"/>
      <c r="RBG15" s="122"/>
      <c r="RBH15" s="122"/>
      <c r="RBI15" s="122"/>
      <c r="RBJ15" s="122"/>
      <c r="RBK15" s="122"/>
      <c r="RBL15" s="122"/>
      <c r="RBM15" s="122"/>
      <c r="RBN15" s="122"/>
      <c r="RBO15" s="122"/>
      <c r="RBP15" s="122"/>
      <c r="RBQ15" s="122"/>
      <c r="RBR15" s="122"/>
      <c r="RBS15" s="122"/>
      <c r="RBT15" s="122"/>
      <c r="RBU15" s="122"/>
      <c r="RBV15" s="122"/>
      <c r="RBW15" s="122"/>
      <c r="RBX15" s="122"/>
      <c r="RBY15" s="122"/>
      <c r="RBZ15" s="122"/>
      <c r="RCA15" s="122"/>
      <c r="RCB15" s="122"/>
      <c r="RCC15" s="122"/>
      <c r="RCD15" s="122"/>
      <c r="RCE15" s="122"/>
      <c r="RCF15" s="122"/>
      <c r="RCG15" s="122"/>
      <c r="RCH15" s="122"/>
      <c r="RCI15" s="122"/>
      <c r="RCJ15" s="122"/>
      <c r="RCK15" s="122"/>
      <c r="RCL15" s="122"/>
      <c r="RCM15" s="122"/>
      <c r="RCN15" s="122"/>
      <c r="RCO15" s="122"/>
      <c r="RCP15" s="122"/>
      <c r="RCQ15" s="122"/>
      <c r="RCR15" s="122"/>
      <c r="RCS15" s="122"/>
      <c r="RCT15" s="122"/>
      <c r="RCU15" s="122"/>
      <c r="RCV15" s="122"/>
      <c r="RCW15" s="122"/>
      <c r="RCX15" s="122"/>
      <c r="RCY15" s="122"/>
      <c r="RCZ15" s="122"/>
      <c r="RDA15" s="122"/>
      <c r="RDB15" s="122"/>
      <c r="RDC15" s="122"/>
      <c r="RDD15" s="122"/>
      <c r="RDE15" s="122"/>
      <c r="RDF15" s="122"/>
      <c r="RDG15" s="122"/>
      <c r="RDH15" s="122"/>
      <c r="RDI15" s="122"/>
      <c r="RDJ15" s="122"/>
      <c r="RDK15" s="122"/>
      <c r="RDL15" s="122"/>
      <c r="RDM15" s="122"/>
      <c r="RDN15" s="122"/>
      <c r="RDO15" s="122"/>
      <c r="RDP15" s="122"/>
      <c r="RDQ15" s="122"/>
      <c r="RDR15" s="122"/>
      <c r="RDS15" s="122"/>
      <c r="RDT15" s="122"/>
      <c r="RDU15" s="122"/>
      <c r="RDV15" s="122"/>
      <c r="RDW15" s="122"/>
      <c r="RDX15" s="122"/>
      <c r="RDY15" s="122"/>
      <c r="RDZ15" s="122"/>
      <c r="REA15" s="122"/>
      <c r="REB15" s="122"/>
      <c r="REC15" s="122"/>
      <c r="RED15" s="122"/>
      <c r="REE15" s="122"/>
      <c r="REF15" s="122"/>
      <c r="REG15" s="122"/>
      <c r="REH15" s="122"/>
      <c r="REI15" s="122"/>
      <c r="REJ15" s="122"/>
      <c r="REK15" s="122"/>
      <c r="REL15" s="122"/>
      <c r="REM15" s="122"/>
      <c r="REN15" s="122"/>
      <c r="REO15" s="122"/>
      <c r="REP15" s="122"/>
      <c r="REQ15" s="122"/>
      <c r="RER15" s="122"/>
      <c r="RES15" s="122"/>
      <c r="RET15" s="122"/>
      <c r="REU15" s="122"/>
      <c r="REV15" s="122"/>
      <c r="REW15" s="122"/>
      <c r="REX15" s="122"/>
      <c r="REY15" s="122"/>
      <c r="REZ15" s="122"/>
      <c r="RFA15" s="122"/>
      <c r="RFB15" s="122"/>
      <c r="RFC15" s="122"/>
      <c r="RFD15" s="122"/>
      <c r="RFE15" s="122"/>
      <c r="RFF15" s="122"/>
      <c r="RFG15" s="122"/>
      <c r="RFH15" s="122"/>
      <c r="RFI15" s="122"/>
      <c r="RFJ15" s="122"/>
      <c r="RFK15" s="122"/>
      <c r="RFL15" s="122"/>
      <c r="RFM15" s="122"/>
      <c r="RFN15" s="122"/>
      <c r="RFO15" s="122"/>
      <c r="RFP15" s="122"/>
      <c r="RFQ15" s="122"/>
      <c r="RFR15" s="122"/>
      <c r="RFS15" s="122"/>
      <c r="RFT15" s="122"/>
      <c r="RFU15" s="122"/>
      <c r="RFV15" s="122"/>
      <c r="RFW15" s="122"/>
      <c r="RFX15" s="122"/>
      <c r="RFY15" s="122"/>
      <c r="RFZ15" s="122"/>
      <c r="RGA15" s="122"/>
      <c r="RGB15" s="122"/>
      <c r="RGC15" s="122"/>
      <c r="RGD15" s="122"/>
      <c r="RGE15" s="122"/>
      <c r="RGF15" s="122"/>
      <c r="RGG15" s="122"/>
      <c r="RGH15" s="122"/>
      <c r="RGI15" s="122"/>
      <c r="RGJ15" s="122"/>
      <c r="RGK15" s="122"/>
      <c r="RGL15" s="122"/>
      <c r="RGM15" s="122"/>
      <c r="RGN15" s="122"/>
      <c r="RGO15" s="122"/>
      <c r="RGP15" s="122"/>
      <c r="RGQ15" s="122"/>
      <c r="RGR15" s="122"/>
      <c r="RGS15" s="122"/>
      <c r="RGT15" s="122"/>
      <c r="RGU15" s="122"/>
      <c r="RGV15" s="122"/>
      <c r="RGW15" s="122"/>
      <c r="RGX15" s="122"/>
      <c r="RGY15" s="122"/>
      <c r="RGZ15" s="122"/>
      <c r="RHA15" s="122"/>
      <c r="RHB15" s="122"/>
      <c r="RHC15" s="122"/>
      <c r="RHD15" s="122"/>
      <c r="RHE15" s="122"/>
      <c r="RHF15" s="122"/>
      <c r="RHG15" s="122"/>
      <c r="RHH15" s="122"/>
      <c r="RHI15" s="122"/>
      <c r="RHJ15" s="122"/>
      <c r="RHK15" s="122"/>
      <c r="RHL15" s="122"/>
      <c r="RHM15" s="122"/>
      <c r="RHN15" s="122"/>
      <c r="RHO15" s="122"/>
      <c r="RHP15" s="122"/>
      <c r="RHQ15" s="122"/>
      <c r="RHR15" s="122"/>
      <c r="RHS15" s="122"/>
      <c r="RHT15" s="122"/>
      <c r="RHU15" s="122"/>
      <c r="RHV15" s="122"/>
      <c r="RHW15" s="122"/>
      <c r="RHX15" s="122"/>
      <c r="RHY15" s="122"/>
      <c r="RHZ15" s="122"/>
      <c r="RIA15" s="122"/>
      <c r="RIB15" s="122"/>
      <c r="RIC15" s="122"/>
      <c r="RID15" s="122"/>
      <c r="RIE15" s="122"/>
      <c r="RIF15" s="122"/>
      <c r="RIG15" s="122"/>
      <c r="RIH15" s="122"/>
      <c r="RII15" s="122"/>
      <c r="RIJ15" s="122"/>
      <c r="RIK15" s="122"/>
      <c r="RIL15" s="122"/>
      <c r="RIM15" s="122"/>
      <c r="RIN15" s="122"/>
      <c r="RIO15" s="122"/>
      <c r="RIP15" s="122"/>
      <c r="RIQ15" s="122"/>
      <c r="RIR15" s="122"/>
      <c r="RIS15" s="122"/>
      <c r="RIT15" s="122"/>
      <c r="RIU15" s="122"/>
      <c r="RIV15" s="122"/>
      <c r="RIW15" s="122"/>
      <c r="RIX15" s="122"/>
      <c r="RIY15" s="122"/>
      <c r="RIZ15" s="122"/>
      <c r="RJA15" s="122"/>
      <c r="RJB15" s="122"/>
      <c r="RJC15" s="122"/>
      <c r="RJD15" s="122"/>
      <c r="RJE15" s="122"/>
      <c r="RJF15" s="122"/>
      <c r="RJG15" s="122"/>
      <c r="RJH15" s="122"/>
      <c r="RJI15" s="122"/>
      <c r="RJJ15" s="122"/>
      <c r="RJK15" s="122"/>
      <c r="RJL15" s="122"/>
      <c r="RJM15" s="122"/>
      <c r="RJN15" s="122"/>
      <c r="RJO15" s="122"/>
      <c r="RJP15" s="122"/>
      <c r="RJQ15" s="122"/>
      <c r="RJR15" s="122"/>
      <c r="RJS15" s="122"/>
      <c r="RJT15" s="122"/>
      <c r="RJU15" s="122"/>
      <c r="RJV15" s="122"/>
      <c r="RJW15" s="122"/>
      <c r="RJX15" s="122"/>
      <c r="RJY15" s="122"/>
      <c r="RJZ15" s="122"/>
      <c r="RKA15" s="122"/>
      <c r="RKB15" s="122"/>
      <c r="RKC15" s="122"/>
      <c r="RKD15" s="122"/>
      <c r="RKE15" s="122"/>
      <c r="RKF15" s="122"/>
      <c r="RKG15" s="122"/>
      <c r="RKH15" s="122"/>
      <c r="RKI15" s="122"/>
      <c r="RKJ15" s="122"/>
      <c r="RKK15" s="122"/>
      <c r="RKL15" s="122"/>
      <c r="RKM15" s="122"/>
      <c r="RKN15" s="122"/>
      <c r="RKO15" s="122"/>
      <c r="RKP15" s="122"/>
      <c r="RKQ15" s="122"/>
      <c r="RKR15" s="122"/>
      <c r="RKS15" s="122"/>
      <c r="RKT15" s="122"/>
      <c r="RKU15" s="122"/>
      <c r="RKV15" s="122"/>
      <c r="RKW15" s="122"/>
      <c r="RKX15" s="122"/>
      <c r="RKY15" s="122"/>
      <c r="RKZ15" s="122"/>
      <c r="RLA15" s="122"/>
      <c r="RLB15" s="122"/>
      <c r="RLC15" s="122"/>
      <c r="RLD15" s="122"/>
      <c r="RLE15" s="122"/>
      <c r="RLF15" s="122"/>
      <c r="RLG15" s="122"/>
      <c r="RLH15" s="122"/>
      <c r="RLI15" s="122"/>
      <c r="RLJ15" s="122"/>
      <c r="RLK15" s="122"/>
      <c r="RLL15" s="122"/>
      <c r="RLM15" s="122"/>
      <c r="RLN15" s="122"/>
      <c r="RLO15" s="122"/>
      <c r="RLP15" s="122"/>
      <c r="RLQ15" s="122"/>
      <c r="RLR15" s="122"/>
      <c r="RLS15" s="122"/>
      <c r="RLT15" s="122"/>
      <c r="RLU15" s="122"/>
      <c r="RLV15" s="122"/>
      <c r="RLW15" s="122"/>
      <c r="RLX15" s="122"/>
      <c r="RLY15" s="122"/>
      <c r="RLZ15" s="122"/>
      <c r="RMA15" s="122"/>
      <c r="RMB15" s="122"/>
      <c r="RMC15" s="122"/>
      <c r="RMD15" s="122"/>
      <c r="RME15" s="122"/>
      <c r="RMF15" s="122"/>
      <c r="RMG15" s="122"/>
      <c r="RMH15" s="122"/>
      <c r="RMI15" s="122"/>
      <c r="RMJ15" s="122"/>
      <c r="RMK15" s="122"/>
      <c r="RML15" s="122"/>
      <c r="RMM15" s="122"/>
      <c r="RMN15" s="122"/>
      <c r="RMO15" s="122"/>
      <c r="RMP15" s="122"/>
      <c r="RMQ15" s="122"/>
      <c r="RMR15" s="122"/>
      <c r="RMS15" s="122"/>
      <c r="RMT15" s="122"/>
      <c r="RMU15" s="122"/>
      <c r="RMV15" s="122"/>
      <c r="RMW15" s="122"/>
      <c r="RMX15" s="122"/>
      <c r="RMY15" s="122"/>
      <c r="RMZ15" s="122"/>
      <c r="RNA15" s="122"/>
      <c r="RNB15" s="122"/>
      <c r="RNC15" s="122"/>
      <c r="RND15" s="122"/>
      <c r="RNE15" s="122"/>
      <c r="RNF15" s="122"/>
      <c r="RNG15" s="122"/>
      <c r="RNH15" s="122"/>
      <c r="RNI15" s="122"/>
      <c r="RNJ15" s="122"/>
      <c r="RNK15" s="122"/>
      <c r="RNL15" s="122"/>
      <c r="RNM15" s="122"/>
      <c r="RNN15" s="122"/>
      <c r="RNO15" s="122"/>
      <c r="RNP15" s="122"/>
      <c r="RNQ15" s="122"/>
      <c r="RNR15" s="122"/>
      <c r="RNS15" s="122"/>
      <c r="RNT15" s="122"/>
      <c r="RNU15" s="122"/>
      <c r="RNV15" s="122"/>
      <c r="RNW15" s="122"/>
      <c r="RNX15" s="122"/>
      <c r="RNY15" s="122"/>
      <c r="RNZ15" s="122"/>
      <c r="ROA15" s="122"/>
      <c r="ROB15" s="122"/>
      <c r="ROC15" s="122"/>
      <c r="ROD15" s="122"/>
      <c r="ROE15" s="122"/>
      <c r="ROF15" s="122"/>
      <c r="ROG15" s="122"/>
      <c r="ROH15" s="122"/>
      <c r="ROI15" s="122"/>
      <c r="ROJ15" s="122"/>
      <c r="ROK15" s="122"/>
      <c r="ROL15" s="122"/>
      <c r="ROM15" s="122"/>
      <c r="RON15" s="122"/>
      <c r="ROO15" s="122"/>
      <c r="ROP15" s="122"/>
      <c r="ROQ15" s="122"/>
      <c r="ROR15" s="122"/>
      <c r="ROS15" s="122"/>
      <c r="ROT15" s="122"/>
      <c r="ROU15" s="122"/>
      <c r="ROV15" s="122"/>
      <c r="ROW15" s="122"/>
      <c r="ROX15" s="122"/>
      <c r="ROY15" s="122"/>
      <c r="ROZ15" s="122"/>
      <c r="RPA15" s="122"/>
      <c r="RPB15" s="122"/>
      <c r="RPC15" s="122"/>
      <c r="RPD15" s="122"/>
      <c r="RPE15" s="122"/>
      <c r="RPF15" s="122"/>
      <c r="RPG15" s="122"/>
      <c r="RPH15" s="122"/>
      <c r="RPI15" s="122"/>
      <c r="RPJ15" s="122"/>
      <c r="RPK15" s="122"/>
      <c r="RPL15" s="122"/>
      <c r="RPM15" s="122"/>
      <c r="RPN15" s="122"/>
      <c r="RPO15" s="122"/>
      <c r="RPP15" s="122"/>
      <c r="RPQ15" s="122"/>
      <c r="RPR15" s="122"/>
      <c r="RPS15" s="122"/>
      <c r="RPT15" s="122"/>
      <c r="RPU15" s="122"/>
      <c r="RPV15" s="122"/>
      <c r="RPW15" s="122"/>
      <c r="RPX15" s="122"/>
      <c r="RPY15" s="122"/>
      <c r="RPZ15" s="122"/>
      <c r="RQA15" s="122"/>
      <c r="RQB15" s="122"/>
      <c r="RQC15" s="122"/>
      <c r="RQD15" s="122"/>
      <c r="RQE15" s="122"/>
      <c r="RQF15" s="122"/>
      <c r="RQG15" s="122"/>
      <c r="RQH15" s="122"/>
      <c r="RQI15" s="122"/>
      <c r="RQJ15" s="122"/>
      <c r="RQK15" s="122"/>
      <c r="RQL15" s="122"/>
      <c r="RQM15" s="122"/>
      <c r="RQN15" s="122"/>
      <c r="RQO15" s="122"/>
      <c r="RQP15" s="122"/>
      <c r="RQQ15" s="122"/>
      <c r="RQR15" s="122"/>
      <c r="RQS15" s="122"/>
      <c r="RQT15" s="122"/>
      <c r="RQU15" s="122"/>
      <c r="RQV15" s="122"/>
      <c r="RQW15" s="122"/>
      <c r="RQX15" s="122"/>
      <c r="RQY15" s="122"/>
      <c r="RQZ15" s="122"/>
      <c r="RRA15" s="122"/>
      <c r="RRB15" s="122"/>
      <c r="RRC15" s="122"/>
      <c r="RRD15" s="122"/>
      <c r="RRE15" s="122"/>
      <c r="RRF15" s="122"/>
      <c r="RRG15" s="122"/>
      <c r="RRH15" s="122"/>
      <c r="RRI15" s="122"/>
      <c r="RRJ15" s="122"/>
      <c r="RRK15" s="122"/>
      <c r="RRL15" s="122"/>
      <c r="RRM15" s="122"/>
      <c r="RRN15" s="122"/>
      <c r="RRO15" s="122"/>
      <c r="RRP15" s="122"/>
      <c r="RRQ15" s="122"/>
      <c r="RRR15" s="122"/>
      <c r="RRS15" s="122"/>
      <c r="RRT15" s="122"/>
      <c r="RRU15" s="122"/>
      <c r="RRV15" s="122"/>
      <c r="RRW15" s="122"/>
      <c r="RRX15" s="122"/>
      <c r="RRY15" s="122"/>
      <c r="RRZ15" s="122"/>
      <c r="RSA15" s="122"/>
      <c r="RSB15" s="122"/>
      <c r="RSC15" s="122"/>
      <c r="RSD15" s="122"/>
      <c r="RSE15" s="122"/>
      <c r="RSF15" s="122"/>
      <c r="RSG15" s="122"/>
      <c r="RSH15" s="122"/>
      <c r="RSI15" s="122"/>
      <c r="RSJ15" s="122"/>
      <c r="RSK15" s="122"/>
      <c r="RSL15" s="122"/>
      <c r="RSM15" s="122"/>
      <c r="RSN15" s="122"/>
      <c r="RSO15" s="122"/>
      <c r="RSP15" s="122"/>
      <c r="RSQ15" s="122"/>
      <c r="RSR15" s="122"/>
      <c r="RSS15" s="122"/>
      <c r="RST15" s="122"/>
      <c r="RSU15" s="122"/>
      <c r="RSV15" s="122"/>
      <c r="RSW15" s="122"/>
      <c r="RSX15" s="122"/>
      <c r="RSY15" s="122"/>
      <c r="RSZ15" s="122"/>
      <c r="RTA15" s="122"/>
      <c r="RTB15" s="122"/>
      <c r="RTC15" s="122"/>
      <c r="RTD15" s="122"/>
      <c r="RTE15" s="122"/>
      <c r="RTF15" s="122"/>
      <c r="RTG15" s="122"/>
      <c r="RTH15" s="122"/>
      <c r="RTI15" s="122"/>
      <c r="RTJ15" s="122"/>
      <c r="RTK15" s="122"/>
      <c r="RTL15" s="122"/>
      <c r="RTM15" s="122"/>
      <c r="RTN15" s="122"/>
      <c r="RTO15" s="122"/>
      <c r="RTP15" s="122"/>
      <c r="RTQ15" s="122"/>
      <c r="RTR15" s="122"/>
      <c r="RTS15" s="122"/>
      <c r="RTT15" s="122"/>
      <c r="RTU15" s="122"/>
      <c r="RTV15" s="122"/>
      <c r="RTW15" s="122"/>
      <c r="RTX15" s="122"/>
      <c r="RTY15" s="122"/>
      <c r="RTZ15" s="122"/>
      <c r="RUA15" s="122"/>
      <c r="RUB15" s="122"/>
      <c r="RUC15" s="122"/>
      <c r="RUD15" s="122"/>
      <c r="RUE15" s="122"/>
      <c r="RUF15" s="122"/>
      <c r="RUG15" s="122"/>
      <c r="RUH15" s="122"/>
      <c r="RUI15" s="122"/>
      <c r="RUJ15" s="122"/>
      <c r="RUK15" s="122"/>
      <c r="RUL15" s="122"/>
      <c r="RUM15" s="122"/>
      <c r="RUN15" s="122"/>
      <c r="RUO15" s="122"/>
      <c r="RUP15" s="122"/>
      <c r="RUQ15" s="122"/>
      <c r="RUR15" s="122"/>
      <c r="RUS15" s="122"/>
      <c r="RUT15" s="122"/>
      <c r="RUU15" s="122"/>
      <c r="RUV15" s="122"/>
      <c r="RUW15" s="122"/>
      <c r="RUX15" s="122"/>
      <c r="RUY15" s="122"/>
      <c r="RUZ15" s="122"/>
      <c r="RVA15" s="122"/>
      <c r="RVB15" s="122"/>
      <c r="RVC15" s="122"/>
      <c r="RVD15" s="122"/>
      <c r="RVE15" s="122"/>
      <c r="RVF15" s="122"/>
      <c r="RVG15" s="122"/>
      <c r="RVH15" s="122"/>
      <c r="RVI15" s="122"/>
      <c r="RVJ15" s="122"/>
      <c r="RVK15" s="122"/>
      <c r="RVL15" s="122"/>
      <c r="RVM15" s="122"/>
      <c r="RVN15" s="122"/>
      <c r="RVO15" s="122"/>
      <c r="RVP15" s="122"/>
      <c r="RVQ15" s="122"/>
      <c r="RVR15" s="122"/>
      <c r="RVS15" s="122"/>
      <c r="RVT15" s="122"/>
      <c r="RVU15" s="122"/>
      <c r="RVV15" s="122"/>
      <c r="RVW15" s="122"/>
      <c r="RVX15" s="122"/>
      <c r="RVY15" s="122"/>
      <c r="RVZ15" s="122"/>
      <c r="RWA15" s="122"/>
      <c r="RWB15" s="122"/>
      <c r="RWC15" s="122"/>
      <c r="RWD15" s="122"/>
      <c r="RWE15" s="122"/>
      <c r="RWF15" s="122"/>
      <c r="RWG15" s="122"/>
      <c r="RWH15" s="122"/>
      <c r="RWI15" s="122"/>
      <c r="RWJ15" s="122"/>
      <c r="RWK15" s="122"/>
      <c r="RWL15" s="122"/>
      <c r="RWM15" s="122"/>
      <c r="RWN15" s="122"/>
      <c r="RWO15" s="122"/>
      <c r="RWP15" s="122"/>
      <c r="RWQ15" s="122"/>
      <c r="RWR15" s="122"/>
      <c r="RWS15" s="122"/>
      <c r="RWT15" s="122"/>
      <c r="RWU15" s="122"/>
      <c r="RWV15" s="122"/>
      <c r="RWW15" s="122"/>
      <c r="RWX15" s="122"/>
      <c r="RWY15" s="122"/>
      <c r="RWZ15" s="122"/>
      <c r="RXA15" s="122"/>
      <c r="RXB15" s="122"/>
      <c r="RXC15" s="122"/>
      <c r="RXD15" s="122"/>
      <c r="RXE15" s="122"/>
      <c r="RXF15" s="122"/>
      <c r="RXG15" s="122"/>
      <c r="RXH15" s="122"/>
      <c r="RXI15" s="122"/>
      <c r="RXJ15" s="122"/>
      <c r="RXK15" s="122"/>
      <c r="RXL15" s="122"/>
      <c r="RXM15" s="122"/>
      <c r="RXN15" s="122"/>
      <c r="RXO15" s="122"/>
      <c r="RXP15" s="122"/>
      <c r="RXQ15" s="122"/>
      <c r="RXR15" s="122"/>
      <c r="RXS15" s="122"/>
      <c r="RXT15" s="122"/>
      <c r="RXU15" s="122"/>
      <c r="RXV15" s="122"/>
      <c r="RXW15" s="122"/>
      <c r="RXX15" s="122"/>
      <c r="RXY15" s="122"/>
      <c r="RXZ15" s="122"/>
      <c r="RYA15" s="122"/>
      <c r="RYB15" s="122"/>
      <c r="RYC15" s="122"/>
      <c r="RYD15" s="122"/>
      <c r="RYE15" s="122"/>
      <c r="RYF15" s="122"/>
      <c r="RYG15" s="122"/>
      <c r="RYH15" s="122"/>
      <c r="RYI15" s="122"/>
      <c r="RYJ15" s="122"/>
      <c r="RYK15" s="122"/>
      <c r="RYL15" s="122"/>
      <c r="RYM15" s="122"/>
      <c r="RYN15" s="122"/>
      <c r="RYO15" s="122"/>
      <c r="RYP15" s="122"/>
      <c r="RYQ15" s="122"/>
      <c r="RYR15" s="122"/>
      <c r="RYS15" s="122"/>
      <c r="RYT15" s="122"/>
      <c r="RYU15" s="122"/>
      <c r="RYV15" s="122"/>
      <c r="RYW15" s="122"/>
      <c r="RYX15" s="122"/>
      <c r="RYY15" s="122"/>
      <c r="RYZ15" s="122"/>
      <c r="RZA15" s="122"/>
      <c r="RZB15" s="122"/>
      <c r="RZC15" s="122"/>
      <c r="RZD15" s="122"/>
      <c r="RZE15" s="122"/>
      <c r="RZF15" s="122"/>
      <c r="RZG15" s="122"/>
      <c r="RZH15" s="122"/>
      <c r="RZI15" s="122"/>
      <c r="RZJ15" s="122"/>
      <c r="RZK15" s="122"/>
      <c r="RZL15" s="122"/>
      <c r="RZM15" s="122"/>
      <c r="RZN15" s="122"/>
      <c r="RZO15" s="122"/>
      <c r="RZP15" s="122"/>
      <c r="RZQ15" s="122"/>
      <c r="RZR15" s="122"/>
      <c r="RZS15" s="122"/>
      <c r="RZT15" s="122"/>
      <c r="RZU15" s="122"/>
      <c r="RZV15" s="122"/>
      <c r="RZW15" s="122"/>
      <c r="RZX15" s="122"/>
      <c r="RZY15" s="122"/>
      <c r="RZZ15" s="122"/>
      <c r="SAA15" s="122"/>
      <c r="SAB15" s="122"/>
      <c r="SAC15" s="122"/>
      <c r="SAD15" s="122"/>
      <c r="SAE15" s="122"/>
      <c r="SAF15" s="122"/>
      <c r="SAG15" s="122"/>
      <c r="SAH15" s="122"/>
      <c r="SAI15" s="122"/>
      <c r="SAJ15" s="122"/>
      <c r="SAK15" s="122"/>
      <c r="SAL15" s="122"/>
      <c r="SAM15" s="122"/>
      <c r="SAN15" s="122"/>
      <c r="SAO15" s="122"/>
      <c r="SAP15" s="122"/>
      <c r="SAQ15" s="122"/>
      <c r="SAR15" s="122"/>
      <c r="SAS15" s="122"/>
      <c r="SAT15" s="122"/>
      <c r="SAU15" s="122"/>
      <c r="SAV15" s="122"/>
      <c r="SAW15" s="122"/>
      <c r="SAX15" s="122"/>
      <c r="SAY15" s="122"/>
      <c r="SAZ15" s="122"/>
      <c r="SBA15" s="122"/>
      <c r="SBB15" s="122"/>
      <c r="SBC15" s="122"/>
      <c r="SBD15" s="122"/>
      <c r="SBE15" s="122"/>
      <c r="SBF15" s="122"/>
      <c r="SBG15" s="122"/>
      <c r="SBH15" s="122"/>
      <c r="SBI15" s="122"/>
      <c r="SBJ15" s="122"/>
      <c r="SBK15" s="122"/>
      <c r="SBL15" s="122"/>
      <c r="SBM15" s="122"/>
      <c r="SBN15" s="122"/>
      <c r="SBO15" s="122"/>
      <c r="SBP15" s="122"/>
      <c r="SBQ15" s="122"/>
      <c r="SBR15" s="122"/>
      <c r="SBS15" s="122"/>
      <c r="SBT15" s="122"/>
      <c r="SBU15" s="122"/>
      <c r="SBV15" s="122"/>
      <c r="SBW15" s="122"/>
      <c r="SBX15" s="122"/>
      <c r="SBY15" s="122"/>
      <c r="SBZ15" s="122"/>
      <c r="SCA15" s="122"/>
      <c r="SCB15" s="122"/>
      <c r="SCC15" s="122"/>
      <c r="SCD15" s="122"/>
      <c r="SCE15" s="122"/>
      <c r="SCF15" s="122"/>
      <c r="SCG15" s="122"/>
      <c r="SCH15" s="122"/>
      <c r="SCI15" s="122"/>
      <c r="SCJ15" s="122"/>
      <c r="SCK15" s="122"/>
      <c r="SCL15" s="122"/>
      <c r="SCM15" s="122"/>
      <c r="SCN15" s="122"/>
      <c r="SCO15" s="122"/>
      <c r="SCP15" s="122"/>
      <c r="SCQ15" s="122"/>
      <c r="SCR15" s="122"/>
      <c r="SCS15" s="122"/>
      <c r="SCT15" s="122"/>
      <c r="SCU15" s="122"/>
      <c r="SCV15" s="122"/>
      <c r="SCW15" s="122"/>
      <c r="SCX15" s="122"/>
      <c r="SCY15" s="122"/>
      <c r="SCZ15" s="122"/>
      <c r="SDA15" s="122"/>
      <c r="SDB15" s="122"/>
      <c r="SDC15" s="122"/>
      <c r="SDD15" s="122"/>
      <c r="SDE15" s="122"/>
      <c r="SDF15" s="122"/>
      <c r="SDG15" s="122"/>
      <c r="SDH15" s="122"/>
      <c r="SDI15" s="122"/>
      <c r="SDJ15" s="122"/>
      <c r="SDK15" s="122"/>
      <c r="SDL15" s="122"/>
      <c r="SDM15" s="122"/>
      <c r="SDN15" s="122"/>
      <c r="SDO15" s="122"/>
      <c r="SDP15" s="122"/>
      <c r="SDQ15" s="122"/>
      <c r="SDR15" s="122"/>
      <c r="SDS15" s="122"/>
      <c r="SDT15" s="122"/>
      <c r="SDU15" s="122"/>
      <c r="SDV15" s="122"/>
      <c r="SDW15" s="122"/>
      <c r="SDX15" s="122"/>
      <c r="SDY15" s="122"/>
      <c r="SDZ15" s="122"/>
      <c r="SEA15" s="122"/>
      <c r="SEB15" s="122"/>
      <c r="SEC15" s="122"/>
      <c r="SED15" s="122"/>
      <c r="SEE15" s="122"/>
      <c r="SEF15" s="122"/>
      <c r="SEG15" s="122"/>
      <c r="SEH15" s="122"/>
      <c r="SEI15" s="122"/>
      <c r="SEJ15" s="122"/>
      <c r="SEK15" s="122"/>
      <c r="SEL15" s="122"/>
      <c r="SEM15" s="122"/>
      <c r="SEN15" s="122"/>
      <c r="SEO15" s="122"/>
      <c r="SEP15" s="122"/>
      <c r="SEQ15" s="122"/>
      <c r="SER15" s="122"/>
      <c r="SES15" s="122"/>
      <c r="SET15" s="122"/>
      <c r="SEU15" s="122"/>
      <c r="SEV15" s="122"/>
      <c r="SEW15" s="122"/>
      <c r="SEX15" s="122"/>
      <c r="SEY15" s="122"/>
      <c r="SEZ15" s="122"/>
      <c r="SFA15" s="122"/>
      <c r="SFB15" s="122"/>
      <c r="SFC15" s="122"/>
      <c r="SFD15" s="122"/>
      <c r="SFE15" s="122"/>
      <c r="SFF15" s="122"/>
      <c r="SFG15" s="122"/>
      <c r="SFH15" s="122"/>
      <c r="SFI15" s="122"/>
      <c r="SFJ15" s="122"/>
      <c r="SFK15" s="122"/>
      <c r="SFL15" s="122"/>
      <c r="SFM15" s="122"/>
      <c r="SFN15" s="122"/>
      <c r="SFO15" s="122"/>
      <c r="SFP15" s="122"/>
      <c r="SFQ15" s="122"/>
      <c r="SFR15" s="122"/>
      <c r="SFS15" s="122"/>
      <c r="SFT15" s="122"/>
      <c r="SFU15" s="122"/>
      <c r="SFV15" s="122"/>
      <c r="SFW15" s="122"/>
      <c r="SFX15" s="122"/>
      <c r="SFY15" s="122"/>
      <c r="SFZ15" s="122"/>
      <c r="SGA15" s="122"/>
      <c r="SGB15" s="122"/>
      <c r="SGC15" s="122"/>
      <c r="SGD15" s="122"/>
      <c r="SGE15" s="122"/>
      <c r="SGF15" s="122"/>
      <c r="SGG15" s="122"/>
      <c r="SGH15" s="122"/>
      <c r="SGI15" s="122"/>
      <c r="SGJ15" s="122"/>
      <c r="SGK15" s="122"/>
      <c r="SGL15" s="122"/>
      <c r="SGM15" s="122"/>
      <c r="SGN15" s="122"/>
      <c r="SGO15" s="122"/>
      <c r="SGP15" s="122"/>
      <c r="SGQ15" s="122"/>
      <c r="SGR15" s="122"/>
      <c r="SGS15" s="122"/>
      <c r="SGT15" s="122"/>
      <c r="SGU15" s="122"/>
      <c r="SGV15" s="122"/>
      <c r="SGW15" s="122"/>
      <c r="SGX15" s="122"/>
      <c r="SGY15" s="122"/>
      <c r="SGZ15" s="122"/>
      <c r="SHA15" s="122"/>
      <c r="SHB15" s="122"/>
      <c r="SHC15" s="122"/>
      <c r="SHD15" s="122"/>
      <c r="SHE15" s="122"/>
      <c r="SHF15" s="122"/>
      <c r="SHG15" s="122"/>
      <c r="SHH15" s="122"/>
      <c r="SHI15" s="122"/>
      <c r="SHJ15" s="122"/>
      <c r="SHK15" s="122"/>
      <c r="SHL15" s="122"/>
      <c r="SHM15" s="122"/>
      <c r="SHN15" s="122"/>
      <c r="SHO15" s="122"/>
      <c r="SHP15" s="122"/>
      <c r="SHQ15" s="122"/>
      <c r="SHR15" s="122"/>
      <c r="SHS15" s="122"/>
      <c r="SHT15" s="122"/>
      <c r="SHU15" s="122"/>
      <c r="SHV15" s="122"/>
      <c r="SHW15" s="122"/>
      <c r="SHX15" s="122"/>
      <c r="SHY15" s="122"/>
      <c r="SHZ15" s="122"/>
      <c r="SIA15" s="122"/>
      <c r="SIB15" s="122"/>
      <c r="SIC15" s="122"/>
      <c r="SID15" s="122"/>
      <c r="SIE15" s="122"/>
      <c r="SIF15" s="122"/>
      <c r="SIG15" s="122"/>
      <c r="SIH15" s="122"/>
      <c r="SII15" s="122"/>
      <c r="SIJ15" s="122"/>
      <c r="SIK15" s="122"/>
      <c r="SIL15" s="122"/>
      <c r="SIM15" s="122"/>
      <c r="SIN15" s="122"/>
      <c r="SIO15" s="122"/>
      <c r="SIP15" s="122"/>
      <c r="SIQ15" s="122"/>
      <c r="SIR15" s="122"/>
      <c r="SIS15" s="122"/>
      <c r="SIT15" s="122"/>
      <c r="SIU15" s="122"/>
      <c r="SIV15" s="122"/>
      <c r="SIW15" s="122"/>
      <c r="SIX15" s="122"/>
      <c r="SIY15" s="122"/>
      <c r="SIZ15" s="122"/>
      <c r="SJA15" s="122"/>
      <c r="SJB15" s="122"/>
      <c r="SJC15" s="122"/>
      <c r="SJD15" s="122"/>
      <c r="SJE15" s="122"/>
      <c r="SJF15" s="122"/>
      <c r="SJG15" s="122"/>
      <c r="SJH15" s="122"/>
      <c r="SJI15" s="122"/>
      <c r="SJJ15" s="122"/>
      <c r="SJK15" s="122"/>
      <c r="SJL15" s="122"/>
      <c r="SJM15" s="122"/>
      <c r="SJN15" s="122"/>
      <c r="SJO15" s="122"/>
      <c r="SJP15" s="122"/>
      <c r="SJQ15" s="122"/>
      <c r="SJR15" s="122"/>
      <c r="SJS15" s="122"/>
      <c r="SJT15" s="122"/>
      <c r="SJU15" s="122"/>
      <c r="SJV15" s="122"/>
      <c r="SJW15" s="122"/>
      <c r="SJX15" s="122"/>
      <c r="SJY15" s="122"/>
      <c r="SJZ15" s="122"/>
      <c r="SKA15" s="122"/>
      <c r="SKB15" s="122"/>
      <c r="SKC15" s="122"/>
      <c r="SKD15" s="122"/>
      <c r="SKE15" s="122"/>
      <c r="SKF15" s="122"/>
      <c r="SKG15" s="122"/>
      <c r="SKH15" s="122"/>
      <c r="SKI15" s="122"/>
      <c r="SKJ15" s="122"/>
      <c r="SKK15" s="122"/>
      <c r="SKL15" s="122"/>
      <c r="SKM15" s="122"/>
      <c r="SKN15" s="122"/>
      <c r="SKO15" s="122"/>
      <c r="SKP15" s="122"/>
      <c r="SKQ15" s="122"/>
      <c r="SKR15" s="122"/>
      <c r="SKS15" s="122"/>
      <c r="SKT15" s="122"/>
      <c r="SKU15" s="122"/>
      <c r="SKV15" s="122"/>
      <c r="SKW15" s="122"/>
      <c r="SKX15" s="122"/>
      <c r="SKY15" s="122"/>
      <c r="SKZ15" s="122"/>
      <c r="SLA15" s="122"/>
      <c r="SLB15" s="122"/>
      <c r="SLC15" s="122"/>
      <c r="SLD15" s="122"/>
      <c r="SLE15" s="122"/>
      <c r="SLF15" s="122"/>
      <c r="SLG15" s="122"/>
      <c r="SLH15" s="122"/>
      <c r="SLI15" s="122"/>
      <c r="SLJ15" s="122"/>
      <c r="SLK15" s="122"/>
      <c r="SLL15" s="122"/>
      <c r="SLM15" s="122"/>
      <c r="SLN15" s="122"/>
      <c r="SLO15" s="122"/>
      <c r="SLP15" s="122"/>
      <c r="SLQ15" s="122"/>
      <c r="SLR15" s="122"/>
      <c r="SLS15" s="122"/>
      <c r="SLT15" s="122"/>
      <c r="SLU15" s="122"/>
      <c r="SLV15" s="122"/>
      <c r="SLW15" s="122"/>
      <c r="SLX15" s="122"/>
      <c r="SLY15" s="122"/>
      <c r="SLZ15" s="122"/>
      <c r="SMA15" s="122"/>
      <c r="SMB15" s="122"/>
      <c r="SMC15" s="122"/>
      <c r="SMD15" s="122"/>
      <c r="SME15" s="122"/>
      <c r="SMF15" s="122"/>
      <c r="SMG15" s="122"/>
      <c r="SMH15" s="122"/>
      <c r="SMI15" s="122"/>
      <c r="SMJ15" s="122"/>
      <c r="SMK15" s="122"/>
      <c r="SML15" s="122"/>
      <c r="SMM15" s="122"/>
      <c r="SMN15" s="122"/>
      <c r="SMO15" s="122"/>
      <c r="SMP15" s="122"/>
      <c r="SMQ15" s="122"/>
      <c r="SMR15" s="122"/>
      <c r="SMS15" s="122"/>
      <c r="SMT15" s="122"/>
      <c r="SMU15" s="122"/>
      <c r="SMV15" s="122"/>
      <c r="SMW15" s="122"/>
      <c r="SMX15" s="122"/>
      <c r="SMY15" s="122"/>
      <c r="SMZ15" s="122"/>
      <c r="SNA15" s="122"/>
      <c r="SNB15" s="122"/>
      <c r="SNC15" s="122"/>
      <c r="SND15" s="122"/>
      <c r="SNE15" s="122"/>
      <c r="SNF15" s="122"/>
      <c r="SNG15" s="122"/>
      <c r="SNH15" s="122"/>
      <c r="SNI15" s="122"/>
      <c r="SNJ15" s="122"/>
      <c r="SNK15" s="122"/>
      <c r="SNL15" s="122"/>
      <c r="SNM15" s="122"/>
      <c r="SNN15" s="122"/>
      <c r="SNO15" s="122"/>
      <c r="SNP15" s="122"/>
      <c r="SNQ15" s="122"/>
      <c r="SNR15" s="122"/>
      <c r="SNS15" s="122"/>
      <c r="SNT15" s="122"/>
      <c r="SNU15" s="122"/>
      <c r="SNV15" s="122"/>
      <c r="SNW15" s="122"/>
      <c r="SNX15" s="122"/>
      <c r="SNY15" s="122"/>
      <c r="SNZ15" s="122"/>
      <c r="SOA15" s="122"/>
      <c r="SOB15" s="122"/>
      <c r="SOC15" s="122"/>
      <c r="SOD15" s="122"/>
      <c r="SOE15" s="122"/>
      <c r="SOF15" s="122"/>
      <c r="SOG15" s="122"/>
      <c r="SOH15" s="122"/>
      <c r="SOI15" s="122"/>
      <c r="SOJ15" s="122"/>
      <c r="SOK15" s="122"/>
      <c r="SOL15" s="122"/>
      <c r="SOM15" s="122"/>
      <c r="SON15" s="122"/>
      <c r="SOO15" s="122"/>
      <c r="SOP15" s="122"/>
      <c r="SOQ15" s="122"/>
      <c r="SOR15" s="122"/>
      <c r="SOS15" s="122"/>
      <c r="SOT15" s="122"/>
      <c r="SOU15" s="122"/>
      <c r="SOV15" s="122"/>
      <c r="SOW15" s="122"/>
      <c r="SOX15" s="122"/>
      <c r="SOY15" s="122"/>
      <c r="SOZ15" s="122"/>
      <c r="SPA15" s="122"/>
      <c r="SPB15" s="122"/>
      <c r="SPC15" s="122"/>
      <c r="SPD15" s="122"/>
      <c r="SPE15" s="122"/>
      <c r="SPF15" s="122"/>
      <c r="SPG15" s="122"/>
      <c r="SPH15" s="122"/>
      <c r="SPI15" s="122"/>
      <c r="SPJ15" s="122"/>
      <c r="SPK15" s="122"/>
      <c r="SPL15" s="122"/>
      <c r="SPM15" s="122"/>
      <c r="SPN15" s="122"/>
      <c r="SPO15" s="122"/>
      <c r="SPP15" s="122"/>
      <c r="SPQ15" s="122"/>
      <c r="SPR15" s="122"/>
      <c r="SPS15" s="122"/>
      <c r="SPT15" s="122"/>
      <c r="SPU15" s="122"/>
      <c r="SPV15" s="122"/>
      <c r="SPW15" s="122"/>
      <c r="SPX15" s="122"/>
      <c r="SPY15" s="122"/>
      <c r="SPZ15" s="122"/>
      <c r="SQA15" s="122"/>
      <c r="SQB15" s="122"/>
      <c r="SQC15" s="122"/>
      <c r="SQD15" s="122"/>
      <c r="SQE15" s="122"/>
      <c r="SQF15" s="122"/>
      <c r="SQG15" s="122"/>
      <c r="SQH15" s="122"/>
      <c r="SQI15" s="122"/>
      <c r="SQJ15" s="122"/>
      <c r="SQK15" s="122"/>
      <c r="SQL15" s="122"/>
      <c r="SQM15" s="122"/>
      <c r="SQN15" s="122"/>
      <c r="SQO15" s="122"/>
      <c r="SQP15" s="122"/>
      <c r="SQQ15" s="122"/>
      <c r="SQR15" s="122"/>
      <c r="SQS15" s="122"/>
      <c r="SQT15" s="122"/>
      <c r="SQU15" s="122"/>
      <c r="SQV15" s="122"/>
      <c r="SQW15" s="122"/>
      <c r="SQX15" s="122"/>
      <c r="SQY15" s="122"/>
      <c r="SQZ15" s="122"/>
      <c r="SRA15" s="122"/>
      <c r="SRB15" s="122"/>
      <c r="SRC15" s="122"/>
      <c r="SRD15" s="122"/>
      <c r="SRE15" s="122"/>
      <c r="SRF15" s="122"/>
      <c r="SRG15" s="122"/>
      <c r="SRH15" s="122"/>
      <c r="SRI15" s="122"/>
      <c r="SRJ15" s="122"/>
      <c r="SRK15" s="122"/>
      <c r="SRL15" s="122"/>
      <c r="SRM15" s="122"/>
      <c r="SRN15" s="122"/>
      <c r="SRO15" s="122"/>
      <c r="SRP15" s="122"/>
      <c r="SRQ15" s="122"/>
      <c r="SRR15" s="122"/>
      <c r="SRS15" s="122"/>
      <c r="SRT15" s="122"/>
      <c r="SRU15" s="122"/>
      <c r="SRV15" s="122"/>
      <c r="SRW15" s="122"/>
      <c r="SRX15" s="122"/>
      <c r="SRY15" s="122"/>
      <c r="SRZ15" s="122"/>
      <c r="SSA15" s="122"/>
      <c r="SSB15" s="122"/>
      <c r="SSC15" s="122"/>
      <c r="SSD15" s="122"/>
      <c r="SSE15" s="122"/>
      <c r="SSF15" s="122"/>
      <c r="SSG15" s="122"/>
      <c r="SSH15" s="122"/>
      <c r="SSI15" s="122"/>
      <c r="SSJ15" s="122"/>
      <c r="SSK15" s="122"/>
      <c r="SSL15" s="122"/>
      <c r="SSM15" s="122"/>
      <c r="SSN15" s="122"/>
      <c r="SSO15" s="122"/>
      <c r="SSP15" s="122"/>
      <c r="SSQ15" s="122"/>
      <c r="SSR15" s="122"/>
      <c r="SSS15" s="122"/>
      <c r="SST15" s="122"/>
      <c r="SSU15" s="122"/>
      <c r="SSV15" s="122"/>
      <c r="SSW15" s="122"/>
      <c r="SSX15" s="122"/>
      <c r="SSY15" s="122"/>
      <c r="SSZ15" s="122"/>
      <c r="STA15" s="122"/>
      <c r="STB15" s="122"/>
      <c r="STC15" s="122"/>
      <c r="STD15" s="122"/>
      <c r="STE15" s="122"/>
      <c r="STF15" s="122"/>
      <c r="STG15" s="122"/>
      <c r="STH15" s="122"/>
      <c r="STI15" s="122"/>
      <c r="STJ15" s="122"/>
      <c r="STK15" s="122"/>
      <c r="STL15" s="122"/>
      <c r="STM15" s="122"/>
      <c r="STN15" s="122"/>
      <c r="STO15" s="122"/>
      <c r="STP15" s="122"/>
      <c r="STQ15" s="122"/>
      <c r="STR15" s="122"/>
      <c r="STS15" s="122"/>
      <c r="STT15" s="122"/>
      <c r="STU15" s="122"/>
      <c r="STV15" s="122"/>
      <c r="STW15" s="122"/>
      <c r="STX15" s="122"/>
      <c r="STY15" s="122"/>
      <c r="STZ15" s="122"/>
      <c r="SUA15" s="122"/>
      <c r="SUB15" s="122"/>
      <c r="SUC15" s="122"/>
      <c r="SUD15" s="122"/>
      <c r="SUE15" s="122"/>
      <c r="SUF15" s="122"/>
      <c r="SUG15" s="122"/>
      <c r="SUH15" s="122"/>
      <c r="SUI15" s="122"/>
      <c r="SUJ15" s="122"/>
      <c r="SUK15" s="122"/>
      <c r="SUL15" s="122"/>
      <c r="SUM15" s="122"/>
      <c r="SUN15" s="122"/>
      <c r="SUO15" s="122"/>
      <c r="SUP15" s="122"/>
      <c r="SUQ15" s="122"/>
      <c r="SUR15" s="122"/>
      <c r="SUS15" s="122"/>
      <c r="SUT15" s="122"/>
      <c r="SUU15" s="122"/>
      <c r="SUV15" s="122"/>
      <c r="SUW15" s="122"/>
      <c r="SUX15" s="122"/>
      <c r="SUY15" s="122"/>
      <c r="SUZ15" s="122"/>
      <c r="SVA15" s="122"/>
      <c r="SVB15" s="122"/>
      <c r="SVC15" s="122"/>
      <c r="SVD15" s="122"/>
      <c r="SVE15" s="122"/>
      <c r="SVF15" s="122"/>
      <c r="SVG15" s="122"/>
      <c r="SVH15" s="122"/>
      <c r="SVI15" s="122"/>
      <c r="SVJ15" s="122"/>
      <c r="SVK15" s="122"/>
      <c r="SVL15" s="122"/>
      <c r="SVM15" s="122"/>
      <c r="SVN15" s="122"/>
      <c r="SVO15" s="122"/>
      <c r="SVP15" s="122"/>
      <c r="SVQ15" s="122"/>
      <c r="SVR15" s="122"/>
      <c r="SVS15" s="122"/>
      <c r="SVT15" s="122"/>
      <c r="SVU15" s="122"/>
      <c r="SVV15" s="122"/>
      <c r="SVW15" s="122"/>
      <c r="SVX15" s="122"/>
      <c r="SVY15" s="122"/>
      <c r="SVZ15" s="122"/>
      <c r="SWA15" s="122"/>
      <c r="SWB15" s="122"/>
      <c r="SWC15" s="122"/>
      <c r="SWD15" s="122"/>
      <c r="SWE15" s="122"/>
      <c r="SWF15" s="122"/>
      <c r="SWG15" s="122"/>
      <c r="SWH15" s="122"/>
      <c r="SWI15" s="122"/>
      <c r="SWJ15" s="122"/>
      <c r="SWK15" s="122"/>
      <c r="SWL15" s="122"/>
      <c r="SWM15" s="122"/>
      <c r="SWN15" s="122"/>
      <c r="SWO15" s="122"/>
      <c r="SWP15" s="122"/>
      <c r="SWQ15" s="122"/>
      <c r="SWR15" s="122"/>
      <c r="SWS15" s="122"/>
      <c r="SWT15" s="122"/>
      <c r="SWU15" s="122"/>
      <c r="SWV15" s="122"/>
      <c r="SWW15" s="122"/>
      <c r="SWX15" s="122"/>
      <c r="SWY15" s="122"/>
      <c r="SWZ15" s="122"/>
      <c r="SXA15" s="122"/>
      <c r="SXB15" s="122"/>
      <c r="SXC15" s="122"/>
      <c r="SXD15" s="122"/>
      <c r="SXE15" s="122"/>
      <c r="SXF15" s="122"/>
      <c r="SXG15" s="122"/>
      <c r="SXH15" s="122"/>
      <c r="SXI15" s="122"/>
      <c r="SXJ15" s="122"/>
      <c r="SXK15" s="122"/>
      <c r="SXL15" s="122"/>
      <c r="SXM15" s="122"/>
      <c r="SXN15" s="122"/>
      <c r="SXO15" s="122"/>
      <c r="SXP15" s="122"/>
      <c r="SXQ15" s="122"/>
      <c r="SXR15" s="122"/>
      <c r="SXS15" s="122"/>
      <c r="SXT15" s="122"/>
      <c r="SXU15" s="122"/>
      <c r="SXV15" s="122"/>
      <c r="SXW15" s="122"/>
      <c r="SXX15" s="122"/>
      <c r="SXY15" s="122"/>
      <c r="SXZ15" s="122"/>
      <c r="SYA15" s="122"/>
      <c r="SYB15" s="122"/>
      <c r="SYC15" s="122"/>
      <c r="SYD15" s="122"/>
      <c r="SYE15" s="122"/>
      <c r="SYF15" s="122"/>
      <c r="SYG15" s="122"/>
      <c r="SYH15" s="122"/>
      <c r="SYI15" s="122"/>
      <c r="SYJ15" s="122"/>
      <c r="SYK15" s="122"/>
      <c r="SYL15" s="122"/>
      <c r="SYM15" s="122"/>
      <c r="SYN15" s="122"/>
      <c r="SYO15" s="122"/>
      <c r="SYP15" s="122"/>
      <c r="SYQ15" s="122"/>
      <c r="SYR15" s="122"/>
      <c r="SYS15" s="122"/>
      <c r="SYT15" s="122"/>
      <c r="SYU15" s="122"/>
      <c r="SYV15" s="122"/>
      <c r="SYW15" s="122"/>
      <c r="SYX15" s="122"/>
      <c r="SYY15" s="122"/>
      <c r="SYZ15" s="122"/>
      <c r="SZA15" s="122"/>
      <c r="SZB15" s="122"/>
      <c r="SZC15" s="122"/>
      <c r="SZD15" s="122"/>
      <c r="SZE15" s="122"/>
      <c r="SZF15" s="122"/>
      <c r="SZG15" s="122"/>
      <c r="SZH15" s="122"/>
      <c r="SZI15" s="122"/>
      <c r="SZJ15" s="122"/>
      <c r="SZK15" s="122"/>
      <c r="SZL15" s="122"/>
      <c r="SZM15" s="122"/>
      <c r="SZN15" s="122"/>
      <c r="SZO15" s="122"/>
      <c r="SZP15" s="122"/>
      <c r="SZQ15" s="122"/>
      <c r="SZR15" s="122"/>
      <c r="SZS15" s="122"/>
      <c r="SZT15" s="122"/>
      <c r="SZU15" s="122"/>
      <c r="SZV15" s="122"/>
      <c r="SZW15" s="122"/>
      <c r="SZX15" s="122"/>
      <c r="SZY15" s="122"/>
      <c r="SZZ15" s="122"/>
      <c r="TAA15" s="122"/>
      <c r="TAB15" s="122"/>
      <c r="TAC15" s="122"/>
      <c r="TAD15" s="122"/>
      <c r="TAE15" s="122"/>
      <c r="TAF15" s="122"/>
      <c r="TAG15" s="122"/>
      <c r="TAH15" s="122"/>
      <c r="TAI15" s="122"/>
      <c r="TAJ15" s="122"/>
      <c r="TAK15" s="122"/>
      <c r="TAL15" s="122"/>
      <c r="TAM15" s="122"/>
      <c r="TAN15" s="122"/>
      <c r="TAO15" s="122"/>
      <c r="TAP15" s="122"/>
      <c r="TAQ15" s="122"/>
      <c r="TAR15" s="122"/>
      <c r="TAS15" s="122"/>
      <c r="TAT15" s="122"/>
      <c r="TAU15" s="122"/>
      <c r="TAV15" s="122"/>
      <c r="TAW15" s="122"/>
      <c r="TAX15" s="122"/>
      <c r="TAY15" s="122"/>
      <c r="TAZ15" s="122"/>
      <c r="TBA15" s="122"/>
      <c r="TBB15" s="122"/>
      <c r="TBC15" s="122"/>
      <c r="TBD15" s="122"/>
      <c r="TBE15" s="122"/>
      <c r="TBF15" s="122"/>
      <c r="TBG15" s="122"/>
      <c r="TBH15" s="122"/>
      <c r="TBI15" s="122"/>
      <c r="TBJ15" s="122"/>
      <c r="TBK15" s="122"/>
      <c r="TBL15" s="122"/>
      <c r="TBM15" s="122"/>
      <c r="TBN15" s="122"/>
      <c r="TBO15" s="122"/>
      <c r="TBP15" s="122"/>
      <c r="TBQ15" s="122"/>
      <c r="TBR15" s="122"/>
      <c r="TBS15" s="122"/>
      <c r="TBT15" s="122"/>
      <c r="TBU15" s="122"/>
      <c r="TBV15" s="122"/>
      <c r="TBW15" s="122"/>
      <c r="TBX15" s="122"/>
      <c r="TBY15" s="122"/>
      <c r="TBZ15" s="122"/>
      <c r="TCA15" s="122"/>
      <c r="TCB15" s="122"/>
      <c r="TCC15" s="122"/>
      <c r="TCD15" s="122"/>
      <c r="TCE15" s="122"/>
      <c r="TCF15" s="122"/>
      <c r="TCG15" s="122"/>
      <c r="TCH15" s="122"/>
      <c r="TCI15" s="122"/>
      <c r="TCJ15" s="122"/>
      <c r="TCK15" s="122"/>
      <c r="TCL15" s="122"/>
      <c r="TCM15" s="122"/>
      <c r="TCN15" s="122"/>
      <c r="TCO15" s="122"/>
      <c r="TCP15" s="122"/>
      <c r="TCQ15" s="122"/>
      <c r="TCR15" s="122"/>
      <c r="TCS15" s="122"/>
      <c r="TCT15" s="122"/>
      <c r="TCU15" s="122"/>
      <c r="TCV15" s="122"/>
      <c r="TCW15" s="122"/>
      <c r="TCX15" s="122"/>
      <c r="TCY15" s="122"/>
      <c r="TCZ15" s="122"/>
      <c r="TDA15" s="122"/>
      <c r="TDB15" s="122"/>
      <c r="TDC15" s="122"/>
      <c r="TDD15" s="122"/>
      <c r="TDE15" s="122"/>
      <c r="TDF15" s="122"/>
      <c r="TDG15" s="122"/>
      <c r="TDH15" s="122"/>
      <c r="TDI15" s="122"/>
      <c r="TDJ15" s="122"/>
      <c r="TDK15" s="122"/>
      <c r="TDL15" s="122"/>
      <c r="TDM15" s="122"/>
      <c r="TDN15" s="122"/>
      <c r="TDO15" s="122"/>
      <c r="TDP15" s="122"/>
      <c r="TDQ15" s="122"/>
      <c r="TDR15" s="122"/>
      <c r="TDS15" s="122"/>
      <c r="TDT15" s="122"/>
      <c r="TDU15" s="122"/>
      <c r="TDV15" s="122"/>
      <c r="TDW15" s="122"/>
      <c r="TDX15" s="122"/>
      <c r="TDY15" s="122"/>
      <c r="TDZ15" s="122"/>
      <c r="TEA15" s="122"/>
      <c r="TEB15" s="122"/>
      <c r="TEC15" s="122"/>
      <c r="TED15" s="122"/>
      <c r="TEE15" s="122"/>
      <c r="TEF15" s="122"/>
      <c r="TEG15" s="122"/>
      <c r="TEH15" s="122"/>
      <c r="TEI15" s="122"/>
      <c r="TEJ15" s="122"/>
      <c r="TEK15" s="122"/>
      <c r="TEL15" s="122"/>
      <c r="TEM15" s="122"/>
      <c r="TEN15" s="122"/>
      <c r="TEO15" s="122"/>
      <c r="TEP15" s="122"/>
      <c r="TEQ15" s="122"/>
      <c r="TER15" s="122"/>
      <c r="TES15" s="122"/>
      <c r="TET15" s="122"/>
      <c r="TEU15" s="122"/>
      <c r="TEV15" s="122"/>
      <c r="TEW15" s="122"/>
      <c r="TEX15" s="122"/>
      <c r="TEY15" s="122"/>
      <c r="TEZ15" s="122"/>
      <c r="TFA15" s="122"/>
      <c r="TFB15" s="122"/>
      <c r="TFC15" s="122"/>
      <c r="TFD15" s="122"/>
      <c r="TFE15" s="122"/>
      <c r="TFF15" s="122"/>
      <c r="TFG15" s="122"/>
      <c r="TFH15" s="122"/>
      <c r="TFI15" s="122"/>
      <c r="TFJ15" s="122"/>
      <c r="TFK15" s="122"/>
      <c r="TFL15" s="122"/>
      <c r="TFM15" s="122"/>
      <c r="TFN15" s="122"/>
      <c r="TFO15" s="122"/>
      <c r="TFP15" s="122"/>
      <c r="TFQ15" s="122"/>
      <c r="TFR15" s="122"/>
      <c r="TFS15" s="122"/>
      <c r="TFT15" s="122"/>
      <c r="TFU15" s="122"/>
      <c r="TFV15" s="122"/>
      <c r="TFW15" s="122"/>
      <c r="TFX15" s="122"/>
      <c r="TFY15" s="122"/>
      <c r="TFZ15" s="122"/>
      <c r="TGA15" s="122"/>
      <c r="TGB15" s="122"/>
      <c r="TGC15" s="122"/>
      <c r="TGD15" s="122"/>
      <c r="TGE15" s="122"/>
      <c r="TGF15" s="122"/>
      <c r="TGG15" s="122"/>
      <c r="TGH15" s="122"/>
      <c r="TGI15" s="122"/>
      <c r="TGJ15" s="122"/>
      <c r="TGK15" s="122"/>
      <c r="TGL15" s="122"/>
      <c r="TGM15" s="122"/>
      <c r="TGN15" s="122"/>
      <c r="TGO15" s="122"/>
      <c r="TGP15" s="122"/>
      <c r="TGQ15" s="122"/>
      <c r="TGR15" s="122"/>
      <c r="TGS15" s="122"/>
      <c r="TGT15" s="122"/>
      <c r="TGU15" s="122"/>
      <c r="TGV15" s="122"/>
      <c r="TGW15" s="122"/>
      <c r="TGX15" s="122"/>
      <c r="TGY15" s="122"/>
      <c r="TGZ15" s="122"/>
      <c r="THA15" s="122"/>
      <c r="THB15" s="122"/>
      <c r="THC15" s="122"/>
      <c r="THD15" s="122"/>
      <c r="THE15" s="122"/>
      <c r="THF15" s="122"/>
      <c r="THG15" s="122"/>
      <c r="THH15" s="122"/>
      <c r="THI15" s="122"/>
      <c r="THJ15" s="122"/>
      <c r="THK15" s="122"/>
      <c r="THL15" s="122"/>
      <c r="THM15" s="122"/>
      <c r="THN15" s="122"/>
      <c r="THO15" s="122"/>
      <c r="THP15" s="122"/>
      <c r="THQ15" s="122"/>
      <c r="THR15" s="122"/>
      <c r="THS15" s="122"/>
      <c r="THT15" s="122"/>
      <c r="THU15" s="122"/>
      <c r="THV15" s="122"/>
      <c r="THW15" s="122"/>
      <c r="THX15" s="122"/>
      <c r="THY15" s="122"/>
      <c r="THZ15" s="122"/>
      <c r="TIA15" s="122"/>
      <c r="TIB15" s="122"/>
      <c r="TIC15" s="122"/>
      <c r="TID15" s="122"/>
      <c r="TIE15" s="122"/>
      <c r="TIF15" s="122"/>
      <c r="TIG15" s="122"/>
      <c r="TIH15" s="122"/>
      <c r="TII15" s="122"/>
      <c r="TIJ15" s="122"/>
      <c r="TIK15" s="122"/>
      <c r="TIL15" s="122"/>
      <c r="TIM15" s="122"/>
      <c r="TIN15" s="122"/>
      <c r="TIO15" s="122"/>
      <c r="TIP15" s="122"/>
      <c r="TIQ15" s="122"/>
      <c r="TIR15" s="122"/>
      <c r="TIS15" s="122"/>
      <c r="TIT15" s="122"/>
      <c r="TIU15" s="122"/>
      <c r="TIV15" s="122"/>
      <c r="TIW15" s="122"/>
      <c r="TIX15" s="122"/>
      <c r="TIY15" s="122"/>
      <c r="TIZ15" s="122"/>
      <c r="TJA15" s="122"/>
      <c r="TJB15" s="122"/>
      <c r="TJC15" s="122"/>
      <c r="TJD15" s="122"/>
      <c r="TJE15" s="122"/>
      <c r="TJF15" s="122"/>
      <c r="TJG15" s="122"/>
      <c r="TJH15" s="122"/>
      <c r="TJI15" s="122"/>
      <c r="TJJ15" s="122"/>
      <c r="TJK15" s="122"/>
      <c r="TJL15" s="122"/>
      <c r="TJM15" s="122"/>
      <c r="TJN15" s="122"/>
      <c r="TJO15" s="122"/>
      <c r="TJP15" s="122"/>
      <c r="TJQ15" s="122"/>
      <c r="TJR15" s="122"/>
      <c r="TJS15" s="122"/>
      <c r="TJT15" s="122"/>
      <c r="TJU15" s="122"/>
      <c r="TJV15" s="122"/>
      <c r="TJW15" s="122"/>
      <c r="TJX15" s="122"/>
      <c r="TJY15" s="122"/>
      <c r="TJZ15" s="122"/>
      <c r="TKA15" s="122"/>
      <c r="TKB15" s="122"/>
      <c r="TKC15" s="122"/>
      <c r="TKD15" s="122"/>
      <c r="TKE15" s="122"/>
      <c r="TKF15" s="122"/>
      <c r="TKG15" s="122"/>
      <c r="TKH15" s="122"/>
      <c r="TKI15" s="122"/>
      <c r="TKJ15" s="122"/>
      <c r="TKK15" s="122"/>
      <c r="TKL15" s="122"/>
      <c r="TKM15" s="122"/>
      <c r="TKN15" s="122"/>
      <c r="TKO15" s="122"/>
      <c r="TKP15" s="122"/>
      <c r="TKQ15" s="122"/>
      <c r="TKR15" s="122"/>
      <c r="TKS15" s="122"/>
      <c r="TKT15" s="122"/>
      <c r="TKU15" s="122"/>
      <c r="TKV15" s="122"/>
      <c r="TKW15" s="122"/>
      <c r="TKX15" s="122"/>
      <c r="TKY15" s="122"/>
      <c r="TKZ15" s="122"/>
      <c r="TLA15" s="122"/>
      <c r="TLB15" s="122"/>
      <c r="TLC15" s="122"/>
      <c r="TLD15" s="122"/>
      <c r="TLE15" s="122"/>
      <c r="TLF15" s="122"/>
      <c r="TLG15" s="122"/>
      <c r="TLH15" s="122"/>
      <c r="TLI15" s="122"/>
      <c r="TLJ15" s="122"/>
      <c r="TLK15" s="122"/>
      <c r="TLL15" s="122"/>
      <c r="TLM15" s="122"/>
      <c r="TLN15" s="122"/>
      <c r="TLO15" s="122"/>
      <c r="TLP15" s="122"/>
      <c r="TLQ15" s="122"/>
      <c r="TLR15" s="122"/>
      <c r="TLS15" s="122"/>
      <c r="TLT15" s="122"/>
      <c r="TLU15" s="122"/>
      <c r="TLV15" s="122"/>
      <c r="TLW15" s="122"/>
      <c r="TLX15" s="122"/>
      <c r="TLY15" s="122"/>
      <c r="TLZ15" s="122"/>
      <c r="TMA15" s="122"/>
      <c r="TMB15" s="122"/>
      <c r="TMC15" s="122"/>
      <c r="TMD15" s="122"/>
      <c r="TME15" s="122"/>
      <c r="TMF15" s="122"/>
      <c r="TMG15" s="122"/>
      <c r="TMH15" s="122"/>
      <c r="TMI15" s="122"/>
      <c r="TMJ15" s="122"/>
      <c r="TMK15" s="122"/>
      <c r="TML15" s="122"/>
      <c r="TMM15" s="122"/>
      <c r="TMN15" s="122"/>
      <c r="TMO15" s="122"/>
      <c r="TMP15" s="122"/>
      <c r="TMQ15" s="122"/>
      <c r="TMR15" s="122"/>
      <c r="TMS15" s="122"/>
      <c r="TMT15" s="122"/>
      <c r="TMU15" s="122"/>
      <c r="TMV15" s="122"/>
      <c r="TMW15" s="122"/>
      <c r="TMX15" s="122"/>
      <c r="TMY15" s="122"/>
      <c r="TMZ15" s="122"/>
      <c r="TNA15" s="122"/>
      <c r="TNB15" s="122"/>
      <c r="TNC15" s="122"/>
      <c r="TND15" s="122"/>
      <c r="TNE15" s="122"/>
      <c r="TNF15" s="122"/>
      <c r="TNG15" s="122"/>
      <c r="TNH15" s="122"/>
      <c r="TNI15" s="122"/>
      <c r="TNJ15" s="122"/>
      <c r="TNK15" s="122"/>
      <c r="TNL15" s="122"/>
      <c r="TNM15" s="122"/>
      <c r="TNN15" s="122"/>
      <c r="TNO15" s="122"/>
      <c r="TNP15" s="122"/>
      <c r="TNQ15" s="122"/>
      <c r="TNR15" s="122"/>
      <c r="TNS15" s="122"/>
      <c r="TNT15" s="122"/>
      <c r="TNU15" s="122"/>
      <c r="TNV15" s="122"/>
      <c r="TNW15" s="122"/>
      <c r="TNX15" s="122"/>
      <c r="TNY15" s="122"/>
      <c r="TNZ15" s="122"/>
      <c r="TOA15" s="122"/>
      <c r="TOB15" s="122"/>
      <c r="TOC15" s="122"/>
      <c r="TOD15" s="122"/>
      <c r="TOE15" s="122"/>
      <c r="TOF15" s="122"/>
      <c r="TOG15" s="122"/>
      <c r="TOH15" s="122"/>
      <c r="TOI15" s="122"/>
      <c r="TOJ15" s="122"/>
      <c r="TOK15" s="122"/>
      <c r="TOL15" s="122"/>
      <c r="TOM15" s="122"/>
      <c r="TON15" s="122"/>
      <c r="TOO15" s="122"/>
      <c r="TOP15" s="122"/>
      <c r="TOQ15" s="122"/>
      <c r="TOR15" s="122"/>
      <c r="TOS15" s="122"/>
      <c r="TOT15" s="122"/>
      <c r="TOU15" s="122"/>
      <c r="TOV15" s="122"/>
      <c r="TOW15" s="122"/>
      <c r="TOX15" s="122"/>
      <c r="TOY15" s="122"/>
      <c r="TOZ15" s="122"/>
      <c r="TPA15" s="122"/>
      <c r="TPB15" s="122"/>
      <c r="TPC15" s="122"/>
      <c r="TPD15" s="122"/>
      <c r="TPE15" s="122"/>
      <c r="TPF15" s="122"/>
      <c r="TPG15" s="122"/>
      <c r="TPH15" s="122"/>
      <c r="TPI15" s="122"/>
      <c r="TPJ15" s="122"/>
      <c r="TPK15" s="122"/>
      <c r="TPL15" s="122"/>
      <c r="TPM15" s="122"/>
      <c r="TPN15" s="122"/>
      <c r="TPO15" s="122"/>
      <c r="TPP15" s="122"/>
      <c r="TPQ15" s="122"/>
      <c r="TPR15" s="122"/>
      <c r="TPS15" s="122"/>
      <c r="TPT15" s="122"/>
      <c r="TPU15" s="122"/>
      <c r="TPV15" s="122"/>
      <c r="TPW15" s="122"/>
      <c r="TPX15" s="122"/>
      <c r="TPY15" s="122"/>
      <c r="TPZ15" s="122"/>
      <c r="TQA15" s="122"/>
      <c r="TQB15" s="122"/>
      <c r="TQC15" s="122"/>
      <c r="TQD15" s="122"/>
      <c r="TQE15" s="122"/>
      <c r="TQF15" s="122"/>
      <c r="TQG15" s="122"/>
      <c r="TQH15" s="122"/>
      <c r="TQI15" s="122"/>
      <c r="TQJ15" s="122"/>
      <c r="TQK15" s="122"/>
      <c r="TQL15" s="122"/>
      <c r="TQM15" s="122"/>
      <c r="TQN15" s="122"/>
      <c r="TQO15" s="122"/>
      <c r="TQP15" s="122"/>
      <c r="TQQ15" s="122"/>
      <c r="TQR15" s="122"/>
      <c r="TQS15" s="122"/>
      <c r="TQT15" s="122"/>
      <c r="TQU15" s="122"/>
      <c r="TQV15" s="122"/>
      <c r="TQW15" s="122"/>
      <c r="TQX15" s="122"/>
      <c r="TQY15" s="122"/>
      <c r="TQZ15" s="122"/>
      <c r="TRA15" s="122"/>
      <c r="TRB15" s="122"/>
      <c r="TRC15" s="122"/>
      <c r="TRD15" s="122"/>
      <c r="TRE15" s="122"/>
      <c r="TRF15" s="122"/>
      <c r="TRG15" s="122"/>
      <c r="TRH15" s="122"/>
      <c r="TRI15" s="122"/>
      <c r="TRJ15" s="122"/>
      <c r="TRK15" s="122"/>
      <c r="TRL15" s="122"/>
      <c r="TRM15" s="122"/>
      <c r="TRN15" s="122"/>
      <c r="TRO15" s="122"/>
      <c r="TRP15" s="122"/>
      <c r="TRQ15" s="122"/>
      <c r="TRR15" s="122"/>
      <c r="TRS15" s="122"/>
      <c r="TRT15" s="122"/>
      <c r="TRU15" s="122"/>
      <c r="TRV15" s="122"/>
      <c r="TRW15" s="122"/>
      <c r="TRX15" s="122"/>
      <c r="TRY15" s="122"/>
      <c r="TRZ15" s="122"/>
      <c r="TSA15" s="122"/>
      <c r="TSB15" s="122"/>
      <c r="TSC15" s="122"/>
      <c r="TSD15" s="122"/>
      <c r="TSE15" s="122"/>
      <c r="TSF15" s="122"/>
      <c r="TSG15" s="122"/>
      <c r="TSH15" s="122"/>
      <c r="TSI15" s="122"/>
      <c r="TSJ15" s="122"/>
      <c r="TSK15" s="122"/>
      <c r="TSL15" s="122"/>
      <c r="TSM15" s="122"/>
      <c r="TSN15" s="122"/>
      <c r="TSO15" s="122"/>
      <c r="TSP15" s="122"/>
      <c r="TSQ15" s="122"/>
      <c r="TSR15" s="122"/>
      <c r="TSS15" s="122"/>
      <c r="TST15" s="122"/>
      <c r="TSU15" s="122"/>
      <c r="TSV15" s="122"/>
      <c r="TSW15" s="122"/>
      <c r="TSX15" s="122"/>
      <c r="TSY15" s="122"/>
      <c r="TSZ15" s="122"/>
      <c r="TTA15" s="122"/>
      <c r="TTB15" s="122"/>
      <c r="TTC15" s="122"/>
      <c r="TTD15" s="122"/>
      <c r="TTE15" s="122"/>
      <c r="TTF15" s="122"/>
      <c r="TTG15" s="122"/>
      <c r="TTH15" s="122"/>
      <c r="TTI15" s="122"/>
      <c r="TTJ15" s="122"/>
      <c r="TTK15" s="122"/>
      <c r="TTL15" s="122"/>
      <c r="TTM15" s="122"/>
      <c r="TTN15" s="122"/>
      <c r="TTO15" s="122"/>
      <c r="TTP15" s="122"/>
      <c r="TTQ15" s="122"/>
      <c r="TTR15" s="122"/>
      <c r="TTS15" s="122"/>
      <c r="TTT15" s="122"/>
      <c r="TTU15" s="122"/>
      <c r="TTV15" s="122"/>
      <c r="TTW15" s="122"/>
      <c r="TTX15" s="122"/>
      <c r="TTY15" s="122"/>
      <c r="TTZ15" s="122"/>
      <c r="TUA15" s="122"/>
      <c r="TUB15" s="122"/>
      <c r="TUC15" s="122"/>
      <c r="TUD15" s="122"/>
      <c r="TUE15" s="122"/>
      <c r="TUF15" s="122"/>
      <c r="TUG15" s="122"/>
      <c r="TUH15" s="122"/>
      <c r="TUI15" s="122"/>
      <c r="TUJ15" s="122"/>
      <c r="TUK15" s="122"/>
      <c r="TUL15" s="122"/>
      <c r="TUM15" s="122"/>
      <c r="TUN15" s="122"/>
      <c r="TUO15" s="122"/>
      <c r="TUP15" s="122"/>
      <c r="TUQ15" s="122"/>
      <c r="TUR15" s="122"/>
      <c r="TUS15" s="122"/>
      <c r="TUT15" s="122"/>
      <c r="TUU15" s="122"/>
      <c r="TUV15" s="122"/>
      <c r="TUW15" s="122"/>
      <c r="TUX15" s="122"/>
      <c r="TUY15" s="122"/>
      <c r="TUZ15" s="122"/>
      <c r="TVA15" s="122"/>
      <c r="TVB15" s="122"/>
      <c r="TVC15" s="122"/>
      <c r="TVD15" s="122"/>
      <c r="TVE15" s="122"/>
      <c r="TVF15" s="122"/>
      <c r="TVG15" s="122"/>
      <c r="TVH15" s="122"/>
      <c r="TVI15" s="122"/>
      <c r="TVJ15" s="122"/>
      <c r="TVK15" s="122"/>
      <c r="TVL15" s="122"/>
      <c r="TVM15" s="122"/>
      <c r="TVN15" s="122"/>
      <c r="TVO15" s="122"/>
      <c r="TVP15" s="122"/>
      <c r="TVQ15" s="122"/>
      <c r="TVR15" s="122"/>
      <c r="TVS15" s="122"/>
      <c r="TVT15" s="122"/>
      <c r="TVU15" s="122"/>
      <c r="TVV15" s="122"/>
      <c r="TVW15" s="122"/>
      <c r="TVX15" s="122"/>
      <c r="TVY15" s="122"/>
      <c r="TVZ15" s="122"/>
      <c r="TWA15" s="122"/>
      <c r="TWB15" s="122"/>
      <c r="TWC15" s="122"/>
      <c r="TWD15" s="122"/>
      <c r="TWE15" s="122"/>
      <c r="TWF15" s="122"/>
      <c r="TWG15" s="122"/>
      <c r="TWH15" s="122"/>
      <c r="TWI15" s="122"/>
      <c r="TWJ15" s="122"/>
      <c r="TWK15" s="122"/>
      <c r="TWL15" s="122"/>
      <c r="TWM15" s="122"/>
      <c r="TWN15" s="122"/>
      <c r="TWO15" s="122"/>
      <c r="TWP15" s="122"/>
      <c r="TWQ15" s="122"/>
      <c r="TWR15" s="122"/>
      <c r="TWS15" s="122"/>
      <c r="TWT15" s="122"/>
      <c r="TWU15" s="122"/>
      <c r="TWV15" s="122"/>
      <c r="TWW15" s="122"/>
      <c r="TWX15" s="122"/>
      <c r="TWY15" s="122"/>
      <c r="TWZ15" s="122"/>
      <c r="TXA15" s="122"/>
      <c r="TXB15" s="122"/>
      <c r="TXC15" s="122"/>
      <c r="TXD15" s="122"/>
      <c r="TXE15" s="122"/>
      <c r="TXF15" s="122"/>
      <c r="TXG15" s="122"/>
      <c r="TXH15" s="122"/>
      <c r="TXI15" s="122"/>
      <c r="TXJ15" s="122"/>
      <c r="TXK15" s="122"/>
      <c r="TXL15" s="122"/>
      <c r="TXM15" s="122"/>
      <c r="TXN15" s="122"/>
      <c r="TXO15" s="122"/>
      <c r="TXP15" s="122"/>
      <c r="TXQ15" s="122"/>
      <c r="TXR15" s="122"/>
      <c r="TXS15" s="122"/>
      <c r="TXT15" s="122"/>
      <c r="TXU15" s="122"/>
      <c r="TXV15" s="122"/>
      <c r="TXW15" s="122"/>
      <c r="TXX15" s="122"/>
      <c r="TXY15" s="122"/>
      <c r="TXZ15" s="122"/>
      <c r="TYA15" s="122"/>
      <c r="TYB15" s="122"/>
      <c r="TYC15" s="122"/>
      <c r="TYD15" s="122"/>
      <c r="TYE15" s="122"/>
      <c r="TYF15" s="122"/>
      <c r="TYG15" s="122"/>
      <c r="TYH15" s="122"/>
      <c r="TYI15" s="122"/>
      <c r="TYJ15" s="122"/>
      <c r="TYK15" s="122"/>
      <c r="TYL15" s="122"/>
      <c r="TYM15" s="122"/>
      <c r="TYN15" s="122"/>
      <c r="TYO15" s="122"/>
      <c r="TYP15" s="122"/>
      <c r="TYQ15" s="122"/>
      <c r="TYR15" s="122"/>
      <c r="TYS15" s="122"/>
      <c r="TYT15" s="122"/>
      <c r="TYU15" s="122"/>
      <c r="TYV15" s="122"/>
      <c r="TYW15" s="122"/>
      <c r="TYX15" s="122"/>
      <c r="TYY15" s="122"/>
      <c r="TYZ15" s="122"/>
      <c r="TZA15" s="122"/>
      <c r="TZB15" s="122"/>
      <c r="TZC15" s="122"/>
      <c r="TZD15" s="122"/>
      <c r="TZE15" s="122"/>
      <c r="TZF15" s="122"/>
      <c r="TZG15" s="122"/>
      <c r="TZH15" s="122"/>
      <c r="TZI15" s="122"/>
      <c r="TZJ15" s="122"/>
      <c r="TZK15" s="122"/>
      <c r="TZL15" s="122"/>
      <c r="TZM15" s="122"/>
      <c r="TZN15" s="122"/>
      <c r="TZO15" s="122"/>
      <c r="TZP15" s="122"/>
      <c r="TZQ15" s="122"/>
      <c r="TZR15" s="122"/>
      <c r="TZS15" s="122"/>
      <c r="TZT15" s="122"/>
      <c r="TZU15" s="122"/>
      <c r="TZV15" s="122"/>
      <c r="TZW15" s="122"/>
      <c r="TZX15" s="122"/>
      <c r="TZY15" s="122"/>
      <c r="TZZ15" s="122"/>
      <c r="UAA15" s="122"/>
      <c r="UAB15" s="122"/>
      <c r="UAC15" s="122"/>
      <c r="UAD15" s="122"/>
      <c r="UAE15" s="122"/>
      <c r="UAF15" s="122"/>
      <c r="UAG15" s="122"/>
      <c r="UAH15" s="122"/>
      <c r="UAI15" s="122"/>
      <c r="UAJ15" s="122"/>
      <c r="UAK15" s="122"/>
      <c r="UAL15" s="122"/>
      <c r="UAM15" s="122"/>
      <c r="UAN15" s="122"/>
      <c r="UAO15" s="122"/>
      <c r="UAP15" s="122"/>
      <c r="UAQ15" s="122"/>
      <c r="UAR15" s="122"/>
      <c r="UAS15" s="122"/>
      <c r="UAT15" s="122"/>
      <c r="UAU15" s="122"/>
      <c r="UAV15" s="122"/>
      <c r="UAW15" s="122"/>
      <c r="UAX15" s="122"/>
      <c r="UAY15" s="122"/>
      <c r="UAZ15" s="122"/>
      <c r="UBA15" s="122"/>
      <c r="UBB15" s="122"/>
      <c r="UBC15" s="122"/>
      <c r="UBD15" s="122"/>
      <c r="UBE15" s="122"/>
      <c r="UBF15" s="122"/>
      <c r="UBG15" s="122"/>
      <c r="UBH15" s="122"/>
      <c r="UBI15" s="122"/>
      <c r="UBJ15" s="122"/>
      <c r="UBK15" s="122"/>
      <c r="UBL15" s="122"/>
      <c r="UBM15" s="122"/>
      <c r="UBN15" s="122"/>
      <c r="UBO15" s="122"/>
      <c r="UBP15" s="122"/>
      <c r="UBQ15" s="122"/>
      <c r="UBR15" s="122"/>
      <c r="UBS15" s="122"/>
      <c r="UBT15" s="122"/>
      <c r="UBU15" s="122"/>
      <c r="UBV15" s="122"/>
      <c r="UBW15" s="122"/>
      <c r="UBX15" s="122"/>
      <c r="UBY15" s="122"/>
      <c r="UBZ15" s="122"/>
      <c r="UCA15" s="122"/>
      <c r="UCB15" s="122"/>
      <c r="UCC15" s="122"/>
      <c r="UCD15" s="122"/>
      <c r="UCE15" s="122"/>
      <c r="UCF15" s="122"/>
      <c r="UCG15" s="122"/>
      <c r="UCH15" s="122"/>
      <c r="UCI15" s="122"/>
      <c r="UCJ15" s="122"/>
      <c r="UCK15" s="122"/>
      <c r="UCL15" s="122"/>
      <c r="UCM15" s="122"/>
      <c r="UCN15" s="122"/>
      <c r="UCO15" s="122"/>
      <c r="UCP15" s="122"/>
      <c r="UCQ15" s="122"/>
      <c r="UCR15" s="122"/>
      <c r="UCS15" s="122"/>
      <c r="UCT15" s="122"/>
      <c r="UCU15" s="122"/>
      <c r="UCV15" s="122"/>
      <c r="UCW15" s="122"/>
      <c r="UCX15" s="122"/>
      <c r="UCY15" s="122"/>
      <c r="UCZ15" s="122"/>
      <c r="UDA15" s="122"/>
      <c r="UDB15" s="122"/>
      <c r="UDC15" s="122"/>
      <c r="UDD15" s="122"/>
      <c r="UDE15" s="122"/>
      <c r="UDF15" s="122"/>
      <c r="UDG15" s="122"/>
      <c r="UDH15" s="122"/>
      <c r="UDI15" s="122"/>
      <c r="UDJ15" s="122"/>
      <c r="UDK15" s="122"/>
      <c r="UDL15" s="122"/>
      <c r="UDM15" s="122"/>
      <c r="UDN15" s="122"/>
      <c r="UDO15" s="122"/>
      <c r="UDP15" s="122"/>
      <c r="UDQ15" s="122"/>
      <c r="UDR15" s="122"/>
      <c r="UDS15" s="122"/>
      <c r="UDT15" s="122"/>
      <c r="UDU15" s="122"/>
      <c r="UDV15" s="122"/>
      <c r="UDW15" s="122"/>
      <c r="UDX15" s="122"/>
      <c r="UDY15" s="122"/>
      <c r="UDZ15" s="122"/>
      <c r="UEA15" s="122"/>
      <c r="UEB15" s="122"/>
      <c r="UEC15" s="122"/>
      <c r="UED15" s="122"/>
      <c r="UEE15" s="122"/>
      <c r="UEF15" s="122"/>
      <c r="UEG15" s="122"/>
      <c r="UEH15" s="122"/>
      <c r="UEI15" s="122"/>
      <c r="UEJ15" s="122"/>
      <c r="UEK15" s="122"/>
      <c r="UEL15" s="122"/>
      <c r="UEM15" s="122"/>
      <c r="UEN15" s="122"/>
      <c r="UEO15" s="122"/>
      <c r="UEP15" s="122"/>
      <c r="UEQ15" s="122"/>
      <c r="UER15" s="122"/>
      <c r="UES15" s="122"/>
      <c r="UET15" s="122"/>
      <c r="UEU15" s="122"/>
      <c r="UEV15" s="122"/>
      <c r="UEW15" s="122"/>
      <c r="UEX15" s="122"/>
      <c r="UEY15" s="122"/>
      <c r="UEZ15" s="122"/>
      <c r="UFA15" s="122"/>
      <c r="UFB15" s="122"/>
      <c r="UFC15" s="122"/>
      <c r="UFD15" s="122"/>
      <c r="UFE15" s="122"/>
      <c r="UFF15" s="122"/>
      <c r="UFG15" s="122"/>
      <c r="UFH15" s="122"/>
      <c r="UFI15" s="122"/>
      <c r="UFJ15" s="122"/>
      <c r="UFK15" s="122"/>
      <c r="UFL15" s="122"/>
      <c r="UFM15" s="122"/>
      <c r="UFN15" s="122"/>
      <c r="UFO15" s="122"/>
      <c r="UFP15" s="122"/>
      <c r="UFQ15" s="122"/>
      <c r="UFR15" s="122"/>
      <c r="UFS15" s="122"/>
      <c r="UFT15" s="122"/>
      <c r="UFU15" s="122"/>
      <c r="UFV15" s="122"/>
      <c r="UFW15" s="122"/>
      <c r="UFX15" s="122"/>
      <c r="UFY15" s="122"/>
      <c r="UFZ15" s="122"/>
      <c r="UGA15" s="122"/>
      <c r="UGB15" s="122"/>
      <c r="UGC15" s="122"/>
      <c r="UGD15" s="122"/>
      <c r="UGE15" s="122"/>
      <c r="UGF15" s="122"/>
      <c r="UGG15" s="122"/>
      <c r="UGH15" s="122"/>
      <c r="UGI15" s="122"/>
      <c r="UGJ15" s="122"/>
      <c r="UGK15" s="122"/>
      <c r="UGL15" s="122"/>
      <c r="UGM15" s="122"/>
      <c r="UGN15" s="122"/>
      <c r="UGO15" s="122"/>
      <c r="UGP15" s="122"/>
      <c r="UGQ15" s="122"/>
      <c r="UGR15" s="122"/>
      <c r="UGS15" s="122"/>
      <c r="UGT15" s="122"/>
      <c r="UGU15" s="122"/>
      <c r="UGV15" s="122"/>
      <c r="UGW15" s="122"/>
      <c r="UGX15" s="122"/>
      <c r="UGY15" s="122"/>
      <c r="UGZ15" s="122"/>
      <c r="UHA15" s="122"/>
      <c r="UHB15" s="122"/>
      <c r="UHC15" s="122"/>
      <c r="UHD15" s="122"/>
      <c r="UHE15" s="122"/>
      <c r="UHF15" s="122"/>
      <c r="UHG15" s="122"/>
      <c r="UHH15" s="122"/>
      <c r="UHI15" s="122"/>
      <c r="UHJ15" s="122"/>
      <c r="UHK15" s="122"/>
      <c r="UHL15" s="122"/>
      <c r="UHM15" s="122"/>
      <c r="UHN15" s="122"/>
      <c r="UHO15" s="122"/>
      <c r="UHP15" s="122"/>
      <c r="UHQ15" s="122"/>
      <c r="UHR15" s="122"/>
      <c r="UHS15" s="122"/>
      <c r="UHT15" s="122"/>
      <c r="UHU15" s="122"/>
      <c r="UHV15" s="122"/>
      <c r="UHW15" s="122"/>
      <c r="UHX15" s="122"/>
      <c r="UHY15" s="122"/>
      <c r="UHZ15" s="122"/>
      <c r="UIA15" s="122"/>
      <c r="UIB15" s="122"/>
      <c r="UIC15" s="122"/>
      <c r="UID15" s="122"/>
      <c r="UIE15" s="122"/>
      <c r="UIF15" s="122"/>
      <c r="UIG15" s="122"/>
      <c r="UIH15" s="122"/>
      <c r="UII15" s="122"/>
      <c r="UIJ15" s="122"/>
      <c r="UIK15" s="122"/>
      <c r="UIL15" s="122"/>
      <c r="UIM15" s="122"/>
      <c r="UIN15" s="122"/>
      <c r="UIO15" s="122"/>
      <c r="UIP15" s="122"/>
      <c r="UIQ15" s="122"/>
      <c r="UIR15" s="122"/>
      <c r="UIS15" s="122"/>
      <c r="UIT15" s="122"/>
      <c r="UIU15" s="122"/>
      <c r="UIV15" s="122"/>
      <c r="UIW15" s="122"/>
      <c r="UIX15" s="122"/>
      <c r="UIY15" s="122"/>
      <c r="UIZ15" s="122"/>
      <c r="UJA15" s="122"/>
      <c r="UJB15" s="122"/>
      <c r="UJC15" s="122"/>
      <c r="UJD15" s="122"/>
      <c r="UJE15" s="122"/>
      <c r="UJF15" s="122"/>
      <c r="UJG15" s="122"/>
      <c r="UJH15" s="122"/>
      <c r="UJI15" s="122"/>
      <c r="UJJ15" s="122"/>
      <c r="UJK15" s="122"/>
      <c r="UJL15" s="122"/>
      <c r="UJM15" s="122"/>
      <c r="UJN15" s="122"/>
      <c r="UJO15" s="122"/>
      <c r="UJP15" s="122"/>
      <c r="UJQ15" s="122"/>
      <c r="UJR15" s="122"/>
      <c r="UJS15" s="122"/>
      <c r="UJT15" s="122"/>
      <c r="UJU15" s="122"/>
      <c r="UJV15" s="122"/>
      <c r="UJW15" s="122"/>
      <c r="UJX15" s="122"/>
      <c r="UJY15" s="122"/>
      <c r="UJZ15" s="122"/>
      <c r="UKA15" s="122"/>
      <c r="UKB15" s="122"/>
      <c r="UKC15" s="122"/>
      <c r="UKD15" s="122"/>
      <c r="UKE15" s="122"/>
      <c r="UKF15" s="122"/>
      <c r="UKG15" s="122"/>
      <c r="UKH15" s="122"/>
      <c r="UKI15" s="122"/>
      <c r="UKJ15" s="122"/>
      <c r="UKK15" s="122"/>
      <c r="UKL15" s="122"/>
      <c r="UKM15" s="122"/>
      <c r="UKN15" s="122"/>
      <c r="UKO15" s="122"/>
      <c r="UKP15" s="122"/>
      <c r="UKQ15" s="122"/>
      <c r="UKR15" s="122"/>
      <c r="UKS15" s="122"/>
      <c r="UKT15" s="122"/>
      <c r="UKU15" s="122"/>
      <c r="UKV15" s="122"/>
      <c r="UKW15" s="122"/>
      <c r="UKX15" s="122"/>
      <c r="UKY15" s="122"/>
      <c r="UKZ15" s="122"/>
      <c r="ULA15" s="122"/>
      <c r="ULB15" s="122"/>
      <c r="ULC15" s="122"/>
      <c r="ULD15" s="122"/>
      <c r="ULE15" s="122"/>
      <c r="ULF15" s="122"/>
      <c r="ULG15" s="122"/>
      <c r="ULH15" s="122"/>
      <c r="ULI15" s="122"/>
      <c r="ULJ15" s="122"/>
      <c r="ULK15" s="122"/>
      <c r="ULL15" s="122"/>
      <c r="ULM15" s="122"/>
      <c r="ULN15" s="122"/>
      <c r="ULO15" s="122"/>
      <c r="ULP15" s="122"/>
      <c r="ULQ15" s="122"/>
      <c r="ULR15" s="122"/>
      <c r="ULS15" s="122"/>
      <c r="ULT15" s="122"/>
      <c r="ULU15" s="122"/>
      <c r="ULV15" s="122"/>
      <c r="ULW15" s="122"/>
      <c r="ULX15" s="122"/>
      <c r="ULY15" s="122"/>
      <c r="ULZ15" s="122"/>
      <c r="UMA15" s="122"/>
      <c r="UMB15" s="122"/>
      <c r="UMC15" s="122"/>
      <c r="UMD15" s="122"/>
      <c r="UME15" s="122"/>
      <c r="UMF15" s="122"/>
      <c r="UMG15" s="122"/>
      <c r="UMH15" s="122"/>
      <c r="UMI15" s="122"/>
      <c r="UMJ15" s="122"/>
      <c r="UMK15" s="122"/>
      <c r="UML15" s="122"/>
      <c r="UMM15" s="122"/>
      <c r="UMN15" s="122"/>
      <c r="UMO15" s="122"/>
      <c r="UMP15" s="122"/>
      <c r="UMQ15" s="122"/>
      <c r="UMR15" s="122"/>
      <c r="UMS15" s="122"/>
      <c r="UMT15" s="122"/>
      <c r="UMU15" s="122"/>
      <c r="UMV15" s="122"/>
      <c r="UMW15" s="122"/>
      <c r="UMX15" s="122"/>
      <c r="UMY15" s="122"/>
      <c r="UMZ15" s="122"/>
      <c r="UNA15" s="122"/>
      <c r="UNB15" s="122"/>
      <c r="UNC15" s="122"/>
      <c r="UND15" s="122"/>
      <c r="UNE15" s="122"/>
      <c r="UNF15" s="122"/>
      <c r="UNG15" s="122"/>
      <c r="UNH15" s="122"/>
      <c r="UNI15" s="122"/>
      <c r="UNJ15" s="122"/>
      <c r="UNK15" s="122"/>
      <c r="UNL15" s="122"/>
      <c r="UNM15" s="122"/>
      <c r="UNN15" s="122"/>
      <c r="UNO15" s="122"/>
      <c r="UNP15" s="122"/>
      <c r="UNQ15" s="122"/>
      <c r="UNR15" s="122"/>
      <c r="UNS15" s="122"/>
      <c r="UNT15" s="122"/>
      <c r="UNU15" s="122"/>
      <c r="UNV15" s="122"/>
      <c r="UNW15" s="122"/>
      <c r="UNX15" s="122"/>
      <c r="UNY15" s="122"/>
      <c r="UNZ15" s="122"/>
      <c r="UOA15" s="122"/>
      <c r="UOB15" s="122"/>
      <c r="UOC15" s="122"/>
      <c r="UOD15" s="122"/>
      <c r="UOE15" s="122"/>
      <c r="UOF15" s="122"/>
      <c r="UOG15" s="122"/>
      <c r="UOH15" s="122"/>
      <c r="UOI15" s="122"/>
      <c r="UOJ15" s="122"/>
      <c r="UOK15" s="122"/>
      <c r="UOL15" s="122"/>
      <c r="UOM15" s="122"/>
      <c r="UON15" s="122"/>
      <c r="UOO15" s="122"/>
      <c r="UOP15" s="122"/>
      <c r="UOQ15" s="122"/>
      <c r="UOR15" s="122"/>
      <c r="UOS15" s="122"/>
      <c r="UOT15" s="122"/>
      <c r="UOU15" s="122"/>
      <c r="UOV15" s="122"/>
      <c r="UOW15" s="122"/>
      <c r="UOX15" s="122"/>
      <c r="UOY15" s="122"/>
      <c r="UOZ15" s="122"/>
      <c r="UPA15" s="122"/>
      <c r="UPB15" s="122"/>
      <c r="UPC15" s="122"/>
      <c r="UPD15" s="122"/>
      <c r="UPE15" s="122"/>
      <c r="UPF15" s="122"/>
      <c r="UPG15" s="122"/>
      <c r="UPH15" s="122"/>
      <c r="UPI15" s="122"/>
      <c r="UPJ15" s="122"/>
      <c r="UPK15" s="122"/>
      <c r="UPL15" s="122"/>
      <c r="UPM15" s="122"/>
      <c r="UPN15" s="122"/>
      <c r="UPO15" s="122"/>
      <c r="UPP15" s="122"/>
      <c r="UPQ15" s="122"/>
      <c r="UPR15" s="122"/>
      <c r="UPS15" s="122"/>
      <c r="UPT15" s="122"/>
      <c r="UPU15" s="122"/>
      <c r="UPV15" s="122"/>
      <c r="UPW15" s="122"/>
      <c r="UPX15" s="122"/>
      <c r="UPY15" s="122"/>
      <c r="UPZ15" s="122"/>
      <c r="UQA15" s="122"/>
      <c r="UQB15" s="122"/>
      <c r="UQC15" s="122"/>
      <c r="UQD15" s="122"/>
      <c r="UQE15" s="122"/>
      <c r="UQF15" s="122"/>
      <c r="UQG15" s="122"/>
      <c r="UQH15" s="122"/>
      <c r="UQI15" s="122"/>
      <c r="UQJ15" s="122"/>
      <c r="UQK15" s="122"/>
      <c r="UQL15" s="122"/>
      <c r="UQM15" s="122"/>
      <c r="UQN15" s="122"/>
      <c r="UQO15" s="122"/>
      <c r="UQP15" s="122"/>
      <c r="UQQ15" s="122"/>
      <c r="UQR15" s="122"/>
      <c r="UQS15" s="122"/>
      <c r="UQT15" s="122"/>
      <c r="UQU15" s="122"/>
      <c r="UQV15" s="122"/>
      <c r="UQW15" s="122"/>
      <c r="UQX15" s="122"/>
      <c r="UQY15" s="122"/>
      <c r="UQZ15" s="122"/>
      <c r="URA15" s="122"/>
      <c r="URB15" s="122"/>
      <c r="URC15" s="122"/>
      <c r="URD15" s="122"/>
      <c r="URE15" s="122"/>
      <c r="URF15" s="122"/>
      <c r="URG15" s="122"/>
      <c r="URH15" s="122"/>
      <c r="URI15" s="122"/>
      <c r="URJ15" s="122"/>
      <c r="URK15" s="122"/>
      <c r="URL15" s="122"/>
      <c r="URM15" s="122"/>
      <c r="URN15" s="122"/>
      <c r="URO15" s="122"/>
      <c r="URP15" s="122"/>
      <c r="URQ15" s="122"/>
      <c r="URR15" s="122"/>
      <c r="URS15" s="122"/>
      <c r="URT15" s="122"/>
      <c r="URU15" s="122"/>
      <c r="URV15" s="122"/>
      <c r="URW15" s="122"/>
      <c r="URX15" s="122"/>
      <c r="URY15" s="122"/>
      <c r="URZ15" s="122"/>
      <c r="USA15" s="122"/>
      <c r="USB15" s="122"/>
      <c r="USC15" s="122"/>
      <c r="USD15" s="122"/>
      <c r="USE15" s="122"/>
      <c r="USF15" s="122"/>
      <c r="USG15" s="122"/>
      <c r="USH15" s="122"/>
      <c r="USI15" s="122"/>
      <c r="USJ15" s="122"/>
      <c r="USK15" s="122"/>
      <c r="USL15" s="122"/>
      <c r="USM15" s="122"/>
      <c r="USN15" s="122"/>
      <c r="USO15" s="122"/>
      <c r="USP15" s="122"/>
      <c r="USQ15" s="122"/>
      <c r="USR15" s="122"/>
      <c r="USS15" s="122"/>
      <c r="UST15" s="122"/>
      <c r="USU15" s="122"/>
      <c r="USV15" s="122"/>
      <c r="USW15" s="122"/>
      <c r="USX15" s="122"/>
      <c r="USY15" s="122"/>
      <c r="USZ15" s="122"/>
      <c r="UTA15" s="122"/>
      <c r="UTB15" s="122"/>
      <c r="UTC15" s="122"/>
      <c r="UTD15" s="122"/>
      <c r="UTE15" s="122"/>
      <c r="UTF15" s="122"/>
      <c r="UTG15" s="122"/>
      <c r="UTH15" s="122"/>
      <c r="UTI15" s="122"/>
      <c r="UTJ15" s="122"/>
      <c r="UTK15" s="122"/>
      <c r="UTL15" s="122"/>
      <c r="UTM15" s="122"/>
      <c r="UTN15" s="122"/>
      <c r="UTO15" s="122"/>
      <c r="UTP15" s="122"/>
      <c r="UTQ15" s="122"/>
      <c r="UTR15" s="122"/>
      <c r="UTS15" s="122"/>
      <c r="UTT15" s="122"/>
      <c r="UTU15" s="122"/>
      <c r="UTV15" s="122"/>
      <c r="UTW15" s="122"/>
      <c r="UTX15" s="122"/>
      <c r="UTY15" s="122"/>
      <c r="UTZ15" s="122"/>
      <c r="UUA15" s="122"/>
      <c r="UUB15" s="122"/>
      <c r="UUC15" s="122"/>
      <c r="UUD15" s="122"/>
      <c r="UUE15" s="122"/>
      <c r="UUF15" s="122"/>
      <c r="UUG15" s="122"/>
      <c r="UUH15" s="122"/>
      <c r="UUI15" s="122"/>
      <c r="UUJ15" s="122"/>
      <c r="UUK15" s="122"/>
      <c r="UUL15" s="122"/>
      <c r="UUM15" s="122"/>
      <c r="UUN15" s="122"/>
      <c r="UUO15" s="122"/>
      <c r="UUP15" s="122"/>
      <c r="UUQ15" s="122"/>
      <c r="UUR15" s="122"/>
      <c r="UUS15" s="122"/>
      <c r="UUT15" s="122"/>
      <c r="UUU15" s="122"/>
      <c r="UUV15" s="122"/>
      <c r="UUW15" s="122"/>
      <c r="UUX15" s="122"/>
      <c r="UUY15" s="122"/>
      <c r="UUZ15" s="122"/>
      <c r="UVA15" s="122"/>
      <c r="UVB15" s="122"/>
      <c r="UVC15" s="122"/>
      <c r="UVD15" s="122"/>
      <c r="UVE15" s="122"/>
      <c r="UVF15" s="122"/>
      <c r="UVG15" s="122"/>
      <c r="UVH15" s="122"/>
      <c r="UVI15" s="122"/>
      <c r="UVJ15" s="122"/>
      <c r="UVK15" s="122"/>
      <c r="UVL15" s="122"/>
      <c r="UVM15" s="122"/>
      <c r="UVN15" s="122"/>
      <c r="UVO15" s="122"/>
      <c r="UVP15" s="122"/>
      <c r="UVQ15" s="122"/>
      <c r="UVR15" s="122"/>
      <c r="UVS15" s="122"/>
      <c r="UVT15" s="122"/>
      <c r="UVU15" s="122"/>
      <c r="UVV15" s="122"/>
      <c r="UVW15" s="122"/>
      <c r="UVX15" s="122"/>
      <c r="UVY15" s="122"/>
      <c r="UVZ15" s="122"/>
      <c r="UWA15" s="122"/>
      <c r="UWB15" s="122"/>
      <c r="UWC15" s="122"/>
      <c r="UWD15" s="122"/>
      <c r="UWE15" s="122"/>
      <c r="UWF15" s="122"/>
      <c r="UWG15" s="122"/>
      <c r="UWH15" s="122"/>
      <c r="UWI15" s="122"/>
      <c r="UWJ15" s="122"/>
      <c r="UWK15" s="122"/>
      <c r="UWL15" s="122"/>
      <c r="UWM15" s="122"/>
      <c r="UWN15" s="122"/>
      <c r="UWO15" s="122"/>
      <c r="UWP15" s="122"/>
      <c r="UWQ15" s="122"/>
      <c r="UWR15" s="122"/>
      <c r="UWS15" s="122"/>
      <c r="UWT15" s="122"/>
      <c r="UWU15" s="122"/>
      <c r="UWV15" s="122"/>
      <c r="UWW15" s="122"/>
      <c r="UWX15" s="122"/>
      <c r="UWY15" s="122"/>
      <c r="UWZ15" s="122"/>
      <c r="UXA15" s="122"/>
      <c r="UXB15" s="122"/>
      <c r="UXC15" s="122"/>
      <c r="UXD15" s="122"/>
      <c r="UXE15" s="122"/>
      <c r="UXF15" s="122"/>
      <c r="UXG15" s="122"/>
      <c r="UXH15" s="122"/>
      <c r="UXI15" s="122"/>
      <c r="UXJ15" s="122"/>
      <c r="UXK15" s="122"/>
      <c r="UXL15" s="122"/>
      <c r="UXM15" s="122"/>
      <c r="UXN15" s="122"/>
      <c r="UXO15" s="122"/>
      <c r="UXP15" s="122"/>
      <c r="UXQ15" s="122"/>
      <c r="UXR15" s="122"/>
      <c r="UXS15" s="122"/>
      <c r="UXT15" s="122"/>
      <c r="UXU15" s="122"/>
      <c r="UXV15" s="122"/>
      <c r="UXW15" s="122"/>
      <c r="UXX15" s="122"/>
      <c r="UXY15" s="122"/>
      <c r="UXZ15" s="122"/>
      <c r="UYA15" s="122"/>
      <c r="UYB15" s="122"/>
      <c r="UYC15" s="122"/>
      <c r="UYD15" s="122"/>
      <c r="UYE15" s="122"/>
      <c r="UYF15" s="122"/>
      <c r="UYG15" s="122"/>
      <c r="UYH15" s="122"/>
      <c r="UYI15" s="122"/>
      <c r="UYJ15" s="122"/>
      <c r="UYK15" s="122"/>
      <c r="UYL15" s="122"/>
      <c r="UYM15" s="122"/>
      <c r="UYN15" s="122"/>
      <c r="UYO15" s="122"/>
      <c r="UYP15" s="122"/>
      <c r="UYQ15" s="122"/>
      <c r="UYR15" s="122"/>
      <c r="UYS15" s="122"/>
      <c r="UYT15" s="122"/>
      <c r="UYU15" s="122"/>
      <c r="UYV15" s="122"/>
      <c r="UYW15" s="122"/>
      <c r="UYX15" s="122"/>
      <c r="UYY15" s="122"/>
      <c r="UYZ15" s="122"/>
      <c r="UZA15" s="122"/>
      <c r="UZB15" s="122"/>
      <c r="UZC15" s="122"/>
      <c r="UZD15" s="122"/>
      <c r="UZE15" s="122"/>
      <c r="UZF15" s="122"/>
      <c r="UZG15" s="122"/>
      <c r="UZH15" s="122"/>
      <c r="UZI15" s="122"/>
      <c r="UZJ15" s="122"/>
      <c r="UZK15" s="122"/>
      <c r="UZL15" s="122"/>
      <c r="UZM15" s="122"/>
      <c r="UZN15" s="122"/>
      <c r="UZO15" s="122"/>
      <c r="UZP15" s="122"/>
      <c r="UZQ15" s="122"/>
      <c r="UZR15" s="122"/>
      <c r="UZS15" s="122"/>
      <c r="UZT15" s="122"/>
      <c r="UZU15" s="122"/>
      <c r="UZV15" s="122"/>
      <c r="UZW15" s="122"/>
      <c r="UZX15" s="122"/>
      <c r="UZY15" s="122"/>
      <c r="UZZ15" s="122"/>
      <c r="VAA15" s="122"/>
      <c r="VAB15" s="122"/>
      <c r="VAC15" s="122"/>
      <c r="VAD15" s="122"/>
      <c r="VAE15" s="122"/>
      <c r="VAF15" s="122"/>
      <c r="VAG15" s="122"/>
      <c r="VAH15" s="122"/>
      <c r="VAI15" s="122"/>
      <c r="VAJ15" s="122"/>
      <c r="VAK15" s="122"/>
      <c r="VAL15" s="122"/>
      <c r="VAM15" s="122"/>
      <c r="VAN15" s="122"/>
      <c r="VAO15" s="122"/>
      <c r="VAP15" s="122"/>
      <c r="VAQ15" s="122"/>
      <c r="VAR15" s="122"/>
      <c r="VAS15" s="122"/>
      <c r="VAT15" s="122"/>
      <c r="VAU15" s="122"/>
      <c r="VAV15" s="122"/>
      <c r="VAW15" s="122"/>
      <c r="VAX15" s="122"/>
      <c r="VAY15" s="122"/>
      <c r="VAZ15" s="122"/>
      <c r="VBA15" s="122"/>
      <c r="VBB15" s="122"/>
      <c r="VBC15" s="122"/>
      <c r="VBD15" s="122"/>
      <c r="VBE15" s="122"/>
      <c r="VBF15" s="122"/>
      <c r="VBG15" s="122"/>
      <c r="VBH15" s="122"/>
      <c r="VBI15" s="122"/>
      <c r="VBJ15" s="122"/>
      <c r="VBK15" s="122"/>
      <c r="VBL15" s="122"/>
      <c r="VBM15" s="122"/>
      <c r="VBN15" s="122"/>
      <c r="VBO15" s="122"/>
      <c r="VBP15" s="122"/>
      <c r="VBQ15" s="122"/>
      <c r="VBR15" s="122"/>
      <c r="VBS15" s="122"/>
      <c r="VBT15" s="122"/>
      <c r="VBU15" s="122"/>
      <c r="VBV15" s="122"/>
      <c r="VBW15" s="122"/>
      <c r="VBX15" s="122"/>
      <c r="VBY15" s="122"/>
      <c r="VBZ15" s="122"/>
      <c r="VCA15" s="122"/>
      <c r="VCB15" s="122"/>
      <c r="VCC15" s="122"/>
      <c r="VCD15" s="122"/>
      <c r="VCE15" s="122"/>
      <c r="VCF15" s="122"/>
      <c r="VCG15" s="122"/>
      <c r="VCH15" s="122"/>
      <c r="VCI15" s="122"/>
      <c r="VCJ15" s="122"/>
      <c r="VCK15" s="122"/>
      <c r="VCL15" s="122"/>
      <c r="VCM15" s="122"/>
      <c r="VCN15" s="122"/>
      <c r="VCO15" s="122"/>
      <c r="VCP15" s="122"/>
      <c r="VCQ15" s="122"/>
      <c r="VCR15" s="122"/>
      <c r="VCS15" s="122"/>
      <c r="VCT15" s="122"/>
      <c r="VCU15" s="122"/>
      <c r="VCV15" s="122"/>
      <c r="VCW15" s="122"/>
      <c r="VCX15" s="122"/>
      <c r="VCY15" s="122"/>
      <c r="VCZ15" s="122"/>
      <c r="VDA15" s="122"/>
      <c r="VDB15" s="122"/>
      <c r="VDC15" s="122"/>
      <c r="VDD15" s="122"/>
      <c r="VDE15" s="122"/>
      <c r="VDF15" s="122"/>
      <c r="VDG15" s="122"/>
      <c r="VDH15" s="122"/>
      <c r="VDI15" s="122"/>
      <c r="VDJ15" s="122"/>
      <c r="VDK15" s="122"/>
      <c r="VDL15" s="122"/>
      <c r="VDM15" s="122"/>
      <c r="VDN15" s="122"/>
      <c r="VDO15" s="122"/>
      <c r="VDP15" s="122"/>
      <c r="VDQ15" s="122"/>
      <c r="VDR15" s="122"/>
      <c r="VDS15" s="122"/>
      <c r="VDT15" s="122"/>
      <c r="VDU15" s="122"/>
      <c r="VDV15" s="122"/>
      <c r="VDW15" s="122"/>
      <c r="VDX15" s="122"/>
      <c r="VDY15" s="122"/>
      <c r="VDZ15" s="122"/>
      <c r="VEA15" s="122"/>
      <c r="VEB15" s="122"/>
      <c r="VEC15" s="122"/>
      <c r="VED15" s="122"/>
      <c r="VEE15" s="122"/>
      <c r="VEF15" s="122"/>
      <c r="VEG15" s="122"/>
      <c r="VEH15" s="122"/>
      <c r="VEI15" s="122"/>
      <c r="VEJ15" s="122"/>
      <c r="VEK15" s="122"/>
      <c r="VEL15" s="122"/>
      <c r="VEM15" s="122"/>
      <c r="VEN15" s="122"/>
      <c r="VEO15" s="122"/>
      <c r="VEP15" s="122"/>
      <c r="VEQ15" s="122"/>
      <c r="VER15" s="122"/>
      <c r="VES15" s="122"/>
      <c r="VET15" s="122"/>
      <c r="VEU15" s="122"/>
      <c r="VEV15" s="122"/>
      <c r="VEW15" s="122"/>
      <c r="VEX15" s="122"/>
      <c r="VEY15" s="122"/>
      <c r="VEZ15" s="122"/>
      <c r="VFA15" s="122"/>
      <c r="VFB15" s="122"/>
      <c r="VFC15" s="122"/>
      <c r="VFD15" s="122"/>
      <c r="VFE15" s="122"/>
      <c r="VFF15" s="122"/>
      <c r="VFG15" s="122"/>
      <c r="VFH15" s="122"/>
      <c r="VFI15" s="122"/>
      <c r="VFJ15" s="122"/>
      <c r="VFK15" s="122"/>
      <c r="VFL15" s="122"/>
      <c r="VFM15" s="122"/>
      <c r="VFN15" s="122"/>
      <c r="VFO15" s="122"/>
      <c r="VFP15" s="122"/>
      <c r="VFQ15" s="122"/>
      <c r="VFR15" s="122"/>
      <c r="VFS15" s="122"/>
      <c r="VFT15" s="122"/>
      <c r="VFU15" s="122"/>
      <c r="VFV15" s="122"/>
      <c r="VFW15" s="122"/>
      <c r="VFX15" s="122"/>
      <c r="VFY15" s="122"/>
      <c r="VFZ15" s="122"/>
      <c r="VGA15" s="122"/>
      <c r="VGB15" s="122"/>
      <c r="VGC15" s="122"/>
      <c r="VGD15" s="122"/>
      <c r="VGE15" s="122"/>
      <c r="VGF15" s="122"/>
      <c r="VGG15" s="122"/>
      <c r="VGH15" s="122"/>
      <c r="VGI15" s="122"/>
      <c r="VGJ15" s="122"/>
      <c r="VGK15" s="122"/>
      <c r="VGL15" s="122"/>
      <c r="VGM15" s="122"/>
      <c r="VGN15" s="122"/>
      <c r="VGO15" s="122"/>
      <c r="VGP15" s="122"/>
      <c r="VGQ15" s="122"/>
      <c r="VGR15" s="122"/>
      <c r="VGS15" s="122"/>
      <c r="VGT15" s="122"/>
      <c r="VGU15" s="122"/>
      <c r="VGV15" s="122"/>
      <c r="VGW15" s="122"/>
      <c r="VGX15" s="122"/>
      <c r="VGY15" s="122"/>
      <c r="VGZ15" s="122"/>
      <c r="VHA15" s="122"/>
      <c r="VHB15" s="122"/>
      <c r="VHC15" s="122"/>
      <c r="VHD15" s="122"/>
      <c r="VHE15" s="122"/>
      <c r="VHF15" s="122"/>
      <c r="VHG15" s="122"/>
      <c r="VHH15" s="122"/>
      <c r="VHI15" s="122"/>
      <c r="VHJ15" s="122"/>
      <c r="VHK15" s="122"/>
      <c r="VHL15" s="122"/>
      <c r="VHM15" s="122"/>
      <c r="VHN15" s="122"/>
      <c r="VHO15" s="122"/>
      <c r="VHP15" s="122"/>
      <c r="VHQ15" s="122"/>
      <c r="VHR15" s="122"/>
      <c r="VHS15" s="122"/>
      <c r="VHT15" s="122"/>
      <c r="VHU15" s="122"/>
      <c r="VHV15" s="122"/>
      <c r="VHW15" s="122"/>
      <c r="VHX15" s="122"/>
      <c r="VHY15" s="122"/>
      <c r="VHZ15" s="122"/>
      <c r="VIA15" s="122"/>
      <c r="VIB15" s="122"/>
      <c r="VIC15" s="122"/>
      <c r="VID15" s="122"/>
      <c r="VIE15" s="122"/>
      <c r="VIF15" s="122"/>
      <c r="VIG15" s="122"/>
      <c r="VIH15" s="122"/>
      <c r="VII15" s="122"/>
      <c r="VIJ15" s="122"/>
      <c r="VIK15" s="122"/>
      <c r="VIL15" s="122"/>
      <c r="VIM15" s="122"/>
      <c r="VIN15" s="122"/>
      <c r="VIO15" s="122"/>
      <c r="VIP15" s="122"/>
      <c r="VIQ15" s="122"/>
      <c r="VIR15" s="122"/>
      <c r="VIS15" s="122"/>
      <c r="VIT15" s="122"/>
      <c r="VIU15" s="122"/>
      <c r="VIV15" s="122"/>
      <c r="VIW15" s="122"/>
      <c r="VIX15" s="122"/>
      <c r="VIY15" s="122"/>
      <c r="VIZ15" s="122"/>
      <c r="VJA15" s="122"/>
      <c r="VJB15" s="122"/>
      <c r="VJC15" s="122"/>
      <c r="VJD15" s="122"/>
      <c r="VJE15" s="122"/>
      <c r="VJF15" s="122"/>
      <c r="VJG15" s="122"/>
      <c r="VJH15" s="122"/>
      <c r="VJI15" s="122"/>
      <c r="VJJ15" s="122"/>
      <c r="VJK15" s="122"/>
      <c r="VJL15" s="122"/>
      <c r="VJM15" s="122"/>
      <c r="VJN15" s="122"/>
      <c r="VJO15" s="122"/>
      <c r="VJP15" s="122"/>
      <c r="VJQ15" s="122"/>
      <c r="VJR15" s="122"/>
      <c r="VJS15" s="122"/>
      <c r="VJT15" s="122"/>
      <c r="VJU15" s="122"/>
      <c r="VJV15" s="122"/>
      <c r="VJW15" s="122"/>
      <c r="VJX15" s="122"/>
      <c r="VJY15" s="122"/>
      <c r="VJZ15" s="122"/>
      <c r="VKA15" s="122"/>
      <c r="VKB15" s="122"/>
      <c r="VKC15" s="122"/>
      <c r="VKD15" s="122"/>
      <c r="VKE15" s="122"/>
      <c r="VKF15" s="122"/>
      <c r="VKG15" s="122"/>
      <c r="VKH15" s="122"/>
      <c r="VKI15" s="122"/>
      <c r="VKJ15" s="122"/>
      <c r="VKK15" s="122"/>
      <c r="VKL15" s="122"/>
      <c r="VKM15" s="122"/>
      <c r="VKN15" s="122"/>
      <c r="VKO15" s="122"/>
      <c r="VKP15" s="122"/>
      <c r="VKQ15" s="122"/>
      <c r="VKR15" s="122"/>
      <c r="VKS15" s="122"/>
      <c r="VKT15" s="122"/>
      <c r="VKU15" s="122"/>
      <c r="VKV15" s="122"/>
      <c r="VKW15" s="122"/>
      <c r="VKX15" s="122"/>
      <c r="VKY15" s="122"/>
      <c r="VKZ15" s="122"/>
      <c r="VLA15" s="122"/>
      <c r="VLB15" s="122"/>
      <c r="VLC15" s="122"/>
      <c r="VLD15" s="122"/>
      <c r="VLE15" s="122"/>
      <c r="VLF15" s="122"/>
      <c r="VLG15" s="122"/>
      <c r="VLH15" s="122"/>
      <c r="VLI15" s="122"/>
      <c r="VLJ15" s="122"/>
      <c r="VLK15" s="122"/>
      <c r="VLL15" s="122"/>
      <c r="VLM15" s="122"/>
      <c r="VLN15" s="122"/>
      <c r="VLO15" s="122"/>
      <c r="VLP15" s="122"/>
      <c r="VLQ15" s="122"/>
      <c r="VLR15" s="122"/>
      <c r="VLS15" s="122"/>
      <c r="VLT15" s="122"/>
      <c r="VLU15" s="122"/>
      <c r="VLV15" s="122"/>
      <c r="VLW15" s="122"/>
      <c r="VLX15" s="122"/>
      <c r="VLY15" s="122"/>
      <c r="VLZ15" s="122"/>
      <c r="VMA15" s="122"/>
      <c r="VMB15" s="122"/>
      <c r="VMC15" s="122"/>
      <c r="VMD15" s="122"/>
      <c r="VME15" s="122"/>
      <c r="VMF15" s="122"/>
      <c r="VMG15" s="122"/>
      <c r="VMH15" s="122"/>
      <c r="VMI15" s="122"/>
      <c r="VMJ15" s="122"/>
      <c r="VMK15" s="122"/>
      <c r="VML15" s="122"/>
      <c r="VMM15" s="122"/>
      <c r="VMN15" s="122"/>
      <c r="VMO15" s="122"/>
      <c r="VMP15" s="122"/>
      <c r="VMQ15" s="122"/>
      <c r="VMR15" s="122"/>
      <c r="VMS15" s="122"/>
      <c r="VMT15" s="122"/>
      <c r="VMU15" s="122"/>
      <c r="VMV15" s="122"/>
      <c r="VMW15" s="122"/>
      <c r="VMX15" s="122"/>
      <c r="VMY15" s="122"/>
      <c r="VMZ15" s="122"/>
      <c r="VNA15" s="122"/>
      <c r="VNB15" s="122"/>
      <c r="VNC15" s="122"/>
      <c r="VND15" s="122"/>
      <c r="VNE15" s="122"/>
      <c r="VNF15" s="122"/>
      <c r="VNG15" s="122"/>
      <c r="VNH15" s="122"/>
      <c r="VNI15" s="122"/>
      <c r="VNJ15" s="122"/>
      <c r="VNK15" s="122"/>
      <c r="VNL15" s="122"/>
      <c r="VNM15" s="122"/>
      <c r="VNN15" s="122"/>
      <c r="VNO15" s="122"/>
      <c r="VNP15" s="122"/>
      <c r="VNQ15" s="122"/>
      <c r="VNR15" s="122"/>
      <c r="VNS15" s="122"/>
      <c r="VNT15" s="122"/>
      <c r="VNU15" s="122"/>
      <c r="VNV15" s="122"/>
      <c r="VNW15" s="122"/>
      <c r="VNX15" s="122"/>
      <c r="VNY15" s="122"/>
      <c r="VNZ15" s="122"/>
      <c r="VOA15" s="122"/>
      <c r="VOB15" s="122"/>
      <c r="VOC15" s="122"/>
      <c r="VOD15" s="122"/>
      <c r="VOE15" s="122"/>
      <c r="VOF15" s="122"/>
      <c r="VOG15" s="122"/>
      <c r="VOH15" s="122"/>
      <c r="VOI15" s="122"/>
      <c r="VOJ15" s="122"/>
      <c r="VOK15" s="122"/>
      <c r="VOL15" s="122"/>
      <c r="VOM15" s="122"/>
      <c r="VON15" s="122"/>
      <c r="VOO15" s="122"/>
      <c r="VOP15" s="122"/>
      <c r="VOQ15" s="122"/>
      <c r="VOR15" s="122"/>
      <c r="VOS15" s="122"/>
      <c r="VOT15" s="122"/>
      <c r="VOU15" s="122"/>
      <c r="VOV15" s="122"/>
      <c r="VOW15" s="122"/>
      <c r="VOX15" s="122"/>
      <c r="VOY15" s="122"/>
      <c r="VOZ15" s="122"/>
      <c r="VPA15" s="122"/>
      <c r="VPB15" s="122"/>
      <c r="VPC15" s="122"/>
      <c r="VPD15" s="122"/>
      <c r="VPE15" s="122"/>
      <c r="VPF15" s="122"/>
      <c r="VPG15" s="122"/>
      <c r="VPH15" s="122"/>
      <c r="VPI15" s="122"/>
      <c r="VPJ15" s="122"/>
      <c r="VPK15" s="122"/>
      <c r="VPL15" s="122"/>
      <c r="VPM15" s="122"/>
      <c r="VPN15" s="122"/>
      <c r="VPO15" s="122"/>
      <c r="VPP15" s="122"/>
      <c r="VPQ15" s="122"/>
      <c r="VPR15" s="122"/>
      <c r="VPS15" s="122"/>
      <c r="VPT15" s="122"/>
      <c r="VPU15" s="122"/>
      <c r="VPV15" s="122"/>
      <c r="VPW15" s="122"/>
      <c r="VPX15" s="122"/>
      <c r="VPY15" s="122"/>
      <c r="VPZ15" s="122"/>
      <c r="VQA15" s="122"/>
      <c r="VQB15" s="122"/>
      <c r="VQC15" s="122"/>
      <c r="VQD15" s="122"/>
      <c r="VQE15" s="122"/>
      <c r="VQF15" s="122"/>
      <c r="VQG15" s="122"/>
      <c r="VQH15" s="122"/>
      <c r="VQI15" s="122"/>
      <c r="VQJ15" s="122"/>
      <c r="VQK15" s="122"/>
      <c r="VQL15" s="122"/>
      <c r="VQM15" s="122"/>
      <c r="VQN15" s="122"/>
      <c r="VQO15" s="122"/>
      <c r="VQP15" s="122"/>
      <c r="VQQ15" s="122"/>
      <c r="VQR15" s="122"/>
      <c r="VQS15" s="122"/>
      <c r="VQT15" s="122"/>
      <c r="VQU15" s="122"/>
      <c r="VQV15" s="122"/>
      <c r="VQW15" s="122"/>
      <c r="VQX15" s="122"/>
      <c r="VQY15" s="122"/>
      <c r="VQZ15" s="122"/>
      <c r="VRA15" s="122"/>
      <c r="VRB15" s="122"/>
      <c r="VRC15" s="122"/>
      <c r="VRD15" s="122"/>
      <c r="VRE15" s="122"/>
      <c r="VRF15" s="122"/>
      <c r="VRG15" s="122"/>
      <c r="VRH15" s="122"/>
      <c r="VRI15" s="122"/>
      <c r="VRJ15" s="122"/>
      <c r="VRK15" s="122"/>
      <c r="VRL15" s="122"/>
      <c r="VRM15" s="122"/>
      <c r="VRN15" s="122"/>
      <c r="VRO15" s="122"/>
      <c r="VRP15" s="122"/>
      <c r="VRQ15" s="122"/>
      <c r="VRR15" s="122"/>
      <c r="VRS15" s="122"/>
      <c r="VRT15" s="122"/>
      <c r="VRU15" s="122"/>
      <c r="VRV15" s="122"/>
      <c r="VRW15" s="122"/>
      <c r="VRX15" s="122"/>
      <c r="VRY15" s="122"/>
      <c r="VRZ15" s="122"/>
      <c r="VSA15" s="122"/>
      <c r="VSB15" s="122"/>
      <c r="VSC15" s="122"/>
      <c r="VSD15" s="122"/>
      <c r="VSE15" s="122"/>
      <c r="VSF15" s="122"/>
      <c r="VSG15" s="122"/>
      <c r="VSH15" s="122"/>
      <c r="VSI15" s="122"/>
      <c r="VSJ15" s="122"/>
      <c r="VSK15" s="122"/>
      <c r="VSL15" s="122"/>
      <c r="VSM15" s="122"/>
      <c r="VSN15" s="122"/>
      <c r="VSO15" s="122"/>
      <c r="VSP15" s="122"/>
      <c r="VSQ15" s="122"/>
      <c r="VSR15" s="122"/>
      <c r="VSS15" s="122"/>
      <c r="VST15" s="122"/>
      <c r="VSU15" s="122"/>
      <c r="VSV15" s="122"/>
      <c r="VSW15" s="122"/>
      <c r="VSX15" s="122"/>
      <c r="VSY15" s="122"/>
      <c r="VSZ15" s="122"/>
      <c r="VTA15" s="122"/>
      <c r="VTB15" s="122"/>
      <c r="VTC15" s="122"/>
      <c r="VTD15" s="122"/>
      <c r="VTE15" s="122"/>
      <c r="VTF15" s="122"/>
      <c r="VTG15" s="122"/>
      <c r="VTH15" s="122"/>
      <c r="VTI15" s="122"/>
      <c r="VTJ15" s="122"/>
      <c r="VTK15" s="122"/>
      <c r="VTL15" s="122"/>
      <c r="VTM15" s="122"/>
      <c r="VTN15" s="122"/>
      <c r="VTO15" s="122"/>
      <c r="VTP15" s="122"/>
      <c r="VTQ15" s="122"/>
      <c r="VTR15" s="122"/>
      <c r="VTS15" s="122"/>
      <c r="VTT15" s="122"/>
      <c r="VTU15" s="122"/>
      <c r="VTV15" s="122"/>
      <c r="VTW15" s="122"/>
      <c r="VTX15" s="122"/>
      <c r="VTY15" s="122"/>
      <c r="VTZ15" s="122"/>
      <c r="VUA15" s="122"/>
      <c r="VUB15" s="122"/>
      <c r="VUC15" s="122"/>
      <c r="VUD15" s="122"/>
      <c r="VUE15" s="122"/>
      <c r="VUF15" s="122"/>
      <c r="VUG15" s="122"/>
      <c r="VUH15" s="122"/>
      <c r="VUI15" s="122"/>
      <c r="VUJ15" s="122"/>
      <c r="VUK15" s="122"/>
      <c r="VUL15" s="122"/>
      <c r="VUM15" s="122"/>
      <c r="VUN15" s="122"/>
      <c r="VUO15" s="122"/>
      <c r="VUP15" s="122"/>
      <c r="VUQ15" s="122"/>
      <c r="VUR15" s="122"/>
      <c r="VUS15" s="122"/>
      <c r="VUT15" s="122"/>
      <c r="VUU15" s="122"/>
      <c r="VUV15" s="122"/>
      <c r="VUW15" s="122"/>
      <c r="VUX15" s="122"/>
      <c r="VUY15" s="122"/>
      <c r="VUZ15" s="122"/>
      <c r="VVA15" s="122"/>
      <c r="VVB15" s="122"/>
      <c r="VVC15" s="122"/>
      <c r="VVD15" s="122"/>
      <c r="VVE15" s="122"/>
      <c r="VVF15" s="122"/>
      <c r="VVG15" s="122"/>
      <c r="VVH15" s="122"/>
      <c r="VVI15" s="122"/>
      <c r="VVJ15" s="122"/>
      <c r="VVK15" s="122"/>
      <c r="VVL15" s="122"/>
      <c r="VVM15" s="122"/>
      <c r="VVN15" s="122"/>
      <c r="VVO15" s="122"/>
      <c r="VVP15" s="122"/>
      <c r="VVQ15" s="122"/>
      <c r="VVR15" s="122"/>
      <c r="VVS15" s="122"/>
      <c r="VVT15" s="122"/>
      <c r="VVU15" s="122"/>
      <c r="VVV15" s="122"/>
      <c r="VVW15" s="122"/>
      <c r="VVX15" s="122"/>
      <c r="VVY15" s="122"/>
      <c r="VVZ15" s="122"/>
      <c r="VWA15" s="122"/>
      <c r="VWB15" s="122"/>
      <c r="VWC15" s="122"/>
      <c r="VWD15" s="122"/>
      <c r="VWE15" s="122"/>
      <c r="VWF15" s="122"/>
      <c r="VWG15" s="122"/>
      <c r="VWH15" s="122"/>
      <c r="VWI15" s="122"/>
      <c r="VWJ15" s="122"/>
      <c r="VWK15" s="122"/>
      <c r="VWL15" s="122"/>
      <c r="VWM15" s="122"/>
      <c r="VWN15" s="122"/>
      <c r="VWO15" s="122"/>
      <c r="VWP15" s="122"/>
      <c r="VWQ15" s="122"/>
      <c r="VWR15" s="122"/>
      <c r="VWS15" s="122"/>
      <c r="VWT15" s="122"/>
      <c r="VWU15" s="122"/>
      <c r="VWV15" s="122"/>
      <c r="VWW15" s="122"/>
      <c r="VWX15" s="122"/>
      <c r="VWY15" s="122"/>
      <c r="VWZ15" s="122"/>
      <c r="VXA15" s="122"/>
      <c r="VXB15" s="122"/>
      <c r="VXC15" s="122"/>
      <c r="VXD15" s="122"/>
      <c r="VXE15" s="122"/>
      <c r="VXF15" s="122"/>
      <c r="VXG15" s="122"/>
      <c r="VXH15" s="122"/>
      <c r="VXI15" s="122"/>
      <c r="VXJ15" s="122"/>
      <c r="VXK15" s="122"/>
      <c r="VXL15" s="122"/>
      <c r="VXM15" s="122"/>
      <c r="VXN15" s="122"/>
      <c r="VXO15" s="122"/>
      <c r="VXP15" s="122"/>
      <c r="VXQ15" s="122"/>
      <c r="VXR15" s="122"/>
      <c r="VXS15" s="122"/>
      <c r="VXT15" s="122"/>
      <c r="VXU15" s="122"/>
      <c r="VXV15" s="122"/>
      <c r="VXW15" s="122"/>
      <c r="VXX15" s="122"/>
      <c r="VXY15" s="122"/>
      <c r="VXZ15" s="122"/>
      <c r="VYA15" s="122"/>
      <c r="VYB15" s="122"/>
      <c r="VYC15" s="122"/>
      <c r="VYD15" s="122"/>
      <c r="VYE15" s="122"/>
      <c r="VYF15" s="122"/>
      <c r="VYG15" s="122"/>
      <c r="VYH15" s="122"/>
      <c r="VYI15" s="122"/>
      <c r="VYJ15" s="122"/>
      <c r="VYK15" s="122"/>
      <c r="VYL15" s="122"/>
      <c r="VYM15" s="122"/>
      <c r="VYN15" s="122"/>
      <c r="VYO15" s="122"/>
      <c r="VYP15" s="122"/>
      <c r="VYQ15" s="122"/>
      <c r="VYR15" s="122"/>
      <c r="VYS15" s="122"/>
      <c r="VYT15" s="122"/>
      <c r="VYU15" s="122"/>
      <c r="VYV15" s="122"/>
      <c r="VYW15" s="122"/>
      <c r="VYX15" s="122"/>
      <c r="VYY15" s="122"/>
      <c r="VYZ15" s="122"/>
      <c r="VZA15" s="122"/>
      <c r="VZB15" s="122"/>
      <c r="VZC15" s="122"/>
      <c r="VZD15" s="122"/>
      <c r="VZE15" s="122"/>
      <c r="VZF15" s="122"/>
      <c r="VZG15" s="122"/>
      <c r="VZH15" s="122"/>
      <c r="VZI15" s="122"/>
      <c r="VZJ15" s="122"/>
      <c r="VZK15" s="122"/>
      <c r="VZL15" s="122"/>
      <c r="VZM15" s="122"/>
      <c r="VZN15" s="122"/>
      <c r="VZO15" s="122"/>
      <c r="VZP15" s="122"/>
      <c r="VZQ15" s="122"/>
      <c r="VZR15" s="122"/>
      <c r="VZS15" s="122"/>
      <c r="VZT15" s="122"/>
      <c r="VZU15" s="122"/>
      <c r="VZV15" s="122"/>
      <c r="VZW15" s="122"/>
      <c r="VZX15" s="122"/>
      <c r="VZY15" s="122"/>
      <c r="VZZ15" s="122"/>
      <c r="WAA15" s="122"/>
      <c r="WAB15" s="122"/>
      <c r="WAC15" s="122"/>
      <c r="WAD15" s="122"/>
      <c r="WAE15" s="122"/>
      <c r="WAF15" s="122"/>
      <c r="WAG15" s="122"/>
      <c r="WAH15" s="122"/>
      <c r="WAI15" s="122"/>
      <c r="WAJ15" s="122"/>
      <c r="WAK15" s="122"/>
      <c r="WAL15" s="122"/>
      <c r="WAM15" s="122"/>
      <c r="WAN15" s="122"/>
      <c r="WAO15" s="122"/>
      <c r="WAP15" s="122"/>
      <c r="WAQ15" s="122"/>
      <c r="WAR15" s="122"/>
      <c r="WAS15" s="122"/>
      <c r="WAT15" s="122"/>
      <c r="WAU15" s="122"/>
      <c r="WAV15" s="122"/>
      <c r="WAW15" s="122"/>
      <c r="WAX15" s="122"/>
      <c r="WAY15" s="122"/>
      <c r="WAZ15" s="122"/>
      <c r="WBA15" s="122"/>
      <c r="WBB15" s="122"/>
      <c r="WBC15" s="122"/>
      <c r="WBD15" s="122"/>
      <c r="WBE15" s="122"/>
      <c r="WBF15" s="122"/>
      <c r="WBG15" s="122"/>
      <c r="WBH15" s="122"/>
      <c r="WBI15" s="122"/>
      <c r="WBJ15" s="122"/>
      <c r="WBK15" s="122"/>
      <c r="WBL15" s="122"/>
      <c r="WBM15" s="122"/>
      <c r="WBN15" s="122"/>
      <c r="WBO15" s="122"/>
      <c r="WBP15" s="122"/>
      <c r="WBQ15" s="122"/>
      <c r="WBR15" s="122"/>
      <c r="WBS15" s="122"/>
      <c r="WBT15" s="122"/>
      <c r="WBU15" s="122"/>
      <c r="WBV15" s="122"/>
      <c r="WBW15" s="122"/>
      <c r="WBX15" s="122"/>
      <c r="WBY15" s="122"/>
      <c r="WBZ15" s="122"/>
      <c r="WCA15" s="122"/>
      <c r="WCB15" s="122"/>
      <c r="WCC15" s="122"/>
      <c r="WCD15" s="122"/>
      <c r="WCE15" s="122"/>
      <c r="WCF15" s="122"/>
      <c r="WCG15" s="122"/>
      <c r="WCH15" s="122"/>
      <c r="WCI15" s="122"/>
      <c r="WCJ15" s="122"/>
      <c r="WCK15" s="122"/>
      <c r="WCL15" s="122"/>
      <c r="WCM15" s="122"/>
      <c r="WCN15" s="122"/>
      <c r="WCO15" s="122"/>
      <c r="WCP15" s="122"/>
      <c r="WCQ15" s="122"/>
      <c r="WCR15" s="122"/>
      <c r="WCS15" s="122"/>
      <c r="WCT15" s="122"/>
      <c r="WCU15" s="122"/>
      <c r="WCV15" s="122"/>
      <c r="WCW15" s="122"/>
      <c r="WCX15" s="122"/>
      <c r="WCY15" s="122"/>
      <c r="WCZ15" s="122"/>
      <c r="WDA15" s="122"/>
      <c r="WDB15" s="122"/>
      <c r="WDC15" s="122"/>
      <c r="WDD15" s="122"/>
      <c r="WDE15" s="122"/>
      <c r="WDF15" s="122"/>
      <c r="WDG15" s="122"/>
      <c r="WDH15" s="122"/>
      <c r="WDI15" s="122"/>
      <c r="WDJ15" s="122"/>
      <c r="WDK15" s="122"/>
      <c r="WDL15" s="122"/>
      <c r="WDM15" s="122"/>
      <c r="WDN15" s="122"/>
      <c r="WDO15" s="122"/>
      <c r="WDP15" s="122"/>
      <c r="WDQ15" s="122"/>
      <c r="WDR15" s="122"/>
      <c r="WDS15" s="122"/>
      <c r="WDT15" s="122"/>
      <c r="WDU15" s="122"/>
      <c r="WDV15" s="122"/>
      <c r="WDW15" s="122"/>
      <c r="WDX15" s="122"/>
      <c r="WDY15" s="122"/>
      <c r="WDZ15" s="122"/>
      <c r="WEA15" s="122"/>
      <c r="WEB15" s="122"/>
      <c r="WEC15" s="122"/>
      <c r="WED15" s="122"/>
      <c r="WEE15" s="122"/>
      <c r="WEF15" s="122"/>
      <c r="WEG15" s="122"/>
      <c r="WEH15" s="122"/>
      <c r="WEI15" s="122"/>
      <c r="WEJ15" s="122"/>
      <c r="WEK15" s="122"/>
      <c r="WEL15" s="122"/>
      <c r="WEM15" s="122"/>
      <c r="WEN15" s="122"/>
      <c r="WEO15" s="122"/>
      <c r="WEP15" s="122"/>
      <c r="WEQ15" s="122"/>
      <c r="WER15" s="122"/>
      <c r="WES15" s="122"/>
      <c r="WET15" s="122"/>
      <c r="WEU15" s="122"/>
      <c r="WEV15" s="122"/>
      <c r="WEW15" s="122"/>
      <c r="WEX15" s="122"/>
      <c r="WEY15" s="122"/>
      <c r="WEZ15" s="122"/>
      <c r="WFA15" s="122"/>
      <c r="WFB15" s="122"/>
      <c r="WFC15" s="122"/>
      <c r="WFD15" s="122"/>
      <c r="WFE15" s="122"/>
      <c r="WFF15" s="122"/>
      <c r="WFG15" s="122"/>
      <c r="WFH15" s="122"/>
      <c r="WFI15" s="122"/>
      <c r="WFJ15" s="122"/>
      <c r="WFK15" s="122"/>
      <c r="WFL15" s="122"/>
      <c r="WFM15" s="122"/>
      <c r="WFN15" s="122"/>
      <c r="WFO15" s="122"/>
      <c r="WFP15" s="122"/>
      <c r="WFQ15" s="122"/>
      <c r="WFR15" s="122"/>
      <c r="WFS15" s="122"/>
      <c r="WFT15" s="122"/>
      <c r="WFU15" s="122"/>
      <c r="WFV15" s="122"/>
      <c r="WFW15" s="122"/>
      <c r="WFX15" s="122"/>
      <c r="WFY15" s="122"/>
      <c r="WFZ15" s="122"/>
      <c r="WGA15" s="122"/>
      <c r="WGB15" s="122"/>
      <c r="WGC15" s="122"/>
      <c r="WGD15" s="122"/>
      <c r="WGE15" s="122"/>
      <c r="WGF15" s="122"/>
      <c r="WGG15" s="122"/>
      <c r="WGH15" s="122"/>
      <c r="WGI15" s="122"/>
      <c r="WGJ15" s="122"/>
      <c r="WGK15" s="122"/>
      <c r="WGL15" s="122"/>
      <c r="WGM15" s="122"/>
      <c r="WGN15" s="122"/>
      <c r="WGO15" s="122"/>
      <c r="WGP15" s="122"/>
      <c r="WGQ15" s="122"/>
      <c r="WGR15" s="122"/>
      <c r="WGS15" s="122"/>
      <c r="WGT15" s="122"/>
      <c r="WGU15" s="122"/>
      <c r="WGV15" s="122"/>
      <c r="WGW15" s="122"/>
      <c r="WGX15" s="122"/>
      <c r="WGY15" s="122"/>
      <c r="WGZ15" s="122"/>
      <c r="WHA15" s="122"/>
      <c r="WHB15" s="122"/>
      <c r="WHC15" s="122"/>
      <c r="WHD15" s="122"/>
      <c r="WHE15" s="122"/>
      <c r="WHF15" s="122"/>
      <c r="WHG15" s="122"/>
      <c r="WHH15" s="122"/>
      <c r="WHI15" s="122"/>
      <c r="WHJ15" s="122"/>
      <c r="WHK15" s="122"/>
      <c r="WHL15" s="122"/>
      <c r="WHM15" s="122"/>
      <c r="WHN15" s="122"/>
      <c r="WHO15" s="122"/>
      <c r="WHP15" s="122"/>
      <c r="WHQ15" s="122"/>
      <c r="WHR15" s="122"/>
      <c r="WHS15" s="122"/>
      <c r="WHT15" s="122"/>
      <c r="WHU15" s="122"/>
      <c r="WHV15" s="122"/>
      <c r="WHW15" s="122"/>
      <c r="WHX15" s="122"/>
      <c r="WHY15" s="122"/>
      <c r="WHZ15" s="122"/>
      <c r="WIA15" s="122"/>
      <c r="WIB15" s="122"/>
      <c r="WIC15" s="122"/>
      <c r="WID15" s="122"/>
      <c r="WIE15" s="122"/>
      <c r="WIF15" s="122"/>
      <c r="WIG15" s="122"/>
      <c r="WIH15" s="122"/>
      <c r="WII15" s="122"/>
      <c r="WIJ15" s="122"/>
      <c r="WIK15" s="122"/>
      <c r="WIL15" s="122"/>
      <c r="WIM15" s="122"/>
      <c r="WIN15" s="122"/>
      <c r="WIO15" s="122"/>
      <c r="WIP15" s="122"/>
      <c r="WIQ15" s="122"/>
      <c r="WIR15" s="122"/>
      <c r="WIS15" s="122"/>
      <c r="WIT15" s="122"/>
      <c r="WIU15" s="122"/>
      <c r="WIV15" s="122"/>
      <c r="WIW15" s="122"/>
      <c r="WIX15" s="122"/>
      <c r="WIY15" s="122"/>
      <c r="WIZ15" s="122"/>
      <c r="WJA15" s="122"/>
      <c r="WJB15" s="122"/>
      <c r="WJC15" s="122"/>
      <c r="WJD15" s="122"/>
      <c r="WJE15" s="122"/>
      <c r="WJF15" s="122"/>
      <c r="WJG15" s="122"/>
      <c r="WJH15" s="122"/>
      <c r="WJI15" s="122"/>
      <c r="WJJ15" s="122"/>
      <c r="WJK15" s="122"/>
      <c r="WJL15" s="122"/>
      <c r="WJM15" s="122"/>
      <c r="WJN15" s="122"/>
      <c r="WJO15" s="122"/>
      <c r="WJP15" s="122"/>
      <c r="WJQ15" s="122"/>
      <c r="WJR15" s="122"/>
      <c r="WJS15" s="122"/>
      <c r="WJT15" s="122"/>
      <c r="WJU15" s="122"/>
      <c r="WJV15" s="122"/>
      <c r="WJW15" s="122"/>
      <c r="WJX15" s="122"/>
      <c r="WJY15" s="122"/>
      <c r="WJZ15" s="122"/>
      <c r="WKA15" s="122"/>
      <c r="WKB15" s="122"/>
      <c r="WKC15" s="122"/>
      <c r="WKD15" s="122"/>
      <c r="WKE15" s="122"/>
      <c r="WKF15" s="122"/>
      <c r="WKG15" s="122"/>
      <c r="WKH15" s="122"/>
      <c r="WKI15" s="122"/>
      <c r="WKJ15" s="122"/>
      <c r="WKK15" s="122"/>
      <c r="WKL15" s="122"/>
      <c r="WKM15" s="122"/>
      <c r="WKN15" s="122"/>
      <c r="WKO15" s="122"/>
      <c r="WKP15" s="122"/>
      <c r="WKQ15" s="122"/>
      <c r="WKR15" s="122"/>
      <c r="WKS15" s="122"/>
      <c r="WKT15" s="122"/>
      <c r="WKU15" s="122"/>
      <c r="WKV15" s="122"/>
      <c r="WKW15" s="122"/>
      <c r="WKX15" s="122"/>
      <c r="WKY15" s="122"/>
      <c r="WKZ15" s="122"/>
      <c r="WLA15" s="122"/>
      <c r="WLB15" s="122"/>
      <c r="WLC15" s="122"/>
      <c r="WLD15" s="122"/>
      <c r="WLE15" s="122"/>
      <c r="WLF15" s="122"/>
      <c r="WLG15" s="122"/>
      <c r="WLH15" s="122"/>
      <c r="WLI15" s="122"/>
      <c r="WLJ15" s="122"/>
      <c r="WLK15" s="122"/>
      <c r="WLL15" s="122"/>
      <c r="WLM15" s="122"/>
      <c r="WLN15" s="122"/>
      <c r="WLO15" s="122"/>
      <c r="WLP15" s="122"/>
      <c r="WLQ15" s="122"/>
      <c r="WLR15" s="122"/>
      <c r="WLS15" s="122"/>
      <c r="WLT15" s="122"/>
      <c r="WLU15" s="122"/>
      <c r="WLV15" s="122"/>
      <c r="WLW15" s="122"/>
      <c r="WLX15" s="122"/>
      <c r="WLY15" s="122"/>
      <c r="WLZ15" s="122"/>
      <c r="WMA15" s="122"/>
      <c r="WMB15" s="122"/>
      <c r="WMC15" s="122"/>
      <c r="WMD15" s="122"/>
      <c r="WME15" s="122"/>
      <c r="WMF15" s="122"/>
      <c r="WMG15" s="122"/>
      <c r="WMH15" s="122"/>
      <c r="WMI15" s="122"/>
      <c r="WMJ15" s="122"/>
      <c r="WMK15" s="122"/>
      <c r="WML15" s="122"/>
      <c r="WMM15" s="122"/>
      <c r="WMN15" s="122"/>
      <c r="WMO15" s="122"/>
      <c r="WMP15" s="122"/>
      <c r="WMQ15" s="122"/>
      <c r="WMR15" s="122"/>
      <c r="WMS15" s="122"/>
      <c r="WMT15" s="122"/>
      <c r="WMU15" s="122"/>
      <c r="WMV15" s="122"/>
      <c r="WMW15" s="122"/>
      <c r="WMX15" s="122"/>
      <c r="WMY15" s="122"/>
      <c r="WMZ15" s="122"/>
      <c r="WNA15" s="122"/>
      <c r="WNB15" s="122"/>
      <c r="WNC15" s="122"/>
      <c r="WND15" s="122"/>
      <c r="WNE15" s="122"/>
      <c r="WNF15" s="122"/>
      <c r="WNG15" s="122"/>
      <c r="WNH15" s="122"/>
      <c r="WNI15" s="122"/>
      <c r="WNJ15" s="122"/>
      <c r="WNK15" s="122"/>
      <c r="WNL15" s="122"/>
      <c r="WNM15" s="122"/>
      <c r="WNN15" s="122"/>
      <c r="WNO15" s="122"/>
      <c r="WNP15" s="122"/>
      <c r="WNQ15" s="122"/>
      <c r="WNR15" s="122"/>
      <c r="WNS15" s="122"/>
      <c r="WNT15" s="122"/>
      <c r="WNU15" s="122"/>
      <c r="WNV15" s="122"/>
      <c r="WNW15" s="122"/>
      <c r="WNX15" s="122"/>
      <c r="WNY15" s="122"/>
      <c r="WNZ15" s="122"/>
      <c r="WOA15" s="122"/>
      <c r="WOB15" s="122"/>
      <c r="WOC15" s="122"/>
      <c r="WOD15" s="122"/>
      <c r="WOE15" s="122"/>
      <c r="WOF15" s="122"/>
      <c r="WOG15" s="122"/>
      <c r="WOH15" s="122"/>
      <c r="WOI15" s="122"/>
      <c r="WOJ15" s="122"/>
      <c r="WOK15" s="122"/>
      <c r="WOL15" s="122"/>
      <c r="WOM15" s="122"/>
      <c r="WON15" s="122"/>
      <c r="WOO15" s="122"/>
      <c r="WOP15" s="122"/>
      <c r="WOQ15" s="122"/>
      <c r="WOR15" s="122"/>
      <c r="WOS15" s="122"/>
      <c r="WOT15" s="122"/>
      <c r="WOU15" s="122"/>
      <c r="WOV15" s="122"/>
      <c r="WOW15" s="122"/>
      <c r="WOX15" s="122"/>
      <c r="WOY15" s="122"/>
      <c r="WOZ15" s="122"/>
      <c r="WPA15" s="122"/>
      <c r="WPB15" s="122"/>
      <c r="WPC15" s="122"/>
      <c r="WPD15" s="122"/>
      <c r="WPE15" s="122"/>
      <c r="WPF15" s="122"/>
      <c r="WPG15" s="122"/>
      <c r="WPH15" s="122"/>
      <c r="WPI15" s="122"/>
      <c r="WPJ15" s="122"/>
      <c r="WPK15" s="122"/>
      <c r="WPL15" s="122"/>
      <c r="WPM15" s="122"/>
      <c r="WPN15" s="122"/>
      <c r="WPO15" s="122"/>
      <c r="WPP15" s="122"/>
      <c r="WPQ15" s="122"/>
      <c r="WPR15" s="122"/>
      <c r="WPS15" s="122"/>
      <c r="WPT15" s="122"/>
      <c r="WPU15" s="122"/>
      <c r="WPV15" s="122"/>
      <c r="WPW15" s="122"/>
      <c r="WPX15" s="122"/>
      <c r="WPY15" s="122"/>
      <c r="WPZ15" s="122"/>
      <c r="WQA15" s="122"/>
      <c r="WQB15" s="122"/>
      <c r="WQC15" s="122"/>
      <c r="WQD15" s="122"/>
      <c r="WQE15" s="122"/>
      <c r="WQF15" s="122"/>
      <c r="WQG15" s="122"/>
      <c r="WQH15" s="122"/>
      <c r="WQI15" s="122"/>
      <c r="WQJ15" s="122"/>
      <c r="WQK15" s="122"/>
      <c r="WQL15" s="122"/>
      <c r="WQM15" s="122"/>
      <c r="WQN15" s="122"/>
      <c r="WQO15" s="122"/>
      <c r="WQP15" s="122"/>
      <c r="WQQ15" s="122"/>
      <c r="WQR15" s="122"/>
      <c r="WQS15" s="122"/>
      <c r="WQT15" s="122"/>
      <c r="WQU15" s="122"/>
      <c r="WQV15" s="122"/>
      <c r="WQW15" s="122"/>
      <c r="WQX15" s="122"/>
      <c r="WQY15" s="122"/>
      <c r="WQZ15" s="122"/>
      <c r="WRA15" s="122"/>
      <c r="WRB15" s="122"/>
      <c r="WRC15" s="122"/>
      <c r="WRD15" s="122"/>
      <c r="WRE15" s="122"/>
      <c r="WRF15" s="122"/>
      <c r="WRG15" s="122"/>
      <c r="WRH15" s="122"/>
      <c r="WRI15" s="122"/>
      <c r="WRJ15" s="122"/>
      <c r="WRK15" s="122"/>
      <c r="WRL15" s="122"/>
      <c r="WRM15" s="122"/>
      <c r="WRN15" s="122"/>
      <c r="WRO15" s="122"/>
      <c r="WRP15" s="122"/>
      <c r="WRQ15" s="122"/>
      <c r="WRR15" s="122"/>
      <c r="WRS15" s="122"/>
      <c r="WRT15" s="122"/>
      <c r="WRU15" s="122"/>
      <c r="WRV15" s="122"/>
      <c r="WRW15" s="122"/>
      <c r="WRX15" s="122"/>
      <c r="WRY15" s="122"/>
      <c r="WRZ15" s="122"/>
      <c r="WSA15" s="122"/>
      <c r="WSB15" s="122"/>
      <c r="WSC15" s="122"/>
      <c r="WSD15" s="122"/>
      <c r="WSE15" s="122"/>
      <c r="WSF15" s="122"/>
      <c r="WSG15" s="122"/>
      <c r="WSH15" s="122"/>
      <c r="WSI15" s="122"/>
      <c r="WSJ15" s="122"/>
      <c r="WSK15" s="122"/>
      <c r="WSL15" s="122"/>
      <c r="WSM15" s="122"/>
      <c r="WSN15" s="122"/>
      <c r="WSO15" s="122"/>
      <c r="WSP15" s="122"/>
      <c r="WSQ15" s="122"/>
      <c r="WSR15" s="122"/>
      <c r="WSS15" s="122"/>
      <c r="WST15" s="122"/>
      <c r="WSU15" s="122"/>
      <c r="WSV15" s="122"/>
      <c r="WSW15" s="122"/>
      <c r="WSX15" s="122"/>
      <c r="WSY15" s="122"/>
      <c r="WSZ15" s="122"/>
      <c r="WTA15" s="122"/>
      <c r="WTB15" s="122"/>
      <c r="WTC15" s="122"/>
      <c r="WTD15" s="122"/>
      <c r="WTE15" s="122"/>
      <c r="WTF15" s="122"/>
      <c r="WTG15" s="122"/>
      <c r="WTH15" s="122"/>
      <c r="WTI15" s="122"/>
      <c r="WTJ15" s="122"/>
      <c r="WTK15" s="122"/>
      <c r="WTL15" s="122"/>
      <c r="WTM15" s="122"/>
      <c r="WTN15" s="122"/>
      <c r="WTO15" s="122"/>
      <c r="WTP15" s="122"/>
      <c r="WTQ15" s="122"/>
      <c r="WTR15" s="122"/>
      <c r="WTS15" s="122"/>
      <c r="WTT15" s="122"/>
      <c r="WTU15" s="122"/>
      <c r="WTV15" s="122"/>
      <c r="WTW15" s="122"/>
      <c r="WTX15" s="122"/>
      <c r="WTY15" s="122"/>
      <c r="WTZ15" s="122"/>
      <c r="WUA15" s="122"/>
      <c r="WUB15" s="122"/>
      <c r="WUC15" s="122"/>
      <c r="WUD15" s="122"/>
      <c r="WUE15" s="122"/>
      <c r="WUF15" s="122"/>
      <c r="WUG15" s="122"/>
      <c r="WUH15" s="122"/>
      <c r="WUI15" s="122"/>
      <c r="WUJ15" s="122"/>
      <c r="WUK15" s="122"/>
      <c r="WUL15" s="122"/>
      <c r="WUM15" s="122"/>
      <c r="WUN15" s="122"/>
      <c r="WUO15" s="122"/>
      <c r="WUP15" s="122"/>
      <c r="WUQ15" s="122"/>
      <c r="WUR15" s="122"/>
      <c r="WUS15" s="122"/>
      <c r="WUT15" s="122"/>
      <c r="WUU15" s="122"/>
      <c r="WUV15" s="122"/>
      <c r="WUW15" s="122"/>
      <c r="WUX15" s="122"/>
      <c r="WUY15" s="122"/>
      <c r="WUZ15" s="122"/>
      <c r="WVA15" s="122"/>
      <c r="WVB15" s="122"/>
      <c r="WVC15" s="122"/>
      <c r="WVD15" s="122"/>
      <c r="WVE15" s="122"/>
      <c r="WVF15" s="122"/>
      <c r="WVG15" s="122"/>
      <c r="WVH15" s="122"/>
      <c r="WVI15" s="122"/>
      <c r="WVJ15" s="122"/>
      <c r="WVK15" s="122"/>
      <c r="WVL15" s="122"/>
      <c r="WVM15" s="122"/>
      <c r="WVN15" s="122"/>
      <c r="WVO15" s="122"/>
      <c r="WVP15" s="122"/>
      <c r="WVQ15" s="122"/>
      <c r="WVR15" s="122"/>
      <c r="WVS15" s="122"/>
      <c r="WVT15" s="122"/>
      <c r="WVU15" s="122"/>
      <c r="WVV15" s="122"/>
      <c r="WVW15" s="122"/>
      <c r="WVX15" s="122"/>
      <c r="WVY15" s="122"/>
      <c r="WVZ15" s="122"/>
      <c r="WWA15" s="122"/>
      <c r="WWB15" s="122"/>
      <c r="WWC15" s="122"/>
      <c r="WWD15" s="122"/>
      <c r="WWE15" s="122"/>
      <c r="WWF15" s="122"/>
      <c r="WWG15" s="122"/>
      <c r="WWH15" s="122"/>
      <c r="WWI15" s="122"/>
      <c r="WWJ15" s="122"/>
      <c r="WWK15" s="122"/>
      <c r="WWL15" s="122"/>
      <c r="WWM15" s="122"/>
      <c r="WWN15" s="122"/>
      <c r="WWO15" s="122"/>
      <c r="WWP15" s="122"/>
      <c r="WWQ15" s="122"/>
      <c r="WWR15" s="122"/>
      <c r="WWS15" s="122"/>
      <c r="WWT15" s="122"/>
      <c r="WWU15" s="122"/>
      <c r="WWV15" s="122"/>
      <c r="WWW15" s="122"/>
      <c r="WWX15" s="122"/>
      <c r="WWY15" s="122"/>
      <c r="WWZ15" s="122"/>
      <c r="WXA15" s="122"/>
      <c r="WXB15" s="122"/>
      <c r="WXC15" s="122"/>
      <c r="WXD15" s="122"/>
      <c r="WXE15" s="122"/>
      <c r="WXF15" s="122"/>
      <c r="WXG15" s="122"/>
      <c r="WXH15" s="122"/>
      <c r="WXI15" s="122"/>
      <c r="WXJ15" s="122"/>
      <c r="WXK15" s="122"/>
      <c r="WXL15" s="122"/>
      <c r="WXM15" s="122"/>
      <c r="WXN15" s="122"/>
      <c r="WXO15" s="122"/>
      <c r="WXP15" s="122"/>
      <c r="WXQ15" s="122"/>
      <c r="WXR15" s="122"/>
      <c r="WXS15" s="122"/>
      <c r="WXT15" s="122"/>
      <c r="WXU15" s="122"/>
      <c r="WXV15" s="122"/>
      <c r="WXW15" s="122"/>
      <c r="WXX15" s="122"/>
      <c r="WXY15" s="122"/>
      <c r="WXZ15" s="122"/>
      <c r="WYA15" s="122"/>
      <c r="WYB15" s="122"/>
      <c r="WYC15" s="122"/>
      <c r="WYD15" s="122"/>
      <c r="WYE15" s="122"/>
      <c r="WYF15" s="122"/>
      <c r="WYG15" s="122"/>
      <c r="WYH15" s="122"/>
      <c r="WYI15" s="122"/>
      <c r="WYJ15" s="122"/>
      <c r="WYK15" s="122"/>
      <c r="WYL15" s="122"/>
      <c r="WYM15" s="122"/>
      <c r="WYN15" s="122"/>
      <c r="WYO15" s="122"/>
      <c r="WYP15" s="122"/>
      <c r="WYQ15" s="122"/>
      <c r="WYR15" s="122"/>
      <c r="WYS15" s="122"/>
      <c r="WYT15" s="122"/>
      <c r="WYU15" s="122"/>
      <c r="WYV15" s="122"/>
      <c r="WYW15" s="122"/>
      <c r="WYX15" s="122"/>
      <c r="WYY15" s="122"/>
      <c r="WYZ15" s="122"/>
      <c r="WZA15" s="122"/>
      <c r="WZB15" s="122"/>
      <c r="WZC15" s="122"/>
      <c r="WZD15" s="122"/>
      <c r="WZE15" s="122"/>
      <c r="WZF15" s="122"/>
      <c r="WZG15" s="122"/>
      <c r="WZH15" s="122"/>
      <c r="WZI15" s="122"/>
      <c r="WZJ15" s="122"/>
      <c r="WZK15" s="122"/>
      <c r="WZL15" s="122"/>
      <c r="WZM15" s="122"/>
      <c r="WZN15" s="122"/>
      <c r="WZO15" s="122"/>
      <c r="WZP15" s="122"/>
      <c r="WZQ15" s="122"/>
      <c r="WZR15" s="122"/>
      <c r="WZS15" s="122"/>
      <c r="WZT15" s="122"/>
      <c r="WZU15" s="122"/>
      <c r="WZV15" s="122"/>
      <c r="WZW15" s="122"/>
      <c r="WZX15" s="122"/>
      <c r="WZY15" s="122"/>
      <c r="WZZ15" s="122"/>
      <c r="XAA15" s="122"/>
      <c r="XAB15" s="122"/>
      <c r="XAC15" s="122"/>
      <c r="XAD15" s="122"/>
      <c r="XAE15" s="122"/>
      <c r="XAF15" s="122"/>
      <c r="XAG15" s="122"/>
      <c r="XAH15" s="122"/>
      <c r="XAI15" s="122"/>
      <c r="XAJ15" s="122"/>
      <c r="XAK15" s="122"/>
      <c r="XAL15" s="122"/>
      <c r="XAM15" s="122"/>
      <c r="XAN15" s="122"/>
      <c r="XAO15" s="122"/>
      <c r="XAP15" s="122"/>
      <c r="XAQ15" s="122"/>
      <c r="XAR15" s="122"/>
      <c r="XAS15" s="122"/>
      <c r="XAT15" s="122"/>
      <c r="XAU15" s="122"/>
      <c r="XAV15" s="122"/>
      <c r="XAW15" s="122"/>
      <c r="XAX15" s="122"/>
      <c r="XAY15" s="122"/>
      <c r="XAZ15" s="122"/>
      <c r="XBA15" s="122"/>
      <c r="XBB15" s="122"/>
      <c r="XBC15" s="122"/>
      <c r="XBD15" s="122"/>
      <c r="XBE15" s="122"/>
      <c r="XBF15" s="122"/>
      <c r="XBG15" s="122"/>
      <c r="XBH15" s="122"/>
      <c r="XBI15" s="122"/>
      <c r="XBJ15" s="122"/>
      <c r="XBK15" s="122"/>
      <c r="XBL15" s="122"/>
      <c r="XBM15" s="122"/>
      <c r="XBN15" s="122"/>
      <c r="XBO15" s="122"/>
      <c r="XBP15" s="122"/>
      <c r="XBQ15" s="122"/>
      <c r="XBR15" s="122"/>
      <c r="XBS15" s="122"/>
      <c r="XBT15" s="122"/>
      <c r="XBU15" s="122"/>
      <c r="XBV15" s="122"/>
      <c r="XBW15" s="122"/>
      <c r="XBX15" s="122"/>
      <c r="XBY15" s="122"/>
      <c r="XBZ15" s="122"/>
      <c r="XCA15" s="122"/>
      <c r="XCB15" s="122"/>
      <c r="XCC15" s="122"/>
      <c r="XCD15" s="122"/>
      <c r="XCE15" s="122"/>
      <c r="XCF15" s="122"/>
      <c r="XCG15" s="122"/>
      <c r="XCH15" s="122"/>
      <c r="XCI15" s="122"/>
      <c r="XCJ15" s="122"/>
      <c r="XCK15" s="122"/>
      <c r="XCL15" s="122"/>
      <c r="XCM15" s="122"/>
      <c r="XCN15" s="122"/>
      <c r="XCO15" s="122"/>
      <c r="XCP15" s="122"/>
      <c r="XCQ15" s="122"/>
      <c r="XCR15" s="122"/>
      <c r="XCS15" s="122"/>
      <c r="XCT15" s="122"/>
      <c r="XCU15" s="122"/>
      <c r="XCV15" s="122"/>
      <c r="XCW15" s="122"/>
      <c r="XCX15" s="122"/>
      <c r="XCY15" s="122"/>
      <c r="XCZ15" s="122"/>
      <c r="XDA15" s="122"/>
      <c r="XDB15" s="122"/>
      <c r="XDC15" s="122"/>
      <c r="XDD15" s="122"/>
      <c r="XDE15" s="122"/>
      <c r="XDF15" s="122"/>
      <c r="XDG15" s="122"/>
      <c r="XDH15" s="122"/>
      <c r="XDI15" s="122"/>
      <c r="XDJ15" s="122"/>
      <c r="XDK15" s="122"/>
      <c r="XDL15" s="122"/>
      <c r="XDM15" s="122"/>
      <c r="XDN15" s="122"/>
      <c r="XDO15" s="122"/>
      <c r="XDP15" s="122"/>
      <c r="XDQ15" s="122"/>
      <c r="XDR15" s="122"/>
      <c r="XDS15" s="122"/>
      <c r="XDT15" s="122"/>
      <c r="XDU15" s="122"/>
      <c r="XDV15" s="122"/>
      <c r="XDW15" s="122"/>
      <c r="XDX15" s="122"/>
      <c r="XDY15" s="122"/>
      <c r="XDZ15" s="122"/>
      <c r="XEA15" s="122"/>
      <c r="XEB15" s="122"/>
      <c r="XEC15" s="122"/>
      <c r="XED15" s="122"/>
      <c r="XEE15" s="122"/>
      <c r="XEF15" s="122"/>
      <c r="XEG15" s="122"/>
      <c r="XEH15" s="122"/>
      <c r="XEI15" s="122"/>
      <c r="XEJ15" s="122"/>
      <c r="XEK15" s="122"/>
      <c r="XEL15" s="122"/>
      <c r="XEM15" s="122"/>
      <c r="XEN15" s="122"/>
      <c r="XEO15" s="122"/>
      <c r="XEP15" s="122"/>
      <c r="XEQ15" s="122"/>
      <c r="XER15" s="122"/>
      <c r="XES15" s="122"/>
      <c r="XET15" s="122"/>
      <c r="XEU15" s="122"/>
      <c r="XEV15" s="122"/>
      <c r="XEW15" s="122"/>
      <c r="XEX15" s="122"/>
      <c r="XEY15" s="122"/>
      <c r="XEZ15" s="122"/>
      <c r="XFA15" s="122"/>
      <c r="XFB15" s="122"/>
      <c r="XFC15" s="122"/>
    </row>
    <row r="16" spans="1:16383">
      <c r="A16" s="241">
        <v>30439</v>
      </c>
      <c r="B16" s="160" t="s">
        <v>1908</v>
      </c>
      <c r="C16" s="468">
        <f>T16</f>
        <v>2.37</v>
      </c>
      <c r="D16" s="160">
        <f>COUNTIF(AJ16:AX16,"*OK*")</f>
        <v>0</v>
      </c>
      <c r="E16" s="160"/>
      <c r="F16" s="218" t="s">
        <v>1909</v>
      </c>
      <c r="G16" s="182"/>
      <c r="H16" s="168"/>
      <c r="I16" s="168"/>
      <c r="J16" s="182"/>
      <c r="K16" s="196" t="s">
        <v>68</v>
      </c>
      <c r="L16" s="244" t="s">
        <v>768</v>
      </c>
      <c r="M16" s="182"/>
      <c r="N16" s="182"/>
      <c r="O16" s="161">
        <v>2.41</v>
      </c>
      <c r="P16" s="161">
        <v>2.4</v>
      </c>
      <c r="Q16" s="161">
        <v>2.29</v>
      </c>
      <c r="R16" s="186">
        <v>2.36</v>
      </c>
      <c r="S16" s="510">
        <v>2.3963000000000001</v>
      </c>
      <c r="T16" s="551">
        <v>2.37</v>
      </c>
      <c r="U16" s="164"/>
      <c r="V16" s="165">
        <v>100</v>
      </c>
      <c r="W16" s="187"/>
      <c r="X16" s="207" t="s">
        <v>70</v>
      </c>
      <c r="Y16" s="166" t="s">
        <v>162</v>
      </c>
      <c r="Z16" s="167" t="s">
        <v>1910</v>
      </c>
      <c r="AA16" s="165" t="s">
        <v>162</v>
      </c>
      <c r="AB16" s="188" t="s">
        <v>240</v>
      </c>
      <c r="AC16" s="168" t="s">
        <v>139</v>
      </c>
      <c r="AD16" s="160"/>
      <c r="AE16" s="160"/>
      <c r="AF16" s="160"/>
      <c r="AG16" s="160"/>
      <c r="AH16" s="160"/>
      <c r="AI16" s="163" t="s">
        <v>178</v>
      </c>
      <c r="AJ16" s="170"/>
      <c r="AK16" s="170"/>
      <c r="AL16" s="170"/>
      <c r="AM16" s="170"/>
      <c r="AN16" s="170"/>
      <c r="AO16" s="170"/>
      <c r="AP16" s="170"/>
      <c r="AQ16" s="170"/>
      <c r="AR16" s="170"/>
      <c r="AS16" s="170"/>
      <c r="AT16" s="170"/>
      <c r="AU16" s="170"/>
      <c r="AV16" s="170"/>
      <c r="AW16" s="170"/>
      <c r="AX16" s="170"/>
      <c r="AY16" s="170"/>
      <c r="AZ16" s="169" t="s">
        <v>59</v>
      </c>
      <c r="BA16" s="160">
        <f>(COUNTIF(AJ16:AL16,"*OK*")*3) + (COUNTIF(AM16:AO16,"*OK*")*2) + COUNTIF(AP16:AR16,"*OK*")+COUNTIF(AZ16:AZ16,"SI")*0.5</f>
        <v>0</v>
      </c>
      <c r="BB16" s="160" t="str">
        <f>IF(BA16&lt;0.6,"Demasiado Riesgo",IF(BA16&lt;=5,"Riesgo Medio",IF(BA16&lt;=11,"Riesgo Bajo","Cliente Blindado")))</f>
        <v>Demasiado Riesgo</v>
      </c>
      <c r="BC16" s="160"/>
      <c r="BD16" s="160"/>
      <c r="BE16" s="160">
        <v>0</v>
      </c>
      <c r="BF16" s="160"/>
      <c r="BG16" s="160"/>
      <c r="BH16" s="160"/>
      <c r="BI16" s="160"/>
      <c r="BJ16" s="160"/>
      <c r="BK16" s="160"/>
      <c r="BL16" s="160"/>
      <c r="BM16" s="160"/>
      <c r="BN16" s="160"/>
      <c r="BO16" s="160"/>
      <c r="BP16" s="160"/>
      <c r="BQ16" s="160"/>
      <c r="BR16" s="160"/>
      <c r="BS16" s="160"/>
      <c r="BT16" s="160"/>
      <c r="BU16" s="160"/>
      <c r="BV16" s="160"/>
      <c r="BW16" s="160"/>
      <c r="BX16" s="160"/>
      <c r="BY16" s="160"/>
      <c r="BZ16" s="160"/>
      <c r="CA16" s="160">
        <f>COUNTIF(AJ16:AX16,"*OK*")</f>
        <v>0</v>
      </c>
      <c r="CB16" s="160"/>
      <c r="CC16" s="160">
        <f>COUNTIF(AJ16:AX16,"*OP*")</f>
        <v>0</v>
      </c>
    </row>
  </sheetData>
  <protectedRanges>
    <protectedRange sqref="M6:N6" name="Facturación_7"/>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s>
  <conditionalFormatting sqref="A2:B14">
    <cfRule type="containsBlanks" dxfId="71" priority="49">
      <formula>LEN(TRIM(A2))=0</formula>
    </cfRule>
  </conditionalFormatting>
  <conditionalFormatting sqref="C3:AV13">
    <cfRule type="expression" dxfId="70" priority="77">
      <formula>AND(ISODD(ROW()),LEN(TRIM(C3))=0)</formula>
    </cfRule>
    <cfRule type="expression" dxfId="69" priority="78">
      <formula>AND(ISEVEN(ROW()),LEN(TRIM(C3))=0)</formula>
    </cfRule>
  </conditionalFormatting>
  <conditionalFormatting sqref="G14:AF14">
    <cfRule type="expression" dxfId="68" priority="53">
      <formula>ISEVEN(ROW())</formula>
    </cfRule>
    <cfRule type="expression" dxfId="67" priority="56">
      <formula>ISODD(ROW())</formula>
    </cfRule>
  </conditionalFormatting>
  <conditionalFormatting sqref="L3:L14">
    <cfRule type="containsText" dxfId="66" priority="55" operator="containsText" text="Crítico">
      <formula>NOT(ISERROR(SEARCH("Crítico",L3)))</formula>
    </cfRule>
  </conditionalFormatting>
  <conditionalFormatting sqref="N3:O13">
    <cfRule type="expression" dxfId="65" priority="68">
      <formula>AND(N3&lt;M3, M3&gt;0)</formula>
    </cfRule>
  </conditionalFormatting>
  <conditionalFormatting sqref="N3:P13">
    <cfRule type="expression" dxfId="64" priority="67">
      <formula>AND(N3&gt;M3, M3&gt;0)</formula>
    </cfRule>
  </conditionalFormatting>
  <conditionalFormatting sqref="N14:P14">
    <cfRule type="expression" dxfId="63" priority="52">
      <formula>AND(N14&lt;M14, M14&gt;0)</formula>
    </cfRule>
    <cfRule type="expression" dxfId="62" priority="54">
      <formula>AND(N14&gt;M14, M14&gt;0)</formula>
    </cfRule>
  </conditionalFormatting>
  <conditionalFormatting sqref="P3:P13">
    <cfRule type="expression" dxfId="61" priority="65">
      <formula>AND(P3&lt;O3, O3&gt;0,NOT(ISBLANK(O3)))</formula>
    </cfRule>
  </conditionalFormatting>
  <conditionalFormatting sqref="AG3:AV14">
    <cfRule type="containsText" dxfId="60" priority="62" operator="containsText" text="OK">
      <formula>NOT(ISERROR(SEARCH("OK",AG3)))</formula>
    </cfRule>
    <cfRule type="containsText" dxfId="59" priority="63" operator="containsText" text="OP">
      <formula>NOT(ISERROR(SEARCH("OP",AG3)))</formula>
    </cfRule>
    <cfRule type="containsText" dxfId="58" priority="64" operator="containsText" text="NO">
      <formula>NOT(ISERROR(SEARCH("NO",AG3)))</formula>
    </cfRule>
  </conditionalFormatting>
  <conditionalFormatting sqref="AG14:AV14">
    <cfRule type="expression" dxfId="57" priority="50">
      <formula>AND(ISODD(ROW()),LEN(TRIM(AG14))=0)</formula>
    </cfRule>
    <cfRule type="expression" dxfId="56" priority="51">
      <formula>AND(ISEVEN(ROW()),LEN(TRIM(AG14))=0)</formula>
    </cfRule>
  </conditionalFormatting>
  <conditionalFormatting sqref="AX2:AY2">
    <cfRule type="containsText" dxfId="55" priority="47" operator="containsText" text="NO">
      <formula>NOT(ISERROR(SEARCH("NO",AX2)))</formula>
    </cfRule>
    <cfRule type="containsText" dxfId="54" priority="48" operator="containsText" text="SI">
      <formula>NOT(ISERROR(SEARCH("SI",AX2)))</formula>
    </cfRule>
  </conditionalFormatting>
  <conditionalFormatting sqref="AY2:AY14">
    <cfRule type="containsText" dxfId="53" priority="43" operator="containsText" text="Riesgo bajo">
      <formula>NOT(ISERROR(SEARCH("Riesgo bajo",AY2)))</formula>
    </cfRule>
    <cfRule type="containsText" dxfId="52" priority="44" operator="containsText" text="Cliente blindado">
      <formula>NOT(ISERROR(SEARCH("Cliente blindado",AY2)))</formula>
    </cfRule>
    <cfRule type="containsText" dxfId="51" priority="45" operator="containsText" text="Riesgo medio">
      <formula>NOT(ISERROR(SEARCH("Riesgo medio",AY2)))</formula>
    </cfRule>
    <cfRule type="containsText" dxfId="50" priority="46" operator="containsText" text="Demasiado riesgo">
      <formula>NOT(ISERROR(SEARCH("Demasiado riesgo",AY2)))</formula>
    </cfRule>
  </conditionalFormatting>
  <conditionalFormatting sqref="A15:B15">
    <cfRule type="containsBlanks" dxfId="49" priority="39">
      <formula>LEN(TRIM(A15))=0</formula>
    </cfRule>
  </conditionalFormatting>
  <conditionalFormatting sqref="BA15">
    <cfRule type="containsText" dxfId="48" priority="35" operator="containsText" text="Riesgo bajo">
      <formula>NOT(ISERROR(SEARCH("Riesgo bajo",BA15)))</formula>
    </cfRule>
    <cfRule type="containsText" dxfId="47" priority="36" operator="containsText" text="Cliente blindado">
      <formula>NOT(ISERROR(SEARCH("Cliente blindado",BA15)))</formula>
    </cfRule>
    <cfRule type="containsText" dxfId="46" priority="37" operator="containsText" text="Riesgo medio">
      <formula>NOT(ISERROR(SEARCH("Riesgo medio",BA15)))</formula>
    </cfRule>
    <cfRule type="containsText" dxfId="45" priority="38" operator="containsText" text="Demasiado riesgo">
      <formula>NOT(ISERROR(SEARCH("Demasiado riesgo",BA15)))</formula>
    </cfRule>
  </conditionalFormatting>
  <conditionalFormatting sqref="O15:S15">
    <cfRule type="expression" dxfId="44" priority="32">
      <formula>AND(O15&gt;N15, N15&gt;0)</formula>
    </cfRule>
  </conditionalFormatting>
  <conditionalFormatting sqref="O15:S15">
    <cfRule type="expression" dxfId="43" priority="30">
      <formula>AND(O15&lt;N15, N15&gt;0)</formula>
    </cfRule>
  </conditionalFormatting>
  <conditionalFormatting sqref="M15">
    <cfRule type="containsText" dxfId="42" priority="33" operator="containsText" text="Crítico">
      <formula>NOT(ISERROR(SEARCH("Crítico",M15)))</formula>
    </cfRule>
  </conditionalFormatting>
  <conditionalFormatting sqref="AI15:AX15">
    <cfRule type="containsText" dxfId="41" priority="40" operator="containsText" text="OK">
      <formula>NOT(ISERROR(SEARCH("OK",AI15)))</formula>
    </cfRule>
  </conditionalFormatting>
  <conditionalFormatting sqref="AI15:AX15">
    <cfRule type="containsText" dxfId="40" priority="41" operator="containsText" text="OP">
      <formula>NOT(ISERROR(SEARCH("OP",AI15)))</formula>
    </cfRule>
  </conditionalFormatting>
  <conditionalFormatting sqref="AI15:AX15">
    <cfRule type="containsText" dxfId="39" priority="42" operator="containsText" text="NO">
      <formula>NOT(ISERROR(SEARCH("NO",AI15)))</formula>
    </cfRule>
  </conditionalFormatting>
  <conditionalFormatting sqref="G15:Q15 S15:AH15">
    <cfRule type="expression" dxfId="38" priority="34">
      <formula>ISODD(ROW())</formula>
    </cfRule>
  </conditionalFormatting>
  <conditionalFormatting sqref="G15:Q15 S15:AH15">
    <cfRule type="expression" dxfId="37" priority="31">
      <formula>ISEVEN(ROW())</formula>
    </cfRule>
  </conditionalFormatting>
  <conditionalFormatting sqref="AI15:AX15">
    <cfRule type="expression" dxfId="36" priority="29">
      <formula>AND(ISEVEN(ROW()),LEN(TRIM(AI15))=0)</formula>
    </cfRule>
  </conditionalFormatting>
  <conditionalFormatting sqref="AI15:AX15">
    <cfRule type="expression" dxfId="35" priority="28">
      <formula>AND(ISODD(ROW()),LEN(TRIM(AI15))=0)</formula>
    </cfRule>
  </conditionalFormatting>
  <conditionalFormatting sqref="R15">
    <cfRule type="expression" dxfId="34" priority="26">
      <formula>ISEVEN(ROW())</formula>
    </cfRule>
    <cfRule type="expression" dxfId="33" priority="27">
      <formula>ISODD(ROW())</formula>
    </cfRule>
  </conditionalFormatting>
  <conditionalFormatting sqref="A16:B16">
    <cfRule type="containsBlanks" dxfId="32" priority="14">
      <formula>LEN(TRIM(A16))=0</formula>
    </cfRule>
  </conditionalFormatting>
  <conditionalFormatting sqref="BB16">
    <cfRule type="containsText" dxfId="31" priority="10" operator="containsText" text="Riesgo bajo">
      <formula>NOT(ISERROR(SEARCH("Riesgo bajo",BB16)))</formula>
    </cfRule>
    <cfRule type="containsText" dxfId="30" priority="11" operator="containsText" text="Cliente blindado">
      <formula>NOT(ISERROR(SEARCH("Cliente blindado",BB16)))</formula>
    </cfRule>
    <cfRule type="containsText" dxfId="29" priority="12" operator="containsText" text="Riesgo medio">
      <formula>NOT(ISERROR(SEARCH("Riesgo medio",BB16)))</formula>
    </cfRule>
    <cfRule type="containsText" dxfId="28" priority="13" operator="containsText" text="Demasiado riesgo">
      <formula>NOT(ISERROR(SEARCH("Demasiado riesgo",BB16)))</formula>
    </cfRule>
  </conditionalFormatting>
  <conditionalFormatting sqref="P16:T16">
    <cfRule type="expression" dxfId="27" priority="7">
      <formula>AND(P16&gt;O16, O16&gt;0)</formula>
    </cfRule>
  </conditionalFormatting>
  <conditionalFormatting sqref="P16:T16">
    <cfRule type="expression" dxfId="26" priority="5">
      <formula>AND(P16&lt;O16, O16&gt;0)</formula>
    </cfRule>
  </conditionalFormatting>
  <conditionalFormatting sqref="N16">
    <cfRule type="containsText" dxfId="25" priority="8" operator="containsText" text="Crítico">
      <formula>NOT(ISERROR(SEARCH("Crítico",N16)))</formula>
    </cfRule>
  </conditionalFormatting>
  <conditionalFormatting sqref="AJ16:AY16">
    <cfRule type="containsText" dxfId="24" priority="15" operator="containsText" text="OK">
      <formula>NOT(ISERROR(SEARCH("OK",AJ16)))</formula>
    </cfRule>
  </conditionalFormatting>
  <conditionalFormatting sqref="AJ16:AY16">
    <cfRule type="containsText" dxfId="23" priority="16" operator="containsText" text="OP">
      <formula>NOT(ISERROR(SEARCH("OP",AJ16)))</formula>
    </cfRule>
  </conditionalFormatting>
  <conditionalFormatting sqref="AJ16:AY16">
    <cfRule type="containsText" dxfId="22" priority="17" operator="containsText" text="NO">
      <formula>NOT(ISERROR(SEARCH("NO",AJ16)))</formula>
    </cfRule>
  </conditionalFormatting>
  <conditionalFormatting sqref="G16:R16 T16:AI16">
    <cfRule type="expression" dxfId="21" priority="9">
      <formula>ISODD(ROW())</formula>
    </cfRule>
  </conditionalFormatting>
  <conditionalFormatting sqref="G16:R16 T16:AI16">
    <cfRule type="expression" dxfId="20" priority="6">
      <formula>ISEVEN(ROW())</formula>
    </cfRule>
  </conditionalFormatting>
  <conditionalFormatting sqref="AJ16:AY16">
    <cfRule type="expression" dxfId="19" priority="4">
      <formula>AND(ISEVEN(ROW()),LEN(TRIM(AJ16))=0)</formula>
    </cfRule>
  </conditionalFormatting>
  <conditionalFormatting sqref="AJ16:AY16">
    <cfRule type="expression" dxfId="18" priority="3">
      <formula>AND(ISODD(ROW()),LEN(TRIM(AJ16))=0)</formula>
    </cfRule>
  </conditionalFormatting>
  <conditionalFormatting sqref="S16">
    <cfRule type="expression" dxfId="17" priority="1">
      <formula>ISEVEN(ROW())</formula>
    </cfRule>
    <cfRule type="expression" dxfId="16" priority="2">
      <formula>ISODD(ROW())</formula>
    </cfRule>
  </conditionalFormatting>
  <conditionalFormatting sqref="Q16">
    <cfRule type="expression" dxfId="15" priority="18">
      <formula>AND(Q16&lt;P16, P16&gt;0)</formula>
    </cfRule>
  </conditionalFormatting>
  <conditionalFormatting sqref="Q16">
    <cfRule type="expression" dxfId="14" priority="19">
      <formula>AND(Q16&gt;P16, P16&gt;0)</formula>
    </cfRule>
  </conditionalFormatting>
  <conditionalFormatting sqref="R16">
    <cfRule type="expression" dxfId="13" priority="20">
      <formula>AND(R16&lt;Q16, Q16&gt;0)</formula>
    </cfRule>
  </conditionalFormatting>
  <conditionalFormatting sqref="R16">
    <cfRule type="expression" dxfId="12" priority="21">
      <formula>AND(R16&gt;Q16, Q16&gt;0)</formula>
    </cfRule>
  </conditionalFormatting>
  <conditionalFormatting sqref="S16">
    <cfRule type="expression" dxfId="11" priority="22">
      <formula>AND(S16&lt;R16, R16&gt;0)</formula>
    </cfRule>
  </conditionalFormatting>
  <conditionalFormatting sqref="S16">
    <cfRule type="expression" dxfId="10" priority="23">
      <formula>AND(S16&gt;R16, R16&gt;0)</formula>
    </cfRule>
  </conditionalFormatting>
  <conditionalFormatting sqref="T16">
    <cfRule type="expression" dxfId="9" priority="24">
      <formula>AND(T16&lt;S16, S16&gt;0)</formula>
    </cfRule>
  </conditionalFormatting>
  <conditionalFormatting sqref="T16">
    <cfRule type="expression" dxfId="8" priority="25">
      <formula>AND(T16&gt;S16, S16&gt;0)</formula>
    </cfRule>
  </conditionalFormatting>
  <dataValidations count="3">
    <dataValidation type="list" allowBlank="1" showInputMessage="1" showErrorMessage="1" sqref="AZ3:AZ14 BB15 BC16" xr:uid="{8DC52599-E93A-42E0-9296-B0EA79AA6553}">
      <formula1>"Pedir referido,Usar como referencia,Ambos"</formula1>
    </dataValidation>
    <dataValidation allowBlank="1" showInputMessage="1" showErrorMessage="1" sqref="AA2:AA14 H15 H16:I16"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xm:sqref>
        </x14:dataValidation>
        <x14:dataValidation type="list" allowBlank="1" showInputMessage="1" showErrorMessage="1" xr:uid="{B602BD20-28F2-45E8-B25D-D0B48543DA1A}">
          <x14:formula1>
            <xm:f>'Info general'!$N$2:$N$7</xm:f>
          </x14:formula1>
          <xm:sqref>AC3:AC14 AE15 AF16</xm:sqref>
        </x14:dataValidation>
        <x14:dataValidation type="list" allowBlank="1" showInputMessage="1" showErrorMessage="1" xr:uid="{A7AB06E3-8520-4704-A75D-05C4C7FBE613}">
          <x14:formula1>
            <xm:f>'Info general'!$K$2:$K$6</xm:f>
          </x14:formula1>
          <xm:sqref>AB3:AB14 AD15 AE16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1911</v>
      </c>
      <c r="K1" t="s">
        <v>15</v>
      </c>
      <c r="L1" t="s">
        <v>16</v>
      </c>
    </row>
    <row r="2" spans="1:12" ht="25.5" customHeight="1">
      <c r="A2" s="31" t="s">
        <v>1912</v>
      </c>
      <c r="I2" s="37" t="s">
        <v>605</v>
      </c>
      <c r="J2" s="31" t="s">
        <v>68</v>
      </c>
      <c r="K2" s="33">
        <v>173.8526</v>
      </c>
      <c r="L2" s="33">
        <v>168.44040000000001</v>
      </c>
    </row>
    <row r="3" spans="1:12">
      <c r="A3" s="31" t="s">
        <v>1913</v>
      </c>
      <c r="B3" s="32"/>
      <c r="I3" s="37" t="s">
        <v>1303</v>
      </c>
      <c r="J3" s="31" t="s">
        <v>79</v>
      </c>
      <c r="K3" s="33">
        <v>2862.7723999999998</v>
      </c>
      <c r="L3" s="33">
        <v>2889.4423999999999</v>
      </c>
    </row>
    <row r="4" spans="1:12" ht="25.5" customHeight="1">
      <c r="A4" s="101" t="s">
        <v>290</v>
      </c>
      <c r="I4" s="38" t="s">
        <v>1292</v>
      </c>
      <c r="J4" s="31" t="s">
        <v>79</v>
      </c>
      <c r="K4" s="35">
        <v>2338</v>
      </c>
      <c r="L4" s="35">
        <v>2338</v>
      </c>
    </row>
    <row r="5" spans="1:12">
      <c r="A5" s="31" t="s">
        <v>1914</v>
      </c>
      <c r="I5" s="37" t="s">
        <v>462</v>
      </c>
      <c r="J5" s="31" t="s">
        <v>79</v>
      </c>
      <c r="K5" s="33"/>
      <c r="L5" s="33">
        <v>1585.5482999999999</v>
      </c>
    </row>
    <row r="6" spans="1:12">
      <c r="A6" s="34" t="s">
        <v>1915</v>
      </c>
      <c r="I6" s="38" t="s">
        <v>331</v>
      </c>
      <c r="J6" s="31" t="s">
        <v>79</v>
      </c>
      <c r="K6" s="35"/>
      <c r="L6" s="35">
        <v>1573.9508000000001</v>
      </c>
    </row>
    <row r="7" spans="1:12">
      <c r="A7" s="31" t="s">
        <v>1916</v>
      </c>
      <c r="I7" s="37" t="s">
        <v>1862</v>
      </c>
      <c r="J7" s="31" t="s">
        <v>79</v>
      </c>
      <c r="K7" s="33">
        <v>1388.5025000000001</v>
      </c>
      <c r="L7" s="33">
        <v>1179.6347000000001</v>
      </c>
    </row>
    <row r="8" spans="1:12" ht="25.5" customHeight="1">
      <c r="A8" s="34" t="s">
        <v>1917</v>
      </c>
      <c r="I8" s="37" t="s">
        <v>1918</v>
      </c>
      <c r="J8" s="31" t="s">
        <v>79</v>
      </c>
      <c r="K8" s="33">
        <v>1220.4450999999999</v>
      </c>
      <c r="L8" s="33">
        <v>1113.3631</v>
      </c>
    </row>
    <row r="9" spans="1:12">
      <c r="A9" s="31" t="s">
        <v>1919</v>
      </c>
      <c r="I9" s="38" t="s">
        <v>1920</v>
      </c>
      <c r="J9" s="31" t="s">
        <v>79</v>
      </c>
      <c r="K9" s="35"/>
      <c r="L9" s="35">
        <v>900.74170000000004</v>
      </c>
    </row>
    <row r="10" spans="1:12">
      <c r="A10" s="40" t="s">
        <v>1921</v>
      </c>
      <c r="I10" s="38" t="s">
        <v>1878</v>
      </c>
      <c r="J10" s="31" t="s">
        <v>79</v>
      </c>
      <c r="K10" s="35"/>
      <c r="L10" s="35">
        <v>834.63580000000002</v>
      </c>
    </row>
    <row r="11" spans="1:12" ht="38.25" customHeight="1">
      <c r="A11" s="41" t="s">
        <v>1922</v>
      </c>
      <c r="I11" s="37" t="s">
        <v>352</v>
      </c>
      <c r="J11" s="31" t="s">
        <v>79</v>
      </c>
      <c r="K11" s="33"/>
      <c r="L11" s="33">
        <v>770.07619999999997</v>
      </c>
    </row>
    <row r="12" spans="1:12" ht="25.5" customHeight="1">
      <c r="A12" t="s">
        <v>1923</v>
      </c>
      <c r="I12" s="38" t="s">
        <v>1924</v>
      </c>
      <c r="J12" s="31" t="s">
        <v>79</v>
      </c>
      <c r="K12" s="35">
        <v>782.33659999999998</v>
      </c>
      <c r="L12" s="35">
        <v>745.5557</v>
      </c>
    </row>
    <row r="13" spans="1:12" ht="25.5" customHeight="1">
      <c r="A13" s="59" t="s">
        <v>1925</v>
      </c>
      <c r="I13" s="38" t="s">
        <v>1192</v>
      </c>
      <c r="J13" s="31" t="s">
        <v>79</v>
      </c>
      <c r="K13" s="35">
        <v>707.00049999999999</v>
      </c>
      <c r="L13" s="35">
        <v>680.66470000000004</v>
      </c>
    </row>
    <row r="14" spans="1:12" ht="25.5" customHeight="1">
      <c r="A14" s="60" t="s">
        <v>1926</v>
      </c>
      <c r="I14" s="37" t="s">
        <v>1864</v>
      </c>
      <c r="J14" s="31" t="s">
        <v>79</v>
      </c>
      <c r="K14" s="33">
        <v>788.01580000000001</v>
      </c>
      <c r="L14" s="33">
        <v>644.27049999999997</v>
      </c>
    </row>
    <row r="15" spans="1:12">
      <c r="I15" s="38" t="s">
        <v>1927</v>
      </c>
      <c r="J15" s="31" t="s">
        <v>79</v>
      </c>
      <c r="K15" s="35">
        <v>525.14020000000005</v>
      </c>
      <c r="L15" s="35">
        <v>500.45119999999997</v>
      </c>
    </row>
    <row r="16" spans="1:12">
      <c r="I16" s="37" t="s">
        <v>1049</v>
      </c>
      <c r="J16" s="31" t="s">
        <v>68</v>
      </c>
      <c r="K16" s="33">
        <v>368.5675</v>
      </c>
      <c r="L16" s="33">
        <v>347.92599999999999</v>
      </c>
    </row>
    <row r="17" spans="9:12">
      <c r="I17" s="38" t="s">
        <v>1047</v>
      </c>
      <c r="J17" s="31" t="s">
        <v>68</v>
      </c>
      <c r="K17" s="35">
        <v>359.09249999999997</v>
      </c>
      <c r="L17" s="35">
        <v>342.21</v>
      </c>
    </row>
    <row r="18" spans="9:12">
      <c r="I18" s="37" t="s">
        <v>448</v>
      </c>
      <c r="J18" s="31" t="s">
        <v>68</v>
      </c>
      <c r="K18" s="33"/>
      <c r="L18" s="33">
        <v>323.07409999999999</v>
      </c>
    </row>
    <row r="19" spans="9:12">
      <c r="I19" s="37" t="s">
        <v>99</v>
      </c>
      <c r="J19" s="31" t="s">
        <v>68</v>
      </c>
      <c r="K19" s="33">
        <v>254.60249999999999</v>
      </c>
      <c r="L19" s="33">
        <v>308.39269999999999</v>
      </c>
    </row>
    <row r="20" spans="9:12">
      <c r="I20" s="37" t="s">
        <v>192</v>
      </c>
      <c r="J20" s="31" t="s">
        <v>68</v>
      </c>
      <c r="K20" s="33">
        <v>312.93459999999999</v>
      </c>
      <c r="L20" s="33">
        <v>305.67779999999999</v>
      </c>
    </row>
    <row r="21" spans="9:12" ht="25.5" customHeight="1">
      <c r="I21" s="38" t="s">
        <v>1045</v>
      </c>
      <c r="J21" s="31" t="s">
        <v>68</v>
      </c>
      <c r="K21" s="35"/>
      <c r="L21" s="35">
        <v>300.98349999999999</v>
      </c>
    </row>
    <row r="22" spans="9:12">
      <c r="I22" s="38" t="s">
        <v>1032</v>
      </c>
      <c r="J22" s="31" t="s">
        <v>68</v>
      </c>
      <c r="K22" s="35">
        <v>272.36900000000003</v>
      </c>
      <c r="L22" s="35">
        <v>270.60899999999998</v>
      </c>
    </row>
    <row r="23" spans="9:12">
      <c r="I23" s="38" t="s">
        <v>1079</v>
      </c>
      <c r="J23" s="31" t="s">
        <v>68</v>
      </c>
      <c r="K23" s="35">
        <v>141.9796</v>
      </c>
      <c r="L23" s="35">
        <v>267.84780000000001</v>
      </c>
    </row>
    <row r="24" spans="9:12">
      <c r="I24" s="38" t="s">
        <v>1026</v>
      </c>
      <c r="J24" s="31" t="s">
        <v>68</v>
      </c>
      <c r="K24" s="35">
        <v>238.7</v>
      </c>
      <c r="L24" s="35">
        <v>247.26</v>
      </c>
    </row>
    <row r="25" spans="9:12" ht="25.5" customHeight="1">
      <c r="I25" s="38" t="s">
        <v>1928</v>
      </c>
      <c r="J25" s="31" t="s">
        <v>68</v>
      </c>
      <c r="K25" s="35"/>
      <c r="L25" s="35">
        <v>246.0334</v>
      </c>
    </row>
    <row r="26" spans="9:12">
      <c r="I26" s="37" t="s">
        <v>993</v>
      </c>
      <c r="J26" s="31" t="s">
        <v>68</v>
      </c>
      <c r="K26" s="33"/>
      <c r="L26" s="33">
        <v>237.47329999999999</v>
      </c>
    </row>
    <row r="27" spans="9:12">
      <c r="I27" s="38" t="s">
        <v>1015</v>
      </c>
      <c r="J27" s="31" t="s">
        <v>68</v>
      </c>
      <c r="K27" s="35"/>
      <c r="L27" s="35">
        <v>215.3827</v>
      </c>
    </row>
    <row r="28" spans="9:12">
      <c r="I28" s="38" t="s">
        <v>1017</v>
      </c>
      <c r="J28" s="31" t="s">
        <v>68</v>
      </c>
      <c r="K28" s="35">
        <v>283.95920000000001</v>
      </c>
      <c r="L28" s="35">
        <v>204.33750000000001</v>
      </c>
    </row>
    <row r="29" spans="9:12">
      <c r="I29" s="37" t="s">
        <v>1882</v>
      </c>
      <c r="J29" s="31" t="s">
        <v>68</v>
      </c>
      <c r="K29" s="33"/>
      <c r="L29" s="33">
        <v>199.47749999999999</v>
      </c>
    </row>
    <row r="30" spans="9:12">
      <c r="I30" s="38" t="s">
        <v>1003</v>
      </c>
      <c r="J30" s="31" t="s">
        <v>68</v>
      </c>
      <c r="K30" s="35">
        <v>195.87389999999999</v>
      </c>
      <c r="L30" s="35">
        <v>193.84440000000001</v>
      </c>
    </row>
    <row r="31" spans="9:12" ht="25.5" customHeight="1">
      <c r="I31" s="37" t="s">
        <v>1929</v>
      </c>
      <c r="J31" s="31" t="s">
        <v>68</v>
      </c>
      <c r="K31" s="33">
        <v>182.96420000000001</v>
      </c>
      <c r="L31" s="33">
        <v>182.37889999999999</v>
      </c>
    </row>
    <row r="32" spans="9:12">
      <c r="I32" s="37" t="s">
        <v>1930</v>
      </c>
      <c r="J32" s="31" t="s">
        <v>68</v>
      </c>
      <c r="K32" s="33"/>
      <c r="L32" s="33">
        <v>176.816</v>
      </c>
    </row>
    <row r="33" spans="9:12">
      <c r="I33" s="37" t="s">
        <v>995</v>
      </c>
      <c r="J33" s="31" t="s">
        <v>68</v>
      </c>
      <c r="K33" s="33"/>
      <c r="L33" s="33">
        <v>171.20169999999999</v>
      </c>
    </row>
    <row r="34" spans="9:12">
      <c r="I34" s="37" t="s">
        <v>991</v>
      </c>
      <c r="J34" s="31" t="s">
        <v>68</v>
      </c>
      <c r="K34" s="33">
        <v>175.8229</v>
      </c>
      <c r="L34" s="33">
        <v>169.821</v>
      </c>
    </row>
    <row r="35" spans="9:12" ht="25.5" customHeight="1">
      <c r="I35" s="38" t="s">
        <v>1931</v>
      </c>
      <c r="J35" s="31" t="s">
        <v>68</v>
      </c>
      <c r="K35" s="35">
        <v>81.131200000000007</v>
      </c>
      <c r="L35" s="35">
        <v>149.11109999999999</v>
      </c>
    </row>
    <row r="36" spans="9:12" ht="25.5" customHeight="1">
      <c r="I36" s="38" t="s">
        <v>964</v>
      </c>
      <c r="J36" s="31" t="s">
        <v>68</v>
      </c>
      <c r="K36" s="35"/>
      <c r="L36" s="35">
        <v>146.90209999999999</v>
      </c>
    </row>
    <row r="37" spans="9:12">
      <c r="I37" s="38" t="s">
        <v>972</v>
      </c>
      <c r="J37" s="31" t="s">
        <v>68</v>
      </c>
      <c r="K37" s="35">
        <v>142.9966</v>
      </c>
      <c r="L37" s="35">
        <v>144.28989999999999</v>
      </c>
    </row>
    <row r="38" spans="9:12">
      <c r="I38" s="37" t="s">
        <v>552</v>
      </c>
      <c r="J38" s="31" t="s">
        <v>68</v>
      </c>
      <c r="K38" s="33">
        <v>130.3895</v>
      </c>
      <c r="L38" s="33">
        <v>143.58850000000001</v>
      </c>
    </row>
    <row r="39" spans="9:12">
      <c r="I39" s="38" t="s">
        <v>968</v>
      </c>
      <c r="J39" s="31" t="s">
        <v>68</v>
      </c>
      <c r="K39" s="35">
        <v>148.00360000000001</v>
      </c>
      <c r="L39" s="35">
        <v>141.0453</v>
      </c>
    </row>
    <row r="40" spans="9:12">
      <c r="I40" s="37" t="s">
        <v>1083</v>
      </c>
      <c r="J40" s="31" t="s">
        <v>68</v>
      </c>
      <c r="K40" s="33">
        <v>144.87710000000001</v>
      </c>
      <c r="L40" s="33">
        <v>138.0659</v>
      </c>
    </row>
    <row r="41" spans="9:12">
      <c r="I41" s="37" t="s">
        <v>966</v>
      </c>
      <c r="J41" s="31" t="s">
        <v>68</v>
      </c>
      <c r="K41" s="33">
        <v>137.0538</v>
      </c>
      <c r="L41" s="33">
        <v>130.6103</v>
      </c>
    </row>
    <row r="42" spans="9:12">
      <c r="I42" s="38" t="s">
        <v>960</v>
      </c>
      <c r="J42" s="31" t="s">
        <v>68</v>
      </c>
      <c r="K42" s="35">
        <v>132.70740000000001</v>
      </c>
      <c r="L42" s="35">
        <v>129.78190000000001</v>
      </c>
    </row>
    <row r="43" spans="9:12" ht="25.5" customHeight="1">
      <c r="I43" s="37" t="s">
        <v>938</v>
      </c>
      <c r="J43" s="31" t="s">
        <v>68</v>
      </c>
      <c r="K43" s="33">
        <v>134.02119999999999</v>
      </c>
      <c r="L43" s="33">
        <v>119.67489999999999</v>
      </c>
    </row>
    <row r="44" spans="9:12">
      <c r="I44" s="37" t="s">
        <v>949</v>
      </c>
      <c r="J44" s="31" t="s">
        <v>68</v>
      </c>
      <c r="K44" s="33">
        <v>110.1066</v>
      </c>
      <c r="L44" s="33">
        <v>107.6914</v>
      </c>
    </row>
    <row r="45" spans="9:12">
      <c r="I45" s="38" t="s">
        <v>941</v>
      </c>
      <c r="J45" s="31" t="s">
        <v>68</v>
      </c>
      <c r="K45" s="35">
        <v>111.26560000000001</v>
      </c>
      <c r="L45" s="35">
        <v>102.5001</v>
      </c>
    </row>
    <row r="46" spans="9:12">
      <c r="I46" s="39" t="s">
        <v>926</v>
      </c>
      <c r="J46" s="31" t="s">
        <v>68</v>
      </c>
      <c r="K46" s="36">
        <v>108.65779999999999</v>
      </c>
      <c r="L46" s="36">
        <v>99.407399999999996</v>
      </c>
    </row>
    <row r="47" spans="9:12">
      <c r="I47" s="37" t="s">
        <v>914</v>
      </c>
      <c r="J47" s="31" t="s">
        <v>68</v>
      </c>
      <c r="K47" s="33"/>
      <c r="L47" s="33">
        <v>83.944000000000003</v>
      </c>
    </row>
    <row r="48" spans="9:12" ht="38.25" customHeight="1">
      <c r="I48" s="37" t="s">
        <v>1064</v>
      </c>
      <c r="J48" s="31" t="s">
        <v>68</v>
      </c>
      <c r="K48" s="33">
        <v>79.102900000000005</v>
      </c>
      <c r="L48" s="33">
        <v>75.384</v>
      </c>
    </row>
    <row r="49" spans="9:12" ht="25.5" customHeight="1">
      <c r="I49" s="37" t="s">
        <v>873</v>
      </c>
      <c r="J49" s="31" t="s">
        <v>68</v>
      </c>
      <c r="K49" s="33">
        <v>77.074600000000004</v>
      </c>
      <c r="L49" s="33">
        <v>75.384</v>
      </c>
    </row>
    <row r="50" spans="9:12">
      <c r="I50" s="38" t="s">
        <v>916</v>
      </c>
      <c r="J50" s="31" t="s">
        <v>68</v>
      </c>
      <c r="K50" s="35">
        <v>83.449200000000005</v>
      </c>
      <c r="L50" s="35">
        <v>75.107799999999997</v>
      </c>
    </row>
    <row r="51" spans="9:12">
      <c r="I51" s="37" t="s">
        <v>918</v>
      </c>
      <c r="J51" s="31" t="s">
        <v>68</v>
      </c>
      <c r="K51" s="33">
        <v>73.887299999999996</v>
      </c>
      <c r="L51" s="33">
        <v>74.555599999999998</v>
      </c>
    </row>
    <row r="52" spans="9:12">
      <c r="I52" s="37" t="s">
        <v>901</v>
      </c>
      <c r="J52" s="31" t="s">
        <v>68</v>
      </c>
      <c r="K52" s="33"/>
      <c r="L52" s="33">
        <v>71.794200000000004</v>
      </c>
    </row>
    <row r="53" spans="9:12">
      <c r="I53" s="37" t="s">
        <v>1000</v>
      </c>
      <c r="J53" s="31" t="s">
        <v>68</v>
      </c>
      <c r="K53" s="33"/>
      <c r="L53" s="33">
        <v>70.413600000000002</v>
      </c>
    </row>
    <row r="54" spans="9:12">
      <c r="I54" s="38" t="s">
        <v>970</v>
      </c>
      <c r="J54" s="31" t="s">
        <v>68</v>
      </c>
      <c r="K54" s="35"/>
      <c r="L54" s="35">
        <v>69.8613</v>
      </c>
    </row>
    <row r="55" spans="9:12">
      <c r="I55" s="37" t="s">
        <v>890</v>
      </c>
      <c r="J55" s="31" t="s">
        <v>68</v>
      </c>
      <c r="K55" s="33">
        <v>79.682400000000001</v>
      </c>
      <c r="L55" s="33">
        <v>69.8613</v>
      </c>
    </row>
    <row r="56" spans="9:12">
      <c r="I56" s="37" t="s">
        <v>887</v>
      </c>
      <c r="J56" s="31" t="s">
        <v>68</v>
      </c>
      <c r="K56" s="33">
        <v>68.743600000000001</v>
      </c>
      <c r="L56" s="33">
        <v>67.000600000000006</v>
      </c>
    </row>
    <row r="57" spans="9:12" ht="25.5" customHeight="1">
      <c r="I57" s="37" t="s">
        <v>885</v>
      </c>
      <c r="J57" s="31" t="s">
        <v>68</v>
      </c>
      <c r="K57" s="33">
        <v>66.933199999999999</v>
      </c>
      <c r="L57" s="33">
        <v>66.823899999999995</v>
      </c>
    </row>
    <row r="58" spans="9:12" ht="25.5" customHeight="1">
      <c r="I58" s="38" t="s">
        <v>883</v>
      </c>
      <c r="J58" s="31" t="s">
        <v>68</v>
      </c>
      <c r="K58" s="35">
        <v>69.540999999999997</v>
      </c>
      <c r="L58" s="35">
        <v>66.271600000000007</v>
      </c>
    </row>
    <row r="59" spans="9:12" ht="25.5" customHeight="1">
      <c r="I59" s="38" t="s">
        <v>867</v>
      </c>
      <c r="J59" s="31" t="s">
        <v>68</v>
      </c>
      <c r="K59" s="35">
        <v>65.484499999999997</v>
      </c>
      <c r="L59" s="35">
        <v>62.405700000000003</v>
      </c>
    </row>
    <row r="60" spans="9:12" ht="25.5" customHeight="1">
      <c r="I60" s="37" t="s">
        <v>866</v>
      </c>
      <c r="J60" s="31" t="s">
        <v>68</v>
      </c>
      <c r="K60" s="33">
        <v>60.848399999999998</v>
      </c>
      <c r="L60" s="33">
        <v>57.987699999999997</v>
      </c>
    </row>
    <row r="61" spans="9:12">
      <c r="I61" s="38" t="s">
        <v>1053</v>
      </c>
      <c r="J61" s="31" t="s">
        <v>68</v>
      </c>
      <c r="K61" s="35"/>
      <c r="L61" s="35">
        <v>57.987699999999997</v>
      </c>
    </row>
    <row r="62" spans="9:12" ht="25.5" customHeight="1">
      <c r="I62" s="38" t="s">
        <v>807</v>
      </c>
      <c r="J62" s="31" t="s">
        <v>68</v>
      </c>
      <c r="K62" s="35">
        <v>58.672899999999998</v>
      </c>
      <c r="L62" s="35">
        <v>55.914499999999997</v>
      </c>
    </row>
    <row r="63" spans="9:12" ht="25.5" customHeight="1">
      <c r="I63" s="38" t="s">
        <v>856</v>
      </c>
      <c r="J63" s="31" t="s">
        <v>68</v>
      </c>
      <c r="K63" s="35">
        <v>57.950899999999997</v>
      </c>
      <c r="L63" s="35">
        <v>55.226300000000002</v>
      </c>
    </row>
    <row r="64" spans="9:12">
      <c r="I64" s="37" t="s">
        <v>854</v>
      </c>
      <c r="J64" s="31" t="s">
        <v>68</v>
      </c>
      <c r="K64" s="33">
        <v>57.950899999999997</v>
      </c>
      <c r="L64" s="33">
        <v>55.226300000000002</v>
      </c>
    </row>
    <row r="65" spans="9:12">
      <c r="I65" s="38" t="s">
        <v>1087</v>
      </c>
      <c r="J65" s="31" t="s">
        <v>68</v>
      </c>
      <c r="K65" s="35">
        <v>56.502099999999999</v>
      </c>
      <c r="L65" s="35">
        <v>53.845700000000001</v>
      </c>
    </row>
    <row r="66" spans="9:12" ht="25.5" customHeight="1">
      <c r="I66" s="37" t="s">
        <v>812</v>
      </c>
      <c r="J66" s="31" t="s">
        <v>68</v>
      </c>
      <c r="K66" s="33">
        <v>54.241999999999997</v>
      </c>
      <c r="L66" s="33">
        <v>51.691899999999997</v>
      </c>
    </row>
    <row r="67" spans="9:12">
      <c r="I67" s="37" t="s">
        <v>786</v>
      </c>
      <c r="J67" s="31" t="s">
        <v>68</v>
      </c>
      <c r="K67" s="33"/>
      <c r="L67" s="33">
        <v>50.256</v>
      </c>
    </row>
    <row r="68" spans="9:12" ht="25.5" customHeight="1">
      <c r="I68" s="37" t="s">
        <v>805</v>
      </c>
      <c r="J68" s="31" t="s">
        <v>68</v>
      </c>
      <c r="K68" s="33">
        <v>57.255499999999998</v>
      </c>
      <c r="L68" s="33">
        <v>46.169199999999996</v>
      </c>
    </row>
    <row r="69" spans="9:12" ht="25.5" customHeight="1">
      <c r="I69" s="37" t="s">
        <v>784</v>
      </c>
      <c r="J69" s="31" t="s">
        <v>68</v>
      </c>
      <c r="K69" s="33">
        <v>85.477500000000006</v>
      </c>
      <c r="L69" s="33">
        <v>44.181100000000001</v>
      </c>
    </row>
    <row r="70" spans="9:12">
      <c r="I70" s="38" t="s">
        <v>791</v>
      </c>
      <c r="J70" s="31" t="s">
        <v>68</v>
      </c>
      <c r="K70" s="35">
        <v>46.360700000000001</v>
      </c>
      <c r="L70" s="35">
        <v>44.181100000000001</v>
      </c>
    </row>
    <row r="71" spans="9:12">
      <c r="I71" s="37" t="s">
        <v>98</v>
      </c>
      <c r="J71" s="31" t="s">
        <v>68</v>
      </c>
      <c r="K71" s="33">
        <v>42.830300000000001</v>
      </c>
      <c r="L71" s="33">
        <v>40.816699999999997</v>
      </c>
    </row>
    <row r="72" spans="9:12">
      <c r="I72" s="38" t="s">
        <v>850</v>
      </c>
      <c r="J72" s="31" t="s">
        <v>68</v>
      </c>
      <c r="K72" s="35">
        <v>44.673699999999997</v>
      </c>
      <c r="L72" s="35">
        <v>39.891599999999997</v>
      </c>
    </row>
    <row r="73" spans="9:12" ht="25.5" customHeight="1">
      <c r="I73" s="37" t="s">
        <v>780</v>
      </c>
      <c r="J73" s="31" t="s">
        <v>68</v>
      </c>
      <c r="K73" s="33"/>
      <c r="L73" s="33">
        <v>34.7926</v>
      </c>
    </row>
    <row r="74" spans="9:12">
      <c r="I74" s="38" t="s">
        <v>777</v>
      </c>
      <c r="J74" s="31" t="s">
        <v>68</v>
      </c>
      <c r="K74" s="35">
        <v>4.0566000000000004</v>
      </c>
      <c r="L74" s="35">
        <v>30.9268</v>
      </c>
    </row>
    <row r="75" spans="9:12">
      <c r="I75" s="37" t="s">
        <v>1097</v>
      </c>
      <c r="J75" s="31" t="s">
        <v>68</v>
      </c>
      <c r="K75" s="33">
        <v>26.367599999999999</v>
      </c>
      <c r="L75" s="33">
        <v>28.717700000000001</v>
      </c>
    </row>
    <row r="76" spans="9:12">
      <c r="I76" s="38" t="s">
        <v>1043</v>
      </c>
      <c r="J76" s="31" t="s">
        <v>68</v>
      </c>
      <c r="K76" s="35"/>
      <c r="L76" s="35">
        <v>24.299600000000002</v>
      </c>
    </row>
    <row r="77" spans="9:12" ht="25.5" customHeight="1">
      <c r="I77" s="38" t="s">
        <v>761</v>
      </c>
      <c r="J77" s="31" t="s">
        <v>68</v>
      </c>
      <c r="K77" s="35">
        <v>21.094100000000001</v>
      </c>
      <c r="L77" s="35">
        <v>20.102399999999999</v>
      </c>
    </row>
    <row r="78" spans="9:12">
      <c r="I78" s="38" t="s">
        <v>775</v>
      </c>
      <c r="J78" s="31" t="s">
        <v>68</v>
      </c>
      <c r="K78" s="35">
        <v>17.385300000000001</v>
      </c>
      <c r="L78" s="35">
        <v>16.567900000000002</v>
      </c>
    </row>
    <row r="79" spans="9:12">
      <c r="I79" s="38" t="s">
        <v>755</v>
      </c>
      <c r="J79" s="31" t="s">
        <v>68</v>
      </c>
      <c r="K79" s="35">
        <v>17.385300000000001</v>
      </c>
      <c r="L79" s="35">
        <v>16.567900000000002</v>
      </c>
    </row>
    <row r="80" spans="9:12">
      <c r="I80" s="38" t="s">
        <v>748</v>
      </c>
      <c r="J80" s="31" t="s">
        <v>68</v>
      </c>
      <c r="K80" s="35">
        <v>10.9527</v>
      </c>
      <c r="L80" s="35">
        <v>10.437799999999999</v>
      </c>
    </row>
    <row r="81" spans="9:12" ht="25.5" customHeight="1">
      <c r="I81" s="38" t="s">
        <v>746</v>
      </c>
      <c r="J81" s="31" t="s">
        <v>68</v>
      </c>
      <c r="K81" s="35">
        <v>9.3879999999999999</v>
      </c>
      <c r="L81" s="35">
        <v>8.9466999999999999</v>
      </c>
    </row>
    <row r="82" spans="9:12" ht="25.5" customHeight="1">
      <c r="I82" s="37" t="s">
        <v>737</v>
      </c>
      <c r="J82" s="31" t="s">
        <v>68</v>
      </c>
      <c r="K82" s="33"/>
      <c r="L82" s="33">
        <v>7.4555999999999996</v>
      </c>
    </row>
    <row r="83" spans="9:12">
      <c r="I83" s="37" t="s">
        <v>743</v>
      </c>
      <c r="J83" s="31" t="s">
        <v>68</v>
      </c>
      <c r="K83" s="33">
        <v>7.8234000000000004</v>
      </c>
      <c r="L83" s="33">
        <v>7.4555999999999996</v>
      </c>
    </row>
    <row r="84" spans="9:12" ht="25.5" customHeight="1">
      <c r="I84" s="38" t="s">
        <v>739</v>
      </c>
      <c r="J84" s="31" t="s">
        <v>68</v>
      </c>
      <c r="K84" s="35">
        <v>6.2587000000000002</v>
      </c>
      <c r="L84" s="35">
        <v>5.9644000000000004</v>
      </c>
    </row>
    <row r="85" spans="9:12" ht="25.5" customHeight="1">
      <c r="I85" s="38" t="s">
        <v>741</v>
      </c>
      <c r="J85" s="31" t="s">
        <v>68</v>
      </c>
      <c r="K85" s="35">
        <v>6.2587000000000002</v>
      </c>
      <c r="L85" s="35">
        <v>5.9644000000000004</v>
      </c>
    </row>
    <row r="86" spans="9:12" ht="25.5" customHeight="1">
      <c r="I86" s="38" t="s">
        <v>735</v>
      </c>
      <c r="J86" s="31" t="s">
        <v>68</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85" customHeight="1" thickBot="1">
      <c r="B2" s="604" t="s">
        <v>1932</v>
      </c>
      <c r="C2" s="606"/>
      <c r="D2" s="605" t="s">
        <v>1933</v>
      </c>
      <c r="E2" s="607"/>
      <c r="F2" s="13" t="s">
        <v>1934</v>
      </c>
    </row>
    <row r="3" spans="2:7">
      <c r="B3" s="4" t="s">
        <v>1935</v>
      </c>
      <c r="C3" s="73" t="s">
        <v>1936</v>
      </c>
      <c r="D3" s="9" t="s">
        <v>1937</v>
      </c>
      <c r="E3" s="27" t="s">
        <v>1938</v>
      </c>
      <c r="F3" s="102" t="s">
        <v>1939</v>
      </c>
    </row>
    <row r="4" spans="2:7">
      <c r="B4" s="4" t="s">
        <v>1940</v>
      </c>
      <c r="C4" s="73" t="s">
        <v>1941</v>
      </c>
      <c r="D4" s="4" t="s">
        <v>1942</v>
      </c>
      <c r="E4" s="29" t="s">
        <v>1943</v>
      </c>
      <c r="F4" s="102" t="s">
        <v>1944</v>
      </c>
    </row>
    <row r="5" spans="2:7">
      <c r="B5" s="4" t="s">
        <v>1945</v>
      </c>
      <c r="C5" s="73" t="s">
        <v>1946</v>
      </c>
      <c r="D5" s="4" t="s">
        <v>1947</v>
      </c>
      <c r="E5" s="5" t="s">
        <v>1948</v>
      </c>
      <c r="F5" s="102" t="s">
        <v>1949</v>
      </c>
    </row>
    <row r="6" spans="2:7">
      <c r="B6" s="4" t="s">
        <v>1950</v>
      </c>
      <c r="C6" s="73" t="s">
        <v>1951</v>
      </c>
      <c r="D6" s="4" t="s">
        <v>1952</v>
      </c>
      <c r="E6" s="30" t="s">
        <v>1953</v>
      </c>
      <c r="F6" s="102" t="s">
        <v>1954</v>
      </c>
    </row>
    <row r="7" spans="2:7" ht="14.85" customHeight="1" thickBot="1">
      <c r="B7" s="6" t="s">
        <v>1955</v>
      </c>
      <c r="C7" s="8" t="s">
        <v>1956</v>
      </c>
      <c r="D7" s="6" t="s">
        <v>1957</v>
      </c>
      <c r="E7" s="28" t="s">
        <v>1958</v>
      </c>
      <c r="F7" s="7" t="s">
        <v>1959</v>
      </c>
      <c r="G7" t="s">
        <v>1960</v>
      </c>
    </row>
    <row r="9" spans="2:7" ht="14.85" customHeight="1" thickBot="1"/>
    <row r="10" spans="2:7" ht="14.85" customHeight="1" thickBot="1">
      <c r="B10" s="12" t="s">
        <v>1961</v>
      </c>
      <c r="C10" s="23" t="s">
        <v>1945</v>
      </c>
    </row>
    <row r="11" spans="2:7">
      <c r="B11" s="10" t="s">
        <v>1962</v>
      </c>
      <c r="C11" s="24" t="s">
        <v>1115</v>
      </c>
      <c r="E11" t="s">
        <v>1963</v>
      </c>
    </row>
    <row r="12" spans="2:7">
      <c r="B12" s="10" t="s">
        <v>1964</v>
      </c>
      <c r="C12" s="24" t="s">
        <v>1121</v>
      </c>
      <c r="E12" t="s">
        <v>1965</v>
      </c>
      <c r="F12" t="s">
        <v>1966</v>
      </c>
      <c r="G12" t="s">
        <v>1967</v>
      </c>
    </row>
    <row r="13" spans="2:7">
      <c r="B13" s="10" t="s">
        <v>1968</v>
      </c>
      <c r="C13" s="24" t="s">
        <v>1171</v>
      </c>
      <c r="E13" t="s">
        <v>1969</v>
      </c>
      <c r="F13" t="s">
        <v>1970</v>
      </c>
      <c r="G13" t="s">
        <v>1971</v>
      </c>
    </row>
    <row r="14" spans="2:7">
      <c r="B14" s="10" t="s">
        <v>1972</v>
      </c>
      <c r="C14" s="24" t="s">
        <v>1108</v>
      </c>
    </row>
    <row r="15" spans="2:7" ht="14.85" customHeight="1" thickBot="1">
      <c r="B15" s="11" t="s">
        <v>1973</v>
      </c>
      <c r="C15" s="25" t="s">
        <v>1182</v>
      </c>
    </row>
    <row r="16" spans="2:7">
      <c r="C16" t="s">
        <v>1974</v>
      </c>
    </row>
    <row r="27" spans="4:5">
      <c r="D27" t="s">
        <v>1975</v>
      </c>
    </row>
    <row r="28" spans="4:5">
      <c r="D28" t="s">
        <v>1976</v>
      </c>
    </row>
    <row r="29" spans="4:5">
      <c r="D29" t="s">
        <v>1977</v>
      </c>
      <c r="E29" t="s">
        <v>1978</v>
      </c>
    </row>
    <row r="30" spans="4:5">
      <c r="D30" t="s">
        <v>1979</v>
      </c>
    </row>
    <row r="31" spans="4:5">
      <c r="D31" t="s">
        <v>1980</v>
      </c>
    </row>
    <row r="32" spans="4:5">
      <c r="D32" t="s">
        <v>1981</v>
      </c>
      <c r="E32" t="s">
        <v>1982</v>
      </c>
    </row>
    <row r="33" spans="4:4">
      <c r="D33" t="s">
        <v>1983</v>
      </c>
    </row>
  </sheetData>
  <mergeCells count="2">
    <mergeCell ref="B2:C2"/>
    <mergeCell ref="D2:E2"/>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1984</v>
      </c>
      <c r="B1" s="3" t="s">
        <v>31</v>
      </c>
      <c r="C1" s="3" t="s">
        <v>1985</v>
      </c>
      <c r="D1" s="2" t="s">
        <v>1986</v>
      </c>
    </row>
    <row r="2" spans="1:4">
      <c r="A2" s="75" t="s">
        <v>1987</v>
      </c>
      <c r="B2" s="74" t="s">
        <v>1988</v>
      </c>
      <c r="C2" s="103">
        <v>45689</v>
      </c>
      <c r="D2" s="73" t="s">
        <v>1989</v>
      </c>
    </row>
    <row r="3" spans="1:4">
      <c r="A3" s="75" t="s">
        <v>1990</v>
      </c>
      <c r="B3" s="74" t="s">
        <v>1991</v>
      </c>
      <c r="C3" s="103">
        <v>45748</v>
      </c>
      <c r="D3" s="73" t="s">
        <v>1989</v>
      </c>
    </row>
    <row r="4" spans="1:4">
      <c r="A4" s="75" t="s">
        <v>1992</v>
      </c>
      <c r="B4" s="74" t="s">
        <v>1991</v>
      </c>
      <c r="C4" s="103">
        <v>45748</v>
      </c>
      <c r="D4" s="73" t="s">
        <v>1993</v>
      </c>
    </row>
    <row r="5" spans="1:4">
      <c r="A5" s="75" t="s">
        <v>1994</v>
      </c>
      <c r="B5" s="74" t="s">
        <v>1991</v>
      </c>
      <c r="C5" s="103">
        <v>45717</v>
      </c>
      <c r="D5" s="73" t="s">
        <v>1989</v>
      </c>
    </row>
    <row r="6" spans="1:4">
      <c r="A6" s="75" t="s">
        <v>1995</v>
      </c>
      <c r="B6" s="74" t="s">
        <v>1988</v>
      </c>
      <c r="C6" s="103">
        <v>45748</v>
      </c>
      <c r="D6" s="73" t="s">
        <v>1989</v>
      </c>
    </row>
    <row r="7" spans="1:4">
      <c r="A7" s="75" t="s">
        <v>1996</v>
      </c>
      <c r="B7" s="74" t="s">
        <v>1988</v>
      </c>
      <c r="C7" s="103">
        <v>45689</v>
      </c>
      <c r="D7" s="73" t="s">
        <v>11</v>
      </c>
    </row>
    <row r="8" spans="1:4">
      <c r="A8" s="75" t="s">
        <v>1997</v>
      </c>
      <c r="B8" s="74" t="s">
        <v>1309</v>
      </c>
      <c r="C8" s="103">
        <v>45748</v>
      </c>
      <c r="D8" s="73" t="s">
        <v>1989</v>
      </c>
    </row>
    <row r="9" spans="1:4">
      <c r="A9" s="75" t="s">
        <v>1998</v>
      </c>
      <c r="B9" s="74" t="s">
        <v>1309</v>
      </c>
      <c r="C9" s="103">
        <v>45658</v>
      </c>
      <c r="D9" s="73" t="s">
        <v>11</v>
      </c>
    </row>
    <row r="10" spans="1:4">
      <c r="A10" s="75" t="s">
        <v>1999</v>
      </c>
      <c r="B10" s="74" t="s">
        <v>2000</v>
      </c>
      <c r="C10" s="103">
        <v>45689</v>
      </c>
      <c r="D10" s="73" t="s">
        <v>11</v>
      </c>
    </row>
    <row r="11" spans="1:4">
      <c r="A11" s="75" t="s">
        <v>2001</v>
      </c>
      <c r="B11" s="74" t="s">
        <v>1295</v>
      </c>
      <c r="C11" s="103">
        <v>45658</v>
      </c>
      <c r="D11" s="73" t="s">
        <v>11</v>
      </c>
    </row>
    <row r="12" spans="1:4">
      <c r="A12" s="87" t="s">
        <v>2002</v>
      </c>
      <c r="B12" s="85" t="s">
        <v>1309</v>
      </c>
      <c r="C12" s="103">
        <v>45658</v>
      </c>
      <c r="D12" s="86" t="s">
        <v>11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2003</v>
      </c>
      <c r="D2" s="16"/>
      <c r="E2" t="s">
        <v>111</v>
      </c>
      <c r="G2" t="s">
        <v>92</v>
      </c>
      <c r="K2" t="s">
        <v>1115</v>
      </c>
      <c r="N2" t="s">
        <v>1295</v>
      </c>
    </row>
    <row r="3" spans="3:14">
      <c r="C3" t="s">
        <v>2004</v>
      </c>
      <c r="D3" s="14"/>
      <c r="G3" t="s">
        <v>97</v>
      </c>
      <c r="K3" t="s">
        <v>1121</v>
      </c>
      <c r="N3" t="s">
        <v>1309</v>
      </c>
    </row>
    <row r="4" spans="3:14">
      <c r="C4" t="s">
        <v>2005</v>
      </c>
      <c r="D4" s="26"/>
      <c r="E4" t="s">
        <v>173</v>
      </c>
      <c r="G4" t="s">
        <v>1401</v>
      </c>
      <c r="K4" t="s">
        <v>1171</v>
      </c>
      <c r="N4" t="s">
        <v>2006</v>
      </c>
    </row>
    <row r="5" spans="3:14">
      <c r="G5" t="s">
        <v>84</v>
      </c>
      <c r="K5" t="s">
        <v>1108</v>
      </c>
      <c r="N5" t="s">
        <v>2000</v>
      </c>
    </row>
    <row r="6" spans="3:14">
      <c r="G6" t="s">
        <v>139</v>
      </c>
      <c r="K6" t="s">
        <v>1182</v>
      </c>
      <c r="N6" t="s">
        <v>1988</v>
      </c>
    </row>
    <row r="7" spans="3:14">
      <c r="G7" t="s">
        <v>2007</v>
      </c>
      <c r="N7" t="s">
        <v>2008</v>
      </c>
    </row>
    <row r="12" spans="3:14">
      <c r="C12" s="67"/>
      <c r="D12" s="67"/>
      <c r="E12" s="67"/>
      <c r="F12" s="67"/>
      <c r="G12" s="67"/>
      <c r="H12" s="67"/>
      <c r="I12" s="67"/>
      <c r="J12" s="67"/>
      <c r="K12" s="67"/>
      <c r="L12" s="67"/>
      <c r="M12" s="67"/>
      <c r="N12" s="67"/>
    </row>
    <row r="14" spans="3:14">
      <c r="C14" t="s">
        <v>2009</v>
      </c>
      <c r="D14" t="s">
        <v>2010</v>
      </c>
      <c r="E14" t="s">
        <v>2011</v>
      </c>
      <c r="F14" t="s">
        <v>2012</v>
      </c>
    </row>
    <row r="15" spans="3:14">
      <c r="C15" t="s">
        <v>2013</v>
      </c>
      <c r="D15" s="14" t="s">
        <v>2014</v>
      </c>
      <c r="E15" t="s">
        <v>2015</v>
      </c>
      <c r="F15" t="s">
        <v>2016</v>
      </c>
    </row>
    <row r="16" spans="3:14">
      <c r="C16" t="s">
        <v>2017</v>
      </c>
      <c r="D16" s="15" t="s">
        <v>2018</v>
      </c>
      <c r="E16" t="s">
        <v>2019</v>
      </c>
      <c r="F16" t="s">
        <v>2020</v>
      </c>
    </row>
    <row r="17" spans="3:6">
      <c r="C17" t="s">
        <v>2021</v>
      </c>
      <c r="D17" s="64" t="s">
        <v>2022</v>
      </c>
      <c r="E17" t="s">
        <v>2023</v>
      </c>
      <c r="F17" t="s">
        <v>2024</v>
      </c>
    </row>
    <row r="18" spans="3:6">
      <c r="C18" t="s">
        <v>2025</v>
      </c>
      <c r="D18" s="65" t="s">
        <v>2026</v>
      </c>
      <c r="E18" t="s">
        <v>2027</v>
      </c>
      <c r="F18" t="s">
        <v>2028</v>
      </c>
    </row>
    <row r="23" spans="3:6">
      <c r="C23" s="55" t="s">
        <v>2029</v>
      </c>
    </row>
    <row r="24" spans="3:6">
      <c r="C24" s="66"/>
    </row>
    <row r="25" spans="3:6">
      <c r="C25" s="68" t="s">
        <v>2030</v>
      </c>
    </row>
    <row r="26" spans="3:6">
      <c r="C26" s="66"/>
    </row>
    <row r="27" spans="3:6">
      <c r="C27" s="68" t="s">
        <v>2031</v>
      </c>
    </row>
    <row r="28" spans="3:6">
      <c r="C28" s="66"/>
    </row>
    <row r="29" spans="3:6">
      <c r="C29" s="68" t="s">
        <v>2032</v>
      </c>
    </row>
    <row r="31" spans="3:6">
      <c r="C31" s="55" t="s">
        <v>2033</v>
      </c>
    </row>
    <row r="33" spans="3:3">
      <c r="C33" s="68" t="s">
        <v>2034</v>
      </c>
    </row>
    <row r="34" spans="3:3">
      <c r="C34" s="66"/>
    </row>
    <row r="35" spans="3:3">
      <c r="C35" s="68" t="s">
        <v>2035</v>
      </c>
    </row>
    <row r="36" spans="3:3">
      <c r="C36" s="66"/>
    </row>
    <row r="37" spans="3:3">
      <c r="C37" s="68" t="s">
        <v>2036</v>
      </c>
    </row>
    <row r="39" spans="3:3">
      <c r="C39" s="55" t="s">
        <v>2037</v>
      </c>
    </row>
    <row r="40" spans="3:3">
      <c r="C40" s="66"/>
    </row>
    <row r="41" spans="3:3">
      <c r="C41" s="68" t="s">
        <v>2038</v>
      </c>
    </row>
    <row r="42" spans="3:3">
      <c r="C42" s="66"/>
    </row>
    <row r="43" spans="3:3">
      <c r="C43" s="68" t="s">
        <v>2039</v>
      </c>
    </row>
    <row r="44" spans="3:3">
      <c r="C44" s="66"/>
    </row>
    <row r="45" spans="3:3">
      <c r="C45" s="68" t="s">
        <v>2040</v>
      </c>
    </row>
    <row r="47" spans="3:3">
      <c r="C47" t="s">
        <v>2041</v>
      </c>
    </row>
    <row r="49" spans="3:3">
      <c r="C49" t="s">
        <v>2042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94">
        <v>46148</v>
      </c>
    </row>
    <row r="3" spans="2:26">
      <c r="B3" t="s">
        <v>1387</v>
      </c>
      <c r="H3" t="s">
        <v>1388</v>
      </c>
      <c r="P3" t="s">
        <v>1389</v>
      </c>
    </row>
    <row r="4" spans="2:26">
      <c r="B4" t="s">
        <v>1393</v>
      </c>
      <c r="C4" t="s">
        <v>79</v>
      </c>
      <c r="D4" t="s">
        <v>1394</v>
      </c>
      <c r="E4" t="s">
        <v>68</v>
      </c>
      <c r="F4" t="s">
        <v>1395</v>
      </c>
      <c r="H4" t="s">
        <v>1393</v>
      </c>
      <c r="I4" t="s">
        <v>69</v>
      </c>
      <c r="J4" t="s">
        <v>456</v>
      </c>
      <c r="K4" t="s">
        <v>1106</v>
      </c>
      <c r="L4" t="s">
        <v>733</v>
      </c>
      <c r="M4" t="s">
        <v>449</v>
      </c>
      <c r="N4" t="s">
        <v>1355</v>
      </c>
      <c r="P4" t="s">
        <v>1393</v>
      </c>
      <c r="Q4" t="s">
        <v>69</v>
      </c>
      <c r="R4" t="s">
        <v>456</v>
      </c>
      <c r="S4" t="s">
        <v>1106</v>
      </c>
      <c r="T4" t="s">
        <v>733</v>
      </c>
      <c r="U4" t="s">
        <v>1355</v>
      </c>
      <c r="X4" t="s">
        <v>1399</v>
      </c>
      <c r="Y4" t="s">
        <v>79</v>
      </c>
      <c r="Z4" t="s">
        <v>68</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35</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36</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37</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1402</v>
      </c>
      <c r="Y8">
        <v>3</v>
      </c>
      <c r="Z8">
        <v>0</v>
      </c>
    </row>
    <row r="9" spans="2:26">
      <c r="B9">
        <v>4</v>
      </c>
      <c r="C9">
        <v>0</v>
      </c>
      <c r="D9">
        <v>0</v>
      </c>
      <c r="E9">
        <v>0</v>
      </c>
      <c r="F9">
        <v>0</v>
      </c>
      <c r="H9">
        <v>4</v>
      </c>
      <c r="I9">
        <v>0</v>
      </c>
      <c r="J9">
        <v>0</v>
      </c>
      <c r="K9">
        <v>0</v>
      </c>
      <c r="L9">
        <v>0</v>
      </c>
      <c r="M9">
        <v>0</v>
      </c>
      <c r="N9">
        <v>0</v>
      </c>
      <c r="P9">
        <v>4</v>
      </c>
      <c r="Q9">
        <v>0</v>
      </c>
      <c r="R9">
        <v>0</v>
      </c>
      <c r="S9">
        <v>0</v>
      </c>
      <c r="T9">
        <v>0</v>
      </c>
      <c r="U9">
        <v>0</v>
      </c>
      <c r="X9" t="s">
        <v>39</v>
      </c>
      <c r="Y9">
        <v>8</v>
      </c>
      <c r="Z9">
        <v>2</v>
      </c>
    </row>
    <row r="10" spans="2:26">
      <c r="B10" s="55" t="s">
        <v>1355</v>
      </c>
      <c r="C10" s="55">
        <v>124</v>
      </c>
      <c r="D10" s="55"/>
      <c r="E10" s="55">
        <v>325</v>
      </c>
      <c r="F10" s="55"/>
      <c r="G10" s="55"/>
      <c r="H10" s="55" t="s">
        <v>1355</v>
      </c>
      <c r="I10" s="55">
        <v>45</v>
      </c>
      <c r="J10" s="55">
        <v>5</v>
      </c>
      <c r="K10" s="55">
        <v>66</v>
      </c>
      <c r="L10" s="55">
        <v>2</v>
      </c>
      <c r="M10" s="55">
        <v>5</v>
      </c>
      <c r="N10" s="55">
        <v>123</v>
      </c>
      <c r="O10" s="55"/>
      <c r="P10" s="55" t="s">
        <v>1355</v>
      </c>
      <c r="Q10" s="55">
        <v>52</v>
      </c>
      <c r="R10" s="55">
        <v>81</v>
      </c>
      <c r="S10" s="55">
        <v>9</v>
      </c>
      <c r="T10" s="55">
        <v>183</v>
      </c>
      <c r="U10" s="55">
        <v>325</v>
      </c>
      <c r="X10" t="s">
        <v>40</v>
      </c>
      <c r="Y10">
        <v>4</v>
      </c>
      <c r="Z10">
        <v>0</v>
      </c>
    </row>
    <row r="11" spans="2:26">
      <c r="X11" t="s">
        <v>41</v>
      </c>
      <c r="Y11">
        <v>11</v>
      </c>
      <c r="Z11">
        <v>2</v>
      </c>
    </row>
    <row r="12" spans="2:26">
      <c r="H12" t="s">
        <v>1405</v>
      </c>
      <c r="I12">
        <v>0.22222222222222221</v>
      </c>
      <c r="J12">
        <v>0</v>
      </c>
      <c r="K12">
        <v>0.36363636363636365</v>
      </c>
      <c r="L12">
        <v>0</v>
      </c>
      <c r="M12">
        <v>0</v>
      </c>
      <c r="P12" t="s">
        <v>1405</v>
      </c>
      <c r="Q12">
        <v>9.6153846153846159E-2</v>
      </c>
      <c r="R12">
        <v>3.7037037037037035E-2</v>
      </c>
      <c r="S12">
        <v>0.33333333333333331</v>
      </c>
      <c r="T12">
        <v>2.185792349726776E-2</v>
      </c>
      <c r="U12">
        <v>4.6153846153846156E-2</v>
      </c>
      <c r="X12" t="s">
        <v>42</v>
      </c>
      <c r="Y12">
        <v>9</v>
      </c>
      <c r="Z12">
        <v>3</v>
      </c>
    </row>
    <row r="13" spans="2:26">
      <c r="X13" t="s">
        <v>43</v>
      </c>
      <c r="Y13">
        <v>0</v>
      </c>
      <c r="Z13">
        <v>0</v>
      </c>
    </row>
    <row r="14" spans="2:26">
      <c r="X14" t="s">
        <v>44</v>
      </c>
      <c r="Y14">
        <v>0</v>
      </c>
      <c r="Z14">
        <v>0</v>
      </c>
    </row>
    <row r="15" spans="2:26">
      <c r="X15" t="s">
        <v>45</v>
      </c>
      <c r="Y15">
        <v>0</v>
      </c>
      <c r="Z15">
        <v>0</v>
      </c>
    </row>
    <row r="16" spans="2:26">
      <c r="X16" t="s">
        <v>46</v>
      </c>
      <c r="Y16">
        <v>1</v>
      </c>
      <c r="Z16">
        <v>0</v>
      </c>
    </row>
    <row r="17" spans="24:26">
      <c r="X17" t="s">
        <v>47</v>
      </c>
      <c r="Y17">
        <v>0</v>
      </c>
      <c r="Z17">
        <v>0</v>
      </c>
    </row>
    <row r="18" spans="24:26">
      <c r="X18" t="s">
        <v>48</v>
      </c>
      <c r="Y18">
        <v>0</v>
      </c>
      <c r="Z18">
        <v>0</v>
      </c>
    </row>
    <row r="19" spans="24:26">
      <c r="X19" t="s">
        <v>49</v>
      </c>
      <c r="Y19">
        <v>0</v>
      </c>
      <c r="Z19">
        <v>1</v>
      </c>
    </row>
    <row r="20" spans="24:26">
      <c r="X20" t="s">
        <v>50</v>
      </c>
      <c r="Y20">
        <v>2</v>
      </c>
      <c r="Z20">
        <v>0</v>
      </c>
    </row>
    <row r="21" spans="24:26">
      <c r="X21" s="55" t="s">
        <v>1355</v>
      </c>
      <c r="Y21" s="55">
        <v>48</v>
      </c>
      <c r="Z21" s="55">
        <v>18</v>
      </c>
    </row>
  </sheetData>
  <pageMargins left="0.7" right="0.7" top="0.75" bottom="0.75" header="0.3" footer="0.3"/>
  <tableParts count="4">
    <tablePart r:id="rId1"/>
    <tablePart r:id="rId2"/>
    <tablePart r:id="rId3"/>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FC8B8-3B21-40E5-A4B2-CDC5CAF40942}">
  <dimension ref="A1:E18"/>
  <sheetViews>
    <sheetView workbookViewId="0">
      <selection activeCell="G14" sqref="G14"/>
    </sheetView>
  </sheetViews>
  <sheetFormatPr defaultColWidth="8.85546875" defaultRowHeight="15"/>
  <cols>
    <col min="1" max="1" width="29.140625" customWidth="1"/>
  </cols>
  <sheetData>
    <row r="1" spans="1:5">
      <c r="A1" s="55" t="s">
        <v>2043</v>
      </c>
      <c r="B1" s="55" t="s">
        <v>2044</v>
      </c>
      <c r="D1" t="s">
        <v>2045</v>
      </c>
      <c r="E1" t="s">
        <v>2046</v>
      </c>
    </row>
    <row r="2" spans="1:5">
      <c r="A2" t="s">
        <v>2047</v>
      </c>
      <c r="B2" t="s">
        <v>2048</v>
      </c>
      <c r="C2" t="s">
        <v>1337</v>
      </c>
      <c r="D2" t="s">
        <v>2049</v>
      </c>
      <c r="E2" t="s">
        <v>127</v>
      </c>
    </row>
    <row r="3" spans="1:5">
      <c r="A3" t="s">
        <v>2050</v>
      </c>
      <c r="B3" t="s">
        <v>2048</v>
      </c>
      <c r="D3" t="s">
        <v>2051</v>
      </c>
      <c r="E3" t="s">
        <v>178</v>
      </c>
    </row>
    <row r="4" spans="1:5">
      <c r="A4" t="s">
        <v>2052</v>
      </c>
      <c r="B4" t="s">
        <v>2048</v>
      </c>
      <c r="D4" t="s">
        <v>2053</v>
      </c>
      <c r="E4" t="s">
        <v>127</v>
      </c>
    </row>
    <row r="5" spans="1:5">
      <c r="A5" t="s">
        <v>2054</v>
      </c>
      <c r="B5" t="s">
        <v>2048</v>
      </c>
      <c r="D5" s="48" t="s">
        <v>2055</v>
      </c>
      <c r="E5" t="s">
        <v>127</v>
      </c>
    </row>
    <row r="6" spans="1:5">
      <c r="A6" t="s">
        <v>2056</v>
      </c>
      <c r="B6" t="s">
        <v>2048</v>
      </c>
      <c r="D6" t="s">
        <v>2057</v>
      </c>
      <c r="E6" t="s">
        <v>127</v>
      </c>
    </row>
    <row r="7" spans="1:5">
      <c r="A7" t="s">
        <v>2058</v>
      </c>
      <c r="B7" t="s">
        <v>2048</v>
      </c>
      <c r="D7" t="s">
        <v>2059</v>
      </c>
      <c r="E7" t="s">
        <v>127</v>
      </c>
    </row>
    <row r="8" spans="1:5">
      <c r="A8" t="s">
        <v>2060</v>
      </c>
      <c r="B8" t="s">
        <v>2048</v>
      </c>
      <c r="D8" t="s">
        <v>2046</v>
      </c>
      <c r="E8" t="s">
        <v>127</v>
      </c>
    </row>
    <row r="9" spans="1:5">
      <c r="A9" t="s">
        <v>2061</v>
      </c>
      <c r="B9" t="s">
        <v>2048</v>
      </c>
      <c r="D9" t="s">
        <v>2046</v>
      </c>
      <c r="E9" t="s">
        <v>127</v>
      </c>
    </row>
    <row r="10" spans="1:5">
      <c r="A10" t="s">
        <v>2062</v>
      </c>
      <c r="B10" t="s">
        <v>2048</v>
      </c>
      <c r="D10" t="s">
        <v>2055</v>
      </c>
      <c r="E10" t="s">
        <v>127</v>
      </c>
    </row>
    <row r="11" spans="1:5">
      <c r="A11" t="s">
        <v>2063</v>
      </c>
      <c r="B11" t="s">
        <v>2048</v>
      </c>
      <c r="D11" t="s">
        <v>2064</v>
      </c>
      <c r="E11" t="s">
        <v>127</v>
      </c>
    </row>
    <row r="12" spans="1:5">
      <c r="A12" t="s">
        <v>2065</v>
      </c>
      <c r="B12" t="s">
        <v>2048</v>
      </c>
      <c r="D12" t="s">
        <v>2066</v>
      </c>
      <c r="E12" t="s">
        <v>2067</v>
      </c>
    </row>
    <row r="13" spans="1:5">
      <c r="A13" t="s">
        <v>2068</v>
      </c>
      <c r="B13" t="s">
        <v>2048</v>
      </c>
      <c r="D13" t="s">
        <v>2069</v>
      </c>
      <c r="E13" t="s">
        <v>2067</v>
      </c>
    </row>
    <row r="14" spans="1:5">
      <c r="A14" t="s">
        <v>2070</v>
      </c>
      <c r="B14" t="s">
        <v>2048</v>
      </c>
      <c r="D14" t="s">
        <v>2071</v>
      </c>
      <c r="E14" t="s">
        <v>178</v>
      </c>
    </row>
    <row r="15" spans="1:5">
      <c r="A15" t="s">
        <v>2072</v>
      </c>
      <c r="B15" t="s">
        <v>2048</v>
      </c>
      <c r="D15" t="s">
        <v>2073</v>
      </c>
      <c r="E15" t="s">
        <v>178</v>
      </c>
    </row>
    <row r="16" spans="1:5">
      <c r="A16" t="s">
        <v>2074</v>
      </c>
      <c r="B16" t="s">
        <v>2048</v>
      </c>
      <c r="D16" t="s">
        <v>2075</v>
      </c>
      <c r="E16" t="s">
        <v>127</v>
      </c>
    </row>
    <row r="17" spans="1:5">
      <c r="A17" t="s">
        <v>2076</v>
      </c>
      <c r="B17" t="s">
        <v>2048</v>
      </c>
      <c r="D17" t="s">
        <v>2077</v>
      </c>
      <c r="E17" t="s">
        <v>178</v>
      </c>
    </row>
    <row r="18" spans="1:5">
      <c r="A18" t="s">
        <v>2078</v>
      </c>
      <c r="B18" t="s">
        <v>2048</v>
      </c>
      <c r="D18" t="s">
        <v>2079</v>
      </c>
      <c r="E18" t="s">
        <v>178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2026-07-14T17:56:44Z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